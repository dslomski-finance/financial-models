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odels\"/>
    </mc:Choice>
  </mc:AlternateContent>
  <xr:revisionPtr revIDLastSave="0" documentId="13_ncr:1_{38119A6C-743E-43C7-B0B1-12444B012D3C}" xr6:coauthVersionLast="47" xr6:coauthVersionMax="47" xr10:uidLastSave="{00000000-0000-0000-0000-000000000000}"/>
  <bookViews>
    <workbookView xWindow="-120" yWindow="-120" windowWidth="38640" windowHeight="21120" activeTab="2" xr2:uid="{DD0F9678-9DBC-4FF6-AF90-D38A9E18B0E2}"/>
  </bookViews>
  <sheets>
    <sheet name="Formulas" sheetId="1" r:id="rId1"/>
    <sheet name="Scratch" sheetId="3" r:id="rId2"/>
    <sheet name="Call Spread" sheetId="7" r:id="rId3"/>
    <sheet name="Put Spread" sheetId="8" r:id="rId4"/>
    <sheet name="Synthetic Call" sheetId="9" r:id="rId5"/>
    <sheet name="Risk Reversal" sheetId="10" r:id="rId6"/>
    <sheet name="Butterfly" sheetId="11" r:id="rId7"/>
  </sheets>
  <definedNames>
    <definedName name="CallDelta">_xlfn.LAMBDA(_xlpm.spot,_xlpm.strike,_xlpm.time,_xlpm.interest,_xlpm.implied,_xlpm.divyld,+EXP(-_xlpm.divyld*_xlpm.time)*_xlfn.NORM.S.DIST((LN(_xlpm.spot/_xlpm.strike)+_xlpm.time*(_xlpm.interest-_xlpm.divyld+(_xlpm.implied^2/2)))/(_xlpm.implied*SQRT(_xlpm.time)),TRUE))</definedName>
    <definedName name="CallPrice">_xlfn.LAMBDA(_xlpm.S,_xlpm.K,_xlpm.T,_xlpm.r,_xlpm.sigma,_xlpm.q, _xlpm.S * EXP(-_xlpm.q * _xlpm.T) * _xlfn.NORM.S.DIST((LN(_xlpm.S / _xlpm.K) + (_xlpm.r - _xlpm.q + (_xlpm.sigma^2) / 2) * _xlpm.T) / (_xlpm.sigma * SQRT(_xlpm.T)), TRUE) - _xlpm.K * EXP(-_xlpm.r * _xlpm.T) * _xlfn.NORM.S.DIST(((LN(_xlpm.S / _xlpm.K) + (_xlpm.r - _xlpm.q + (_xlpm.sigma^2) / 2) * _xlpm.T) / (_xlpm.sigma * SQRT(_xlpm.T))) - _xlpm.sigma * SQRT(_xlpm.T), TRUE))</definedName>
    <definedName name="div.yield" localSheetId="6">Butterfly!$G$7</definedName>
    <definedName name="div.yield" localSheetId="2">'Call Spread'!$G$7</definedName>
    <definedName name="div.yield" localSheetId="3">'Put Spread'!$G$7</definedName>
    <definedName name="div.yield" localSheetId="5">'Risk Reversal'!$G$7</definedName>
    <definedName name="div.yield" localSheetId="4">'Synthetic Call'!$G$7</definedName>
    <definedName name="div.yield">#REF!</definedName>
    <definedName name="expiry" localSheetId="6">Butterfly!$H$5</definedName>
    <definedName name="expiry" localSheetId="2">'Call Spread'!$H$5</definedName>
    <definedName name="expiry" localSheetId="3">'Put Spread'!$H$5</definedName>
    <definedName name="expiry" localSheetId="5">'Risk Reversal'!$H$5</definedName>
    <definedName name="expiry" localSheetId="4">'Synthetic Call'!$H$5</definedName>
    <definedName name="expiry">#REF!</definedName>
    <definedName name="OptionPayout">_xlfn.LAMBDA(_xlpm.type,_xlpm.spot,_xlpm.strike,MAX(0,(_xlpm.spot-_xlpm.strike)*IF(_xlpm.type="Call",1,-1)))</definedName>
    <definedName name="PlusIt">_xlfn.LAMBDA(_xlpm.ksu,_xlpm.zips,_xlpm.ksu+_xlpm.zips)</definedName>
    <definedName name="PutDelta">_xlfn.LAMBDA(_xlpm.spot,_xlpm.strike,_xlpm.time,_xlpm.interest,_xlpm.implied,_xlpm.divyld,+EXP(-_xlpm.divyld*_xlpm.time)*(-1+_xlfn.NORM.S.DIST((LN(_xlpm.spot/_xlpm.strike)+_xlpm.time*(_xlpm.interest-_xlpm.divyld+(_xlpm.implied^2/2)))/(_xlpm.implied*SQRT(_xlpm.time)),TRUE)))</definedName>
    <definedName name="PutPrice">_xlfn.LAMBDA(_xlpm.spot1,_xlpm.strike1,_xlpm.expiry1,_xlpm.riskfree1,_xlpm.volatility1,_xlpm.divyld1,-_xlpm.spot1*EXP(-_xlpm.divyld1*_xlpm.expiry1)*_xlfn.NORM.S.DIST(-(LN(_xlpm.spot1/_xlpm.strike1)+(_xlpm.riskfree1-_xlpm.divyld1+(_xlpm.volatility1^2)/2)*_xlpm.expiry1)/(_xlpm.volatility1*SQRT(_xlpm.expiry1)),TRUE)+_xlpm.strike1*EXP(-_xlpm.riskfree1*_xlpm.expiry1)*_xlfn.NORM.S.DIST(-((LN(_xlpm.spot1/_xlpm.strike1)+(_xlpm.riskfree1-_xlpm.divyld1+(_xlpm.volatility1^2)/2)*_xlpm.expiry1)/(_xlpm.volatility1*SQRT(_xlpm.expiry1))-(_xlpm.volatility1*SQRT(_xlpm.expiry1))),TRUE))</definedName>
    <definedName name="riskfree" localSheetId="6">Butterfly!$G$6</definedName>
    <definedName name="riskfree" localSheetId="2">'Call Spread'!$G$6</definedName>
    <definedName name="riskfree" localSheetId="3">'Put Spread'!$G$6</definedName>
    <definedName name="riskfree" localSheetId="5">'Risk Reversal'!$G$6</definedName>
    <definedName name="riskfree" localSheetId="4">'Synthetic Call'!$G$6</definedName>
    <definedName name="riskfree">#REF!</definedName>
    <definedName name="spot" localSheetId="6">Butterfly!$G$3</definedName>
    <definedName name="spot" localSheetId="2">'Call Spread'!$G$3</definedName>
    <definedName name="spot" localSheetId="3">'Put Spread'!$G$3</definedName>
    <definedName name="spot" localSheetId="5">'Risk Reversal'!$G$3</definedName>
    <definedName name="spot" localSheetId="4">'Synthetic Call'!$G$3</definedName>
    <definedName name="spot">#REF!</definedName>
    <definedName name="strike" localSheetId="6">Butterfly!$G$4</definedName>
    <definedName name="strike" localSheetId="2">'Call Spread'!$G$4</definedName>
    <definedName name="strike" localSheetId="3">'Put Spread'!$G$4</definedName>
    <definedName name="strike" localSheetId="5">'Risk Reversal'!$G$4</definedName>
    <definedName name="strike" localSheetId="4">'Synthetic Call'!$G$4</definedName>
    <definedName name="strike">#REF!</definedName>
    <definedName name="TimesIt">_xlfn.LAMBDA(_xlpm.first,_xlpm.second,_xlpm.first*_xlpm.second)</definedName>
    <definedName name="vol" localSheetId="6">Butterfly!$G$8</definedName>
    <definedName name="vol" localSheetId="2">'Call Spread'!$G$8</definedName>
    <definedName name="vol" localSheetId="3">'Put Spread'!$G$8</definedName>
    <definedName name="vol" localSheetId="5">'Risk Reversal'!$G$8</definedName>
    <definedName name="vol" localSheetId="4">'Synthetic Call'!$G$8</definedName>
    <definedName name="vol">#REF!</definedName>
  </definedNames>
  <calcPr calcId="191028" iterate="1" iterateCount="2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1" l="1"/>
  <c r="K18" i="11" a="1"/>
  <c r="K18" i="11" s="1"/>
  <c r="J18" i="11" a="1"/>
  <c r="J18" i="11" s="1"/>
  <c r="I18" i="11" a="1"/>
  <c r="I18" i="11" s="1"/>
  <c r="H18" i="11" a="1"/>
  <c r="H18" i="11"/>
  <c r="K31" i="11" a="1"/>
  <c r="K31" i="11" s="1"/>
  <c r="K29" i="11" a="1"/>
  <c r="K29" i="11" s="1"/>
  <c r="K21" i="11" a="1"/>
  <c r="K21" i="11" s="1"/>
  <c r="F20" i="11" a="1"/>
  <c r="F20" i="11"/>
  <c r="K19" i="11" a="1"/>
  <c r="K19" i="11"/>
  <c r="J19" i="11" a="1"/>
  <c r="J19" i="11"/>
  <c r="I19" i="11" a="1"/>
  <c r="I19" i="11"/>
  <c r="H19" i="11" a="1"/>
  <c r="H19" i="11"/>
  <c r="G10" i="11" a="1"/>
  <c r="G10" i="11" s="1"/>
  <c r="G9" i="11" a="1"/>
  <c r="G9" i="11" s="1"/>
  <c r="H5" i="10"/>
  <c r="K18" i="10" a="1"/>
  <c r="K18" i="10"/>
  <c r="K23" i="10" s="1" a="1"/>
  <c r="K23" i="10" s="1"/>
  <c r="J18" i="10" a="1"/>
  <c r="J18" i="10" s="1"/>
  <c r="J20" i="10" s="1" a="1"/>
  <c r="J20" i="10" s="1"/>
  <c r="I18" i="10" a="1"/>
  <c r="I18" i="10" s="1"/>
  <c r="I26" i="10" s="1" a="1"/>
  <c r="I26" i="10" s="1"/>
  <c r="H18" i="10" a="1"/>
  <c r="H18" i="10" s="1"/>
  <c r="H20" i="10" s="1" a="1"/>
  <c r="H20" i="10" s="1"/>
  <c r="K27" i="10" a="1"/>
  <c r="K27" i="10"/>
  <c r="I27" i="10" a="1"/>
  <c r="I27" i="10" s="1"/>
  <c r="K22" i="10" a="1"/>
  <c r="K22" i="10" s="1"/>
  <c r="K21" i="10" a="1"/>
  <c r="K21" i="10"/>
  <c r="F20" i="10" a="1"/>
  <c r="F20" i="10"/>
  <c r="K19" i="10" a="1"/>
  <c r="K19" i="10"/>
  <c r="J19" i="10" a="1"/>
  <c r="J19" i="10"/>
  <c r="I19" i="10" a="1"/>
  <c r="I19" i="10"/>
  <c r="H19" i="10" a="1"/>
  <c r="H19" i="10"/>
  <c r="G10" i="10" a="1"/>
  <c r="G10" i="10" s="1"/>
  <c r="G9" i="10" a="1"/>
  <c r="G9" i="10" s="1"/>
  <c r="H5" i="9"/>
  <c r="K18" i="9" a="1"/>
  <c r="K18" i="9" s="1"/>
  <c r="K29" i="9" s="1" a="1"/>
  <c r="K29" i="9" s="1"/>
  <c r="J18" i="9" a="1"/>
  <c r="J18" i="9"/>
  <c r="I18" i="9" a="1"/>
  <c r="I18" i="9" s="1"/>
  <c r="I32" i="9" s="1" a="1"/>
  <c r="I32" i="9" s="1"/>
  <c r="H18" i="9" a="1"/>
  <c r="H18" i="9" s="1"/>
  <c r="H20" i="9" s="1" a="1"/>
  <c r="H20" i="9" s="1"/>
  <c r="H32" i="9" a="1"/>
  <c r="H32" i="9" s="1"/>
  <c r="K31" i="9" a="1"/>
  <c r="K31" i="9" s="1"/>
  <c r="K30" i="9" a="1"/>
  <c r="K30" i="9" s="1"/>
  <c r="K28" i="9" a="1"/>
  <c r="K28" i="9" s="1"/>
  <c r="I28" i="9" a="1"/>
  <c r="I28" i="9" s="1"/>
  <c r="H28" i="9" a="1"/>
  <c r="H28" i="9" s="1"/>
  <c r="K27" i="9" a="1"/>
  <c r="K27" i="9" s="1"/>
  <c r="K26" i="9" a="1"/>
  <c r="K26" i="9" s="1"/>
  <c r="K24" i="9" a="1"/>
  <c r="K24" i="9" s="1"/>
  <c r="I24" i="9" a="1"/>
  <c r="I24" i="9" s="1"/>
  <c r="H24" i="9" a="1"/>
  <c r="H24" i="9" s="1"/>
  <c r="K23" i="9" a="1"/>
  <c r="K23" i="9" s="1"/>
  <c r="K22" i="9" a="1"/>
  <c r="K22" i="9" s="1"/>
  <c r="F20" i="9" a="1"/>
  <c r="F20" i="9"/>
  <c r="J20" i="9" a="1"/>
  <c r="J20" i="9" s="1"/>
  <c r="I20" i="9" a="1"/>
  <c r="I20" i="9" s="1"/>
  <c r="K19" i="9" a="1"/>
  <c r="K19" i="9"/>
  <c r="J19" i="9" a="1"/>
  <c r="J19" i="9"/>
  <c r="I19" i="9" a="1"/>
  <c r="I19" i="9"/>
  <c r="H19" i="9" a="1"/>
  <c r="H19" i="9"/>
  <c r="G10" i="9" a="1"/>
  <c r="G10" i="9" s="1"/>
  <c r="G9" i="9" a="1"/>
  <c r="G9" i="9" s="1"/>
  <c r="H5" i="8"/>
  <c r="K18" i="8" a="1"/>
  <c r="K18" i="8" s="1"/>
  <c r="K23" i="8" s="1" a="1"/>
  <c r="K23" i="8" s="1"/>
  <c r="K32" i="8" a="1"/>
  <c r="K32" i="8" s="1"/>
  <c r="J18" i="8" a="1"/>
  <c r="J18" i="8" s="1"/>
  <c r="J32" i="8" s="1" a="1"/>
  <c r="J32" i="8" s="1"/>
  <c r="I18" i="8" a="1"/>
  <c r="I18" i="8"/>
  <c r="I27" i="8" s="1" a="1"/>
  <c r="I27" i="8" s="1"/>
  <c r="I32" i="8" a="1"/>
  <c r="I32" i="8"/>
  <c r="H18" i="8" a="1"/>
  <c r="H18" i="8" s="1"/>
  <c r="H20" i="8" s="1" a="1"/>
  <c r="H20" i="8" s="1"/>
  <c r="H32" i="8" a="1"/>
  <c r="H32" i="8" s="1"/>
  <c r="G32" i="8" s="1"/>
  <c r="K31" i="8" a="1"/>
  <c r="K31" i="8" s="1"/>
  <c r="J31" i="8" a="1"/>
  <c r="J31" i="8" s="1"/>
  <c r="I31" i="8" a="1"/>
  <c r="I31" i="8" s="1"/>
  <c r="K30" i="8" a="1"/>
  <c r="K30" i="8" s="1"/>
  <c r="I30" i="8" a="1"/>
  <c r="I30" i="8" s="1"/>
  <c r="J29" i="8" a="1"/>
  <c r="J29" i="8" s="1"/>
  <c r="I29" i="8" a="1"/>
  <c r="I29" i="8" s="1"/>
  <c r="K28" i="8" a="1"/>
  <c r="K28" i="8"/>
  <c r="J28" i="8" a="1"/>
  <c r="J28" i="8"/>
  <c r="I28" i="8" a="1"/>
  <c r="I28" i="8" s="1"/>
  <c r="H28" i="8" a="1"/>
  <c r="H28" i="8" s="1"/>
  <c r="G28" i="8" s="1"/>
  <c r="K27" i="8" a="1"/>
  <c r="K27" i="8" s="1"/>
  <c r="J27" i="8" a="1"/>
  <c r="J27" i="8" s="1"/>
  <c r="J26" i="8" a="1"/>
  <c r="J26" i="8"/>
  <c r="J25" i="8" a="1"/>
  <c r="J25" i="8" s="1"/>
  <c r="I25" i="8" a="1"/>
  <c r="I25" i="8" s="1"/>
  <c r="K24" i="8" a="1"/>
  <c r="K24" i="8"/>
  <c r="J24" i="8" a="1"/>
  <c r="J24" i="8"/>
  <c r="I24" i="8" a="1"/>
  <c r="I24" i="8" s="1"/>
  <c r="H24" i="8" a="1"/>
  <c r="H24" i="8" s="1"/>
  <c r="G24" i="8" s="1"/>
  <c r="J22" i="8" a="1"/>
  <c r="J22" i="8"/>
  <c r="I22" i="8" a="1"/>
  <c r="I22" i="8" s="1"/>
  <c r="K21" i="8" a="1"/>
  <c r="K21" i="8" s="1"/>
  <c r="J21" i="8" a="1"/>
  <c r="J21" i="8" s="1"/>
  <c r="I21" i="8" a="1"/>
  <c r="I21" i="8" s="1"/>
  <c r="F20" i="8" a="1"/>
  <c r="F20" i="8"/>
  <c r="K20" i="8" a="1"/>
  <c r="K20" i="8"/>
  <c r="J20" i="8" a="1"/>
  <c r="J20" i="8" s="1"/>
  <c r="K19" i="8" a="1"/>
  <c r="K19" i="8"/>
  <c r="J19" i="8" a="1"/>
  <c r="J19" i="8"/>
  <c r="I19" i="8" a="1"/>
  <c r="I19" i="8"/>
  <c r="H19" i="8" a="1"/>
  <c r="H19" i="8"/>
  <c r="G10" i="8" a="1"/>
  <c r="G10" i="8"/>
  <c r="G9" i="8" a="1"/>
  <c r="G9" i="8" s="1"/>
  <c r="H5" i="7"/>
  <c r="H18" i="7" a="1"/>
  <c r="H18" i="7" s="1"/>
  <c r="F20" i="7" a="1"/>
  <c r="F20" i="7"/>
  <c r="H20" i="7" a="1"/>
  <c r="H20" i="7" s="1"/>
  <c r="K18" i="7" a="1"/>
  <c r="K18" i="7" s="1"/>
  <c r="K21" i="7" s="1" a="1"/>
  <c r="K21" i="7" s="1"/>
  <c r="K32" i="7" a="1"/>
  <c r="K32" i="7" s="1"/>
  <c r="J18" i="7" a="1"/>
  <c r="J18" i="7" s="1"/>
  <c r="J28" i="7" s="1" a="1"/>
  <c r="J28" i="7" s="1"/>
  <c r="J32" i="7" a="1"/>
  <c r="J32" i="7"/>
  <c r="I18" i="7" a="1"/>
  <c r="I18" i="7" s="1"/>
  <c r="H32" i="7" a="1"/>
  <c r="H32" i="7" s="1"/>
  <c r="H30" i="7" a="1"/>
  <c r="H30" i="7" s="1"/>
  <c r="K29" i="7" a="1"/>
  <c r="K29" i="7" s="1"/>
  <c r="J29" i="7" a="1"/>
  <c r="J29" i="7" s="1"/>
  <c r="K28" i="7" a="1"/>
  <c r="K28" i="7" s="1"/>
  <c r="H28" i="7" a="1"/>
  <c r="H28" i="7" s="1"/>
  <c r="H26" i="7" a="1"/>
  <c r="H26" i="7" s="1"/>
  <c r="K25" i="7" a="1"/>
  <c r="K25" i="7" s="1"/>
  <c r="J25" i="7" a="1"/>
  <c r="J25" i="7" s="1"/>
  <c r="H24" i="7" a="1"/>
  <c r="H24" i="7" s="1"/>
  <c r="J22" i="7" a="1"/>
  <c r="J22" i="7"/>
  <c r="H22" i="7" a="1"/>
  <c r="H22" i="7" s="1"/>
  <c r="K19" i="7" a="1"/>
  <c r="K19" i="7"/>
  <c r="J19" i="7" a="1"/>
  <c r="J19" i="7"/>
  <c r="I19" i="7" a="1"/>
  <c r="I19" i="7"/>
  <c r="H19" i="7" a="1"/>
  <c r="H19" i="7"/>
  <c r="G10" i="7" a="1"/>
  <c r="G10" i="7" s="1"/>
  <c r="G9" i="7" a="1"/>
  <c r="G9" i="7"/>
  <c r="B13" i="1" a="1"/>
  <c r="B13" i="1"/>
  <c r="B3" i="3" a="1"/>
  <c r="B3" i="3"/>
  <c r="B2" i="3" a="1"/>
  <c r="B2" i="3"/>
  <c r="A2" i="3"/>
  <c r="C3" i="3"/>
  <c r="C2" i="3"/>
  <c r="G20" i="9" l="1"/>
  <c r="I25" i="7" a="1"/>
  <c r="I25" i="7" s="1"/>
  <c r="I28" i="7" a="1"/>
  <c r="I28" i="7" s="1"/>
  <c r="I29" i="7" a="1"/>
  <c r="I29" i="7" s="1"/>
  <c r="I32" i="7" a="1"/>
  <c r="I32" i="7" s="1"/>
  <c r="G32" i="7" s="1"/>
  <c r="I21" i="7" a="1"/>
  <c r="I21" i="7" s="1"/>
  <c r="I31" i="7" a="1"/>
  <c r="I31" i="7" s="1"/>
  <c r="I24" i="7" a="1"/>
  <c r="I24" i="7" s="1"/>
  <c r="G24" i="7" s="1"/>
  <c r="I20" i="7" a="1"/>
  <c r="I20" i="7" s="1"/>
  <c r="G20" i="7" s="1"/>
  <c r="I26" i="7" a="1"/>
  <c r="I26" i="7" s="1"/>
  <c r="G26" i="7" s="1"/>
  <c r="I27" i="7" a="1"/>
  <c r="I27" i="7" s="1"/>
  <c r="I23" i="7" a="1"/>
  <c r="I23" i="7" s="1"/>
  <c r="I30" i="7" a="1"/>
  <c r="I30" i="7" s="1"/>
  <c r="G30" i="7" s="1"/>
  <c r="I22" i="7" a="1"/>
  <c r="I22" i="7" s="1"/>
  <c r="G28" i="7"/>
  <c r="K22" i="7" a="1"/>
  <c r="K22" i="7" s="1"/>
  <c r="G22" i="7" s="1"/>
  <c r="K28" i="10" a="1"/>
  <c r="K28" i="10" s="1"/>
  <c r="I29" i="10" a="1"/>
  <c r="I29" i="10" s="1"/>
  <c r="J32" i="11" a="1"/>
  <c r="J32" i="11" s="1"/>
  <c r="J20" i="11" a="1"/>
  <c r="J20" i="11" s="1"/>
  <c r="J30" i="11" a="1"/>
  <c r="J30" i="11" s="1"/>
  <c r="J28" i="11" a="1"/>
  <c r="J28" i="11" s="1"/>
  <c r="J24" i="11" a="1"/>
  <c r="J24" i="11" s="1"/>
  <c r="J22" i="11" a="1"/>
  <c r="J22" i="11" s="1"/>
  <c r="J26" i="11" a="1"/>
  <c r="J26" i="11" s="1"/>
  <c r="J31" i="11" a="1"/>
  <c r="J31" i="11" s="1"/>
  <c r="J29" i="11" a="1"/>
  <c r="J29" i="11" s="1"/>
  <c r="J27" i="11" a="1"/>
  <c r="J27" i="11" s="1"/>
  <c r="J25" i="11" a="1"/>
  <c r="J25" i="11" s="1"/>
  <c r="J23" i="11" a="1"/>
  <c r="J23" i="11" s="1"/>
  <c r="J21" i="11" a="1"/>
  <c r="J21" i="11" s="1"/>
  <c r="K26" i="7" a="1"/>
  <c r="K26" i="7" s="1"/>
  <c r="H22" i="8" a="1"/>
  <c r="H22" i="8" s="1"/>
  <c r="G22" i="8" s="1"/>
  <c r="I21" i="9" a="1"/>
  <c r="I21" i="9" s="1"/>
  <c r="I25" i="9" a="1"/>
  <c r="I25" i="9" s="1"/>
  <c r="I29" i="9" a="1"/>
  <c r="I29" i="9" s="1"/>
  <c r="K23" i="7" a="1"/>
  <c r="K23" i="7" s="1"/>
  <c r="K25" i="8" a="1"/>
  <c r="K25" i="8" s="1"/>
  <c r="K21" i="9" a="1"/>
  <c r="K21" i="9" s="1"/>
  <c r="J27" i="7" a="1"/>
  <c r="J27" i="7" s="1"/>
  <c r="K30" i="7" a="1"/>
  <c r="K30" i="7" s="1"/>
  <c r="H31" i="7" a="1"/>
  <c r="H31" i="7" s="1"/>
  <c r="H29" i="7" a="1"/>
  <c r="H29" i="7" s="1"/>
  <c r="G29" i="7" s="1"/>
  <c r="H27" i="7" a="1"/>
  <c r="H27" i="7" s="1"/>
  <c r="H25" i="7" a="1"/>
  <c r="H25" i="7" s="1"/>
  <c r="G25" i="7" s="1"/>
  <c r="H23" i="7" a="1"/>
  <c r="H23" i="7" s="1"/>
  <c r="H21" i="7" a="1"/>
  <c r="H21" i="7" s="1"/>
  <c r="G21" i="7" s="1"/>
  <c r="H26" i="8" a="1"/>
  <c r="H26" i="8" s="1"/>
  <c r="G26" i="8" s="1"/>
  <c r="H22" i="9" a="1"/>
  <c r="H22" i="9" s="1"/>
  <c r="H26" i="9" a="1"/>
  <c r="H26" i="9" s="1"/>
  <c r="H30" i="9" a="1"/>
  <c r="H30" i="9" s="1"/>
  <c r="K24" i="10" a="1"/>
  <c r="K24" i="10" s="1"/>
  <c r="K29" i="10" a="1"/>
  <c r="K29" i="10" s="1"/>
  <c r="I22" i="10" a="1"/>
  <c r="I22" i="10" s="1"/>
  <c r="H21" i="9" a="1"/>
  <c r="H21" i="9" s="1"/>
  <c r="J25" i="9" a="1"/>
  <c r="J25" i="9" s="1"/>
  <c r="J31" i="9" a="1"/>
  <c r="J31" i="9" s="1"/>
  <c r="J29" i="9" a="1"/>
  <c r="J29" i="9" s="1"/>
  <c r="J27" i="9" a="1"/>
  <c r="J27" i="9" s="1"/>
  <c r="J23" i="9" a="1"/>
  <c r="J23" i="9" s="1"/>
  <c r="J21" i="9" a="1"/>
  <c r="J21" i="9" s="1"/>
  <c r="J32" i="9" a="1"/>
  <c r="J32" i="9" s="1"/>
  <c r="G32" i="9" s="1"/>
  <c r="J30" i="9" a="1"/>
  <c r="J30" i="9" s="1"/>
  <c r="J28" i="9" a="1"/>
  <c r="J28" i="9" s="1"/>
  <c r="G28" i="9" s="1"/>
  <c r="J26" i="9" a="1"/>
  <c r="J26" i="9" s="1"/>
  <c r="J24" i="9" a="1"/>
  <c r="J24" i="9" s="1"/>
  <c r="G24" i="9" s="1"/>
  <c r="J22" i="9" a="1"/>
  <c r="J22" i="9" s="1"/>
  <c r="J23" i="7" a="1"/>
  <c r="J23" i="7" s="1"/>
  <c r="J30" i="7" a="1"/>
  <c r="J30" i="7" s="1"/>
  <c r="K32" i="9" a="1"/>
  <c r="K32" i="9" s="1"/>
  <c r="K20" i="9" a="1"/>
  <c r="K20" i="9" s="1"/>
  <c r="K20" i="11" a="1"/>
  <c r="K20" i="11" s="1"/>
  <c r="K30" i="11" a="1"/>
  <c r="K30" i="11" s="1"/>
  <c r="K28" i="11" a="1"/>
  <c r="K28" i="11" s="1"/>
  <c r="K26" i="11" a="1"/>
  <c r="K26" i="11" s="1"/>
  <c r="K24" i="11" a="1"/>
  <c r="K24" i="11" s="1"/>
  <c r="K22" i="11" a="1"/>
  <c r="K22" i="11" s="1"/>
  <c r="K32" i="11" a="1"/>
  <c r="K32" i="11" s="1"/>
  <c r="K25" i="9" a="1"/>
  <c r="K25" i="9" s="1"/>
  <c r="I24" i="10" a="1"/>
  <c r="I24" i="10" s="1"/>
  <c r="J20" i="7" a="1"/>
  <c r="J20" i="7" s="1"/>
  <c r="K27" i="7" a="1"/>
  <c r="K27" i="7" s="1"/>
  <c r="I26" i="8" a="1"/>
  <c r="I26" i="8" s="1"/>
  <c r="K29" i="8" a="1"/>
  <c r="K29" i="8" s="1"/>
  <c r="I22" i="9" a="1"/>
  <c r="I22" i="9" s="1"/>
  <c r="I26" i="9" a="1"/>
  <c r="I26" i="9" s="1"/>
  <c r="I30" i="9" a="1"/>
  <c r="I30" i="9" s="1"/>
  <c r="I25" i="10" a="1"/>
  <c r="I25" i="10" s="1"/>
  <c r="I30" i="10" a="1"/>
  <c r="I30" i="10" s="1"/>
  <c r="K23" i="11" a="1"/>
  <c r="K23" i="11" s="1"/>
  <c r="I28" i="10" a="1"/>
  <c r="I28" i="10" s="1"/>
  <c r="K20" i="10" a="1"/>
  <c r="K20" i="10" s="1"/>
  <c r="K32" i="10" a="1"/>
  <c r="K32" i="10" s="1"/>
  <c r="J26" i="7" a="1"/>
  <c r="J26" i="7" s="1"/>
  <c r="H29" i="9" a="1"/>
  <c r="H29" i="9" s="1"/>
  <c r="G29" i="9" s="1"/>
  <c r="J31" i="7" a="1"/>
  <c r="J31" i="7" s="1"/>
  <c r="H30" i="8" a="1"/>
  <c r="H30" i="8" s="1"/>
  <c r="K20" i="7" a="1"/>
  <c r="K20" i="7" s="1"/>
  <c r="J24" i="7" a="1"/>
  <c r="J24" i="7" s="1"/>
  <c r="K31" i="7" a="1"/>
  <c r="K31" i="7" s="1"/>
  <c r="K22" i="8" a="1"/>
  <c r="K22" i="8" s="1"/>
  <c r="I31" i="10" a="1"/>
  <c r="I31" i="10" s="1"/>
  <c r="K25" i="11" a="1"/>
  <c r="K25" i="11" s="1"/>
  <c r="I23" i="8" a="1"/>
  <c r="I23" i="8" s="1"/>
  <c r="H23" i="9" a="1"/>
  <c r="H23" i="9" s="1"/>
  <c r="H27" i="9" a="1"/>
  <c r="H27" i="9" s="1"/>
  <c r="H31" i="9" a="1"/>
  <c r="H31" i="9" s="1"/>
  <c r="K25" i="10" a="1"/>
  <c r="K25" i="10" s="1"/>
  <c r="J21" i="7" a="1"/>
  <c r="J21" i="7" s="1"/>
  <c r="K24" i="7" a="1"/>
  <c r="K24" i="7" s="1"/>
  <c r="I20" i="8" a="1"/>
  <c r="I20" i="8" s="1"/>
  <c r="G20" i="8" s="1"/>
  <c r="J23" i="8" a="1"/>
  <c r="J23" i="8" s="1"/>
  <c r="K26" i="8" a="1"/>
  <c r="K26" i="8" s="1"/>
  <c r="J30" i="8" a="1"/>
  <c r="J30" i="8" s="1"/>
  <c r="I21" i="10" a="1"/>
  <c r="I21" i="10" s="1"/>
  <c r="K27" i="11" a="1"/>
  <c r="K27" i="11" s="1"/>
  <c r="H30" i="10" a="1"/>
  <c r="H30" i="10" s="1"/>
  <c r="H26" i="10" a="1"/>
  <c r="H26" i="10" s="1"/>
  <c r="G26" i="10" s="1"/>
  <c r="H22" i="10" a="1"/>
  <c r="H22" i="10" s="1"/>
  <c r="H32" i="10" a="1"/>
  <c r="H32" i="10" s="1"/>
  <c r="G32" i="10" s="1"/>
  <c r="H28" i="10" a="1"/>
  <c r="H28" i="10" s="1"/>
  <c r="G28" i="10" s="1"/>
  <c r="H24" i="10" a="1"/>
  <c r="H24" i="10" s="1"/>
  <c r="G24" i="10" s="1"/>
  <c r="H31" i="10" a="1"/>
  <c r="H31" i="10" s="1"/>
  <c r="G31" i="10" s="1"/>
  <c r="H29" i="10" a="1"/>
  <c r="H29" i="10" s="1"/>
  <c r="H27" i="10" a="1"/>
  <c r="H27" i="10" s="1"/>
  <c r="H23" i="10" a="1"/>
  <c r="H23" i="10" s="1"/>
  <c r="G23" i="10" s="1"/>
  <c r="H21" i="10" a="1"/>
  <c r="H21" i="10" s="1"/>
  <c r="G21" i="10" s="1"/>
  <c r="H25" i="10" a="1"/>
  <c r="H25" i="10" s="1"/>
  <c r="I32" i="10" a="1"/>
  <c r="I32" i="10" s="1"/>
  <c r="I20" i="10" a="1"/>
  <c r="I20" i="10" s="1"/>
  <c r="G20" i="10" s="1"/>
  <c r="J30" i="10" a="1"/>
  <c r="J30" i="10" s="1"/>
  <c r="J28" i="10" a="1"/>
  <c r="J28" i="10" s="1"/>
  <c r="J26" i="10" a="1"/>
  <c r="J26" i="10" s="1"/>
  <c r="J24" i="10" a="1"/>
  <c r="J24" i="10" s="1"/>
  <c r="J22" i="10" a="1"/>
  <c r="J22" i="10" s="1"/>
  <c r="J31" i="10" a="1"/>
  <c r="J31" i="10" s="1"/>
  <c r="J29" i="10" a="1"/>
  <c r="J29" i="10" s="1"/>
  <c r="J27" i="10" a="1"/>
  <c r="J27" i="10" s="1"/>
  <c r="J25" i="10" a="1"/>
  <c r="J25" i="10" s="1"/>
  <c r="J23" i="10" a="1"/>
  <c r="J23" i="10" s="1"/>
  <c r="J21" i="10" a="1"/>
  <c r="J21" i="10" s="1"/>
  <c r="J32" i="10" a="1"/>
  <c r="J32" i="10" s="1"/>
  <c r="H31" i="11" a="1"/>
  <c r="H31" i="11" s="1"/>
  <c r="H29" i="11" a="1"/>
  <c r="H29" i="11" s="1"/>
  <c r="H27" i="11" a="1"/>
  <c r="H27" i="11" s="1"/>
  <c r="H25" i="11" a="1"/>
  <c r="H25" i="11" s="1"/>
  <c r="H23" i="11" a="1"/>
  <c r="H23" i="11" s="1"/>
  <c r="H21" i="11" a="1"/>
  <c r="H21" i="11" s="1"/>
  <c r="H20" i="11" a="1"/>
  <c r="H20" i="11" s="1"/>
  <c r="G20" i="11" s="1"/>
  <c r="H32" i="11" a="1"/>
  <c r="H32" i="11" s="1"/>
  <c r="H30" i="11" a="1"/>
  <c r="H30" i="11" s="1"/>
  <c r="G30" i="11" s="1"/>
  <c r="H28" i="11" a="1"/>
  <c r="H28" i="11" s="1"/>
  <c r="G28" i="11" s="1"/>
  <c r="H26" i="11" a="1"/>
  <c r="H26" i="11" s="1"/>
  <c r="G26" i="11" s="1"/>
  <c r="H24" i="11" a="1"/>
  <c r="H24" i="11" s="1"/>
  <c r="G24" i="11" s="1"/>
  <c r="H22" i="11" a="1"/>
  <c r="H22" i="11" s="1"/>
  <c r="I23" i="10" a="1"/>
  <c r="I23" i="10" s="1"/>
  <c r="H31" i="8" a="1"/>
  <c r="H31" i="8" s="1"/>
  <c r="G31" i="8" s="1"/>
  <c r="H27" i="8" a="1"/>
  <c r="H27" i="8" s="1"/>
  <c r="G27" i="8" s="1"/>
  <c r="H21" i="8" a="1"/>
  <c r="H21" i="8" s="1"/>
  <c r="G21" i="8" s="1"/>
  <c r="H29" i="8" a="1"/>
  <c r="H29" i="8" s="1"/>
  <c r="H25" i="8" a="1"/>
  <c r="H25" i="8" s="1"/>
  <c r="H23" i="8" a="1"/>
  <c r="H23" i="8" s="1"/>
  <c r="H25" i="9" a="1"/>
  <c r="H25" i="9" s="1"/>
  <c r="I31" i="11" a="1"/>
  <c r="I31" i="11" s="1"/>
  <c r="I29" i="11" a="1"/>
  <c r="I29" i="11" s="1"/>
  <c r="I27" i="11" a="1"/>
  <c r="I27" i="11" s="1"/>
  <c r="I25" i="11" a="1"/>
  <c r="I25" i="11" s="1"/>
  <c r="I23" i="11" a="1"/>
  <c r="I23" i="11" s="1"/>
  <c r="I21" i="11" a="1"/>
  <c r="I21" i="11" s="1"/>
  <c r="I32" i="11" a="1"/>
  <c r="I32" i="11" s="1"/>
  <c r="I20" i="11" a="1"/>
  <c r="I20" i="11" s="1"/>
  <c r="I30" i="11" a="1"/>
  <c r="I30" i="11" s="1"/>
  <c r="I28" i="11" a="1"/>
  <c r="I28" i="11" s="1"/>
  <c r="I26" i="11" a="1"/>
  <c r="I26" i="11" s="1"/>
  <c r="I24" i="11" a="1"/>
  <c r="I24" i="11" s="1"/>
  <c r="I22" i="11" a="1"/>
  <c r="I22" i="11" s="1"/>
  <c r="K30" i="10" a="1"/>
  <c r="K30" i="10" s="1"/>
  <c r="I23" i="9" a="1"/>
  <c r="I23" i="9" s="1"/>
  <c r="I27" i="9" a="1"/>
  <c r="I27" i="9" s="1"/>
  <c r="I31" i="9" a="1"/>
  <c r="I31" i="9" s="1"/>
  <c r="K26" i="10" a="1"/>
  <c r="K26" i="10" s="1"/>
  <c r="K31" i="10" a="1"/>
  <c r="K31" i="10" s="1"/>
  <c r="G23" i="9" l="1"/>
  <c r="G21" i="11"/>
  <c r="G31" i="7"/>
  <c r="G23" i="11"/>
  <c r="G25" i="8"/>
  <c r="G29" i="8"/>
  <c r="G27" i="11"/>
  <c r="G31" i="9"/>
  <c r="G23" i="7"/>
  <c r="G27" i="7"/>
  <c r="G25" i="9"/>
  <c r="G30" i="10"/>
  <c r="G23" i="8"/>
  <c r="G25" i="11"/>
  <c r="G29" i="11"/>
  <c r="G32" i="11"/>
  <c r="G25" i="10"/>
  <c r="G30" i="9"/>
  <c r="G27" i="10"/>
  <c r="G26" i="9"/>
  <c r="G27" i="9"/>
  <c r="G22" i="10"/>
  <c r="G31" i="11"/>
  <c r="G22" i="11"/>
  <c r="G29" i="10"/>
  <c r="G30" i="8"/>
  <c r="G21" i="9"/>
  <c r="G22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<sst xmlns="http://schemas.openxmlformats.org/spreadsheetml/2006/main" count="172" uniqueCount="39">
  <si>
    <t>CallPrice</t>
  </si>
  <si>
    <t>=LAMBDA(S,K,T,r,sigma,q, S * EXP(-q * T) * NORM.S.DIST((LN(S / K) + (r - q + (sigma^2) / 2) * T) / (sigma * SQRT(T)), TRUE) - K * EXP(-r * T) * NORM.S.DIST(((LN(S / K) + (r - q + (sigma^2) / 2) * T) / (sigma * SQRT(T))) - sigma * SQRT(T), TRUE))</t>
  </si>
  <si>
    <t>PutPrice</t>
  </si>
  <si>
    <t>=LAMBDA(spot1,strike1,expiry1,riskfree1,volatility1,divyld1,-spot1*EXP(-divyld1*expiry1)*NORM.S.DIST(-(LN(spot1/strike1)+(riskfree1-divyld1+(volatility1^2)/2)*expiry1)/(volatility1*SQRT(expiry1)),TRUE)+strike1*EXP(-riskfree1*expiry1)*NORM.S.DIST(-((LN(spot1/strike1)+(riskfree1-divyld1+(volatility1^2)/2)*expiry1)/(volatility1*SQRT(expiry1))-(volatility1*SQRT(expiry1))),TRUE))</t>
  </si>
  <si>
    <t>CallDelta</t>
  </si>
  <si>
    <t>=LAMBDA(spot,strike,time,interest,implied,divyld,+EXP(-divyld*time)*NORM.S.DIST((LN(spot/strike)+time*(interest-divyld+(implied^2/2)))/(implied*SQRT(time)),TRUE))</t>
  </si>
  <si>
    <t>PutDelta</t>
  </si>
  <si>
    <t>=LAMBDA(spot,strike,time,interest,implied,divyld,+EXP(-divyld*time)*(-1+NORM.S.DIST((LN(spot/strike)+time*(interest-divyld+(implied^2/2)))/(implied*SQRT(time)),TRUE)))</t>
  </si>
  <si>
    <t>TimesIt</t>
  </si>
  <si>
    <t>=lambda(first,second,first*second)</t>
  </si>
  <si>
    <t>PlusIt</t>
  </si>
  <si>
    <t>=lambda(ksu,zips,ksu+zips)</t>
  </si>
  <si>
    <t>Black Scholes Merton Option Pricing Tool</t>
  </si>
  <si>
    <t>Option Parameters</t>
  </si>
  <si>
    <t>Stock Price (S) (aka Spot)</t>
  </si>
  <si>
    <t>Strike Price (K) (aka deductible)</t>
  </si>
  <si>
    <t>Expiration (expiry)</t>
  </si>
  <si>
    <t>Riskfree Rate</t>
  </si>
  <si>
    <t>Dividend Yield</t>
  </si>
  <si>
    <t>FIXED</t>
  </si>
  <si>
    <t>Implied Volatility (sigma)(aka vol or volatility)(aka standard deviation)</t>
  </si>
  <si>
    <t>MKT</t>
  </si>
  <si>
    <t>Calc</t>
  </si>
  <si>
    <t>Call Price</t>
  </si>
  <si>
    <t>Put Price</t>
  </si>
  <si>
    <t>Position</t>
  </si>
  <si>
    <t>Type of Position</t>
  </si>
  <si>
    <t>Position Size</t>
  </si>
  <si>
    <t>Strike Price (K)</t>
  </si>
  <si>
    <t>Vol (aka Implied Volatility)</t>
  </si>
  <si>
    <t>Option Premium</t>
  </si>
  <si>
    <t>Spot</t>
  </si>
  <si>
    <t>Call</t>
  </si>
  <si>
    <t>Put</t>
  </si>
  <si>
    <t>Stock Price @ Expiry</t>
  </si>
  <si>
    <t>Portfolio</t>
  </si>
  <si>
    <t>OptionPayout</t>
  </si>
  <si>
    <t xml:space="preserve"> =LAMBDA(type,spot,strike,MAX(0,(spot-strike)*if(type="Call",1,-1)))</t>
  </si>
  <si>
    <t xml:space="preserve"> ----------&gt;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</si>
</sst>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3" formatCode="_(* #,##0.00_);_(* \(#,##0.00\);_(* &quot;-&quot;??_);_(@_)"/>
    <numFmt numFmtId="164" formatCode="0\ &quot;Months&quot;"/>
    <numFmt numFmtId="165" formatCode="0.00\ &quot;Years&quot;"/>
    <numFmt numFmtId="166" formatCode="_([$$-409]* #,##0.00_);_([$$-409]* \(#,##0.00\);_([$$-409]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</fonts>
  <fills count="1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81">
    <xf numFmtId="0" fontId="0" fillId="0" borderId="0" xfId="0"/>
    <xf numFmtId="0" fontId="0" fillId="0" borderId="0" xfId="0" quotePrefix="1"/>
    <xf numFmtId="0" fontId="0" fillId="3" borderId="0" xfId="0" applyFill="1"/>
    <xf numFmtId="0" fontId="0" fillId="7" borderId="0" xfId="0" applyFill="1"/>
    <xf numFmtId="0" fontId="0" fillId="0" borderId="0" xfId="0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9" borderId="7" xfId="0" applyFill="1" applyBorder="1" applyAlignment="1">
      <alignment horizontal="right"/>
    </xf>
    <xf numFmtId="0" fontId="0" fillId="10" borderId="11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10" borderId="1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9" fontId="0" fillId="0" borderId="14" xfId="0" applyNumberFormat="1" applyBorder="1" applyAlignment="1">
      <alignment horizontal="center"/>
    </xf>
    <xf numFmtId="9" fontId="0" fillId="0" borderId="15" xfId="0" applyNumberFormat="1" applyBorder="1" applyAlignment="1">
      <alignment horizontal="center"/>
    </xf>
    <xf numFmtId="2" fontId="0" fillId="0" borderId="4" xfId="3" applyNumberFormat="1" applyFont="1" applyBorder="1" applyAlignment="1">
      <alignment horizontal="center"/>
    </xf>
    <xf numFmtId="2" fontId="0" fillId="0" borderId="5" xfId="3" applyNumberFormat="1" applyFont="1" applyBorder="1" applyAlignment="1">
      <alignment horizontal="center"/>
    </xf>
    <xf numFmtId="2" fontId="0" fillId="0" borderId="6" xfId="3" applyNumberFormat="1" applyFont="1" applyBorder="1" applyAlignment="1">
      <alignment horizontal="center"/>
    </xf>
    <xf numFmtId="0" fontId="0" fillId="11" borderId="11" xfId="0" applyFill="1" applyBorder="1" applyAlignment="1">
      <alignment horizontal="right"/>
    </xf>
    <xf numFmtId="0" fontId="0" fillId="11" borderId="12" xfId="0" applyFill="1" applyBorder="1" applyAlignment="1">
      <alignment horizontal="right"/>
    </xf>
    <xf numFmtId="0" fontId="0" fillId="12" borderId="1" xfId="0" applyFill="1" applyBorder="1"/>
    <xf numFmtId="0" fontId="0" fillId="12" borderId="3" xfId="0" applyFill="1" applyBorder="1"/>
    <xf numFmtId="0" fontId="0" fillId="12" borderId="4" xfId="0" applyFill="1" applyBorder="1"/>
    <xf numFmtId="0" fontId="0" fillId="13" borderId="13" xfId="0" applyFill="1" applyBorder="1" applyAlignment="1">
      <alignment horizontal="right"/>
    </xf>
    <xf numFmtId="0" fontId="0" fillId="13" borderId="12" xfId="0" applyFill="1" applyBorder="1" applyAlignment="1">
      <alignment horizontal="right"/>
    </xf>
    <xf numFmtId="2" fontId="0" fillId="14" borderId="11" xfId="3" applyNumberFormat="1" applyFont="1" applyFill="1" applyBorder="1"/>
    <xf numFmtId="2" fontId="0" fillId="14" borderId="15" xfId="3" applyNumberFormat="1" applyFont="1" applyFill="1" applyBorder="1"/>
    <xf numFmtId="0" fontId="0" fillId="14" borderId="14" xfId="0" applyFill="1" applyBorder="1"/>
    <xf numFmtId="2" fontId="0" fillId="14" borderId="12" xfId="3" applyNumberFormat="1" applyFont="1" applyFill="1" applyBorder="1"/>
    <xf numFmtId="2" fontId="0" fillId="14" borderId="13" xfId="3" applyNumberFormat="1" applyFont="1" applyFill="1" applyBorder="1"/>
    <xf numFmtId="2" fontId="0" fillId="14" borderId="6" xfId="3" applyNumberFormat="1" applyFont="1" applyFill="1" applyBorder="1"/>
    <xf numFmtId="0" fontId="0" fillId="3" borderId="2" xfId="0" applyFill="1" applyBorder="1"/>
    <xf numFmtId="0" fontId="0" fillId="4" borderId="14" xfId="0" applyFill="1" applyBorder="1" applyAlignment="1">
      <alignment textRotation="255"/>
    </xf>
    <xf numFmtId="0" fontId="0" fillId="7" borderId="5" xfId="0" applyFill="1" applyBorder="1"/>
    <xf numFmtId="0" fontId="0" fillId="16" borderId="15" xfId="0" applyFill="1" applyBorder="1"/>
    <xf numFmtId="165" fontId="0" fillId="16" borderId="15" xfId="0" applyNumberFormat="1" applyFill="1" applyBorder="1"/>
    <xf numFmtId="166" fontId="0" fillId="16" borderId="5" xfId="0" applyNumberFormat="1" applyFill="1" applyBorder="1"/>
    <xf numFmtId="0" fontId="0" fillId="16" borderId="6" xfId="0" applyFill="1" applyBorder="1"/>
    <xf numFmtId="0" fontId="4" fillId="0" borderId="0" xfId="2" applyFont="1"/>
    <xf numFmtId="6" fontId="0" fillId="16" borderId="2" xfId="0" applyNumberFormat="1" applyFill="1" applyBorder="1"/>
    <xf numFmtId="0" fontId="0" fillId="16" borderId="3" xfId="0" applyFill="1" applyBorder="1"/>
    <xf numFmtId="6" fontId="0" fillId="16" borderId="0" xfId="0" applyNumberFormat="1" applyFill="1"/>
    <xf numFmtId="164" fontId="0" fillId="16" borderId="0" xfId="0" applyNumberFormat="1" applyFill="1"/>
    <xf numFmtId="9" fontId="0" fillId="16" borderId="0" xfId="0" applyNumberFormat="1" applyFill="1"/>
    <xf numFmtId="9" fontId="0" fillId="16" borderId="0" xfId="1" applyFont="1" applyFill="1"/>
    <xf numFmtId="9" fontId="0" fillId="16" borderId="0" xfId="0" applyNumberFormat="1" applyFill="1" applyAlignment="1">
      <alignment vertical="center"/>
    </xf>
    <xf numFmtId="166" fontId="0" fillId="16" borderId="0" xfId="0" applyNumberFormat="1" applyFill="1"/>
    <xf numFmtId="0" fontId="0" fillId="14" borderId="11" xfId="0" applyFill="1" applyBorder="1"/>
    <xf numFmtId="0" fontId="0" fillId="14" borderId="12" xfId="0" applyFill="1" applyBorder="1"/>
    <xf numFmtId="0" fontId="0" fillId="14" borderId="13" xfId="0" applyFill="1" applyBorder="1"/>
    <xf numFmtId="2" fontId="0" fillId="14" borderId="11" xfId="0" applyNumberFormat="1" applyFill="1" applyBorder="1"/>
    <xf numFmtId="2" fontId="0" fillId="14" borderId="3" xfId="3" applyNumberFormat="1" applyFont="1" applyFill="1" applyBorder="1"/>
    <xf numFmtId="2" fontId="0" fillId="14" borderId="12" xfId="0" applyNumberFormat="1" applyFill="1" applyBorder="1"/>
    <xf numFmtId="2" fontId="0" fillId="14" borderId="13" xfId="0" applyNumberFormat="1" applyFill="1" applyBorder="1"/>
    <xf numFmtId="2" fontId="0" fillId="14" borderId="7" xfId="3" applyNumberFormat="1" applyFont="1" applyFill="1" applyBorder="1"/>
    <xf numFmtId="2" fontId="0" fillId="14" borderId="10" xfId="3" applyNumberFormat="1" applyFont="1" applyFill="1" applyBorder="1"/>
    <xf numFmtId="2" fontId="0" fillId="14" borderId="3" xfId="0" applyNumberFormat="1" applyFill="1" applyBorder="1"/>
    <xf numFmtId="2" fontId="0" fillId="14" borderId="15" xfId="0" applyNumberFormat="1" applyFill="1" applyBorder="1"/>
    <xf numFmtId="2" fontId="0" fillId="14" borderId="10" xfId="0" applyNumberFormat="1" applyFill="1" applyBorder="1"/>
    <xf numFmtId="2" fontId="0" fillId="14" borderId="8" xfId="0" applyNumberFormat="1" applyFill="1" applyBorder="1"/>
    <xf numFmtId="2" fontId="0" fillId="14" borderId="8" xfId="3" applyNumberFormat="1" applyFont="1" applyFill="1" applyBorder="1"/>
    <xf numFmtId="0" fontId="3" fillId="15" borderId="8" xfId="0" applyFont="1" applyFill="1" applyBorder="1" applyAlignment="1">
      <alignment horizontal="center"/>
    </xf>
    <xf numFmtId="0" fontId="3" fillId="15" borderId="9" xfId="0" applyFont="1" applyFill="1" applyBorder="1" applyAlignment="1">
      <alignment horizontal="center"/>
    </xf>
    <xf numFmtId="0" fontId="3" fillId="15" borderId="10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textRotation="255"/>
    </xf>
    <xf numFmtId="0" fontId="0" fillId="2" borderId="14" xfId="0" applyFill="1" applyBorder="1" applyAlignment="1">
      <alignment horizontal="center" vertical="center" textRotation="255"/>
    </xf>
    <xf numFmtId="0" fontId="0" fillId="5" borderId="0" xfId="0" applyFill="1" applyAlignment="1">
      <alignment horizontal="center" vertical="center" wrapText="1"/>
    </xf>
    <xf numFmtId="0" fontId="0" fillId="6" borderId="14" xfId="0" applyFill="1" applyBorder="1" applyAlignment="1">
      <alignment horizontal="center" vertical="center" textRotation="255" shrinkToFit="1"/>
    </xf>
    <xf numFmtId="0" fontId="0" fillId="6" borderId="4" xfId="0" applyFill="1" applyBorder="1" applyAlignment="1">
      <alignment horizontal="center" vertical="center" textRotation="255" shrinkToFit="1"/>
    </xf>
    <xf numFmtId="0" fontId="3" fillId="8" borderId="1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0" fillId="12" borderId="0" xfId="0" applyFill="1"/>
    <xf numFmtId="0" fontId="0" fillId="12" borderId="0" xfId="0" quotePrefix="1" applyFill="1"/>
  </cellXfs>
  <cellStyles count="4">
    <cellStyle name="Comma" xfId="3" builtinId="3"/>
    <cellStyle name="Normal" xfId="0" builtinId="0"/>
    <cellStyle name="Percent" xfId="1" builtinId="5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Option Payout @ Expiration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'Call Spread'!$G$19</c:f>
              <c:strCache>
                <c:ptCount val="1"/>
                <c:pt idx="0">
                  <c:v>Portfolio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'Call Spread'!$F$20:$F$32</c:f>
              <c:numCache>
                <c:formatCode>General</c:formatCode>
                <c:ptCount val="13"/>
                <c:pt idx="0">
                  <c:v>70</c:v>
                </c:pt>
                <c:pt idx="1">
                  <c:v>75</c:v>
                </c:pt>
                <c:pt idx="2">
                  <c:v>80</c:v>
                </c:pt>
                <c:pt idx="3">
                  <c:v>85</c:v>
                </c:pt>
                <c:pt idx="4">
                  <c:v>90</c:v>
                </c:pt>
                <c:pt idx="5">
                  <c:v>95</c:v>
                </c:pt>
                <c:pt idx="6">
                  <c:v>100</c:v>
                </c:pt>
                <c:pt idx="7">
                  <c:v>105</c:v>
                </c:pt>
                <c:pt idx="8">
                  <c:v>110</c:v>
                </c:pt>
                <c:pt idx="9">
                  <c:v>115</c:v>
                </c:pt>
                <c:pt idx="10">
                  <c:v>120</c:v>
                </c:pt>
                <c:pt idx="11">
                  <c:v>125</c:v>
                </c:pt>
                <c:pt idx="12">
                  <c:v>130</c:v>
                </c:pt>
              </c:numCache>
            </c:numRef>
          </c:cat>
          <c:val>
            <c:numRef>
              <c:f>'Call Spread'!$G$20:$G$32</c:f>
              <c:numCache>
                <c:formatCode>0.00</c:formatCode>
                <c:ptCount val="13"/>
                <c:pt idx="0">
                  <c:v>-2.6313511879222418</c:v>
                </c:pt>
                <c:pt idx="1">
                  <c:v>-2.6313511879222418</c:v>
                </c:pt>
                <c:pt idx="2">
                  <c:v>-2.6313511879222418</c:v>
                </c:pt>
                <c:pt idx="3">
                  <c:v>-2.6313511879222418</c:v>
                </c:pt>
                <c:pt idx="4">
                  <c:v>-2.6313511879222418</c:v>
                </c:pt>
                <c:pt idx="5">
                  <c:v>-2.6313511879222418</c:v>
                </c:pt>
                <c:pt idx="6">
                  <c:v>-2.6313511879222418</c:v>
                </c:pt>
                <c:pt idx="7">
                  <c:v>2.3686488120777582</c:v>
                </c:pt>
                <c:pt idx="8">
                  <c:v>7.3686488120777582</c:v>
                </c:pt>
                <c:pt idx="9">
                  <c:v>7.3686488120777582</c:v>
                </c:pt>
                <c:pt idx="10">
                  <c:v>7.3686488120777582</c:v>
                </c:pt>
                <c:pt idx="11">
                  <c:v>7.3686488120777582</c:v>
                </c:pt>
                <c:pt idx="12">
                  <c:v>7.3686488120777582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97-4A33-8065-50D4FF99A03B}"/>
            </c:ext>
          </c:extLst>
        </c:ser>
        <c:ser>
          <c:idx val="1"/>
          <c:order val="1"/>
          <c:tx>
            <c:strRef>
              <c:f>'Call Spread'!$H$19</c:f>
              <c:strCache>
                <c:ptCount val="1"/>
                <c:pt idx="0">
                  <c:v>Long Call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'Call Spread'!$F$20:$F$32</c:f>
              <c:numCache>
                <c:formatCode>General</c:formatCode>
                <c:ptCount val="13"/>
                <c:pt idx="0">
                  <c:v>70</c:v>
                </c:pt>
                <c:pt idx="1">
                  <c:v>75</c:v>
                </c:pt>
                <c:pt idx="2">
                  <c:v>80</c:v>
                </c:pt>
                <c:pt idx="3">
                  <c:v>85</c:v>
                </c:pt>
                <c:pt idx="4">
                  <c:v>90</c:v>
                </c:pt>
                <c:pt idx="5">
                  <c:v>95</c:v>
                </c:pt>
                <c:pt idx="6">
                  <c:v>100</c:v>
                </c:pt>
                <c:pt idx="7">
                  <c:v>105</c:v>
                </c:pt>
                <c:pt idx="8">
                  <c:v>110</c:v>
                </c:pt>
                <c:pt idx="9">
                  <c:v>115</c:v>
                </c:pt>
                <c:pt idx="10">
                  <c:v>120</c:v>
                </c:pt>
                <c:pt idx="11">
                  <c:v>125</c:v>
                </c:pt>
                <c:pt idx="12">
                  <c:v>130</c:v>
                </c:pt>
              </c:numCache>
            </c:numRef>
          </c:cat>
          <c:val>
            <c:numRef>
              <c:f>'Call Spread'!$H$20:$H$32</c:f>
              <c:numCache>
                <c:formatCode>0.00</c:formatCode>
                <c:ptCount val="13"/>
                <c:pt idx="0">
                  <c:v>-5.3207647633136048</c:v>
                </c:pt>
                <c:pt idx="1">
                  <c:v>-5.3207647633136048</c:v>
                </c:pt>
                <c:pt idx="2">
                  <c:v>-5.3207647633136048</c:v>
                </c:pt>
                <c:pt idx="3">
                  <c:v>-5.3207647633136048</c:v>
                </c:pt>
                <c:pt idx="4">
                  <c:v>-5.3207647633136048</c:v>
                </c:pt>
                <c:pt idx="5">
                  <c:v>-5.3207647633136048</c:v>
                </c:pt>
                <c:pt idx="6">
                  <c:v>-5.3207647633136048</c:v>
                </c:pt>
                <c:pt idx="7">
                  <c:v>-0.32076476331360482</c:v>
                </c:pt>
                <c:pt idx="8">
                  <c:v>4.6792352366863952</c:v>
                </c:pt>
                <c:pt idx="9">
                  <c:v>9.6792352366863952</c:v>
                </c:pt>
                <c:pt idx="10">
                  <c:v>14.679235236686395</c:v>
                </c:pt>
                <c:pt idx="11">
                  <c:v>19.679235236686395</c:v>
                </c:pt>
                <c:pt idx="12">
                  <c:v>24.679235236686395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97-4A33-8065-50D4FF99A03B}"/>
            </c:ext>
          </c:extLst>
        </c:ser>
        <c:ser>
          <c:idx val="2"/>
          <c:order val="2"/>
          <c:tx>
            <c:strRef>
              <c:f>'Call Spread'!$I$19</c:f>
              <c:strCache>
                <c:ptCount val="1"/>
                <c:pt idx="0">
                  <c:v>Short Call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'Call Spread'!$F$20:$F$32</c:f>
              <c:numCache>
                <c:formatCode>General</c:formatCode>
                <c:ptCount val="13"/>
                <c:pt idx="0">
                  <c:v>70</c:v>
                </c:pt>
                <c:pt idx="1">
                  <c:v>75</c:v>
                </c:pt>
                <c:pt idx="2">
                  <c:v>80</c:v>
                </c:pt>
                <c:pt idx="3">
                  <c:v>85</c:v>
                </c:pt>
                <c:pt idx="4">
                  <c:v>90</c:v>
                </c:pt>
                <c:pt idx="5">
                  <c:v>95</c:v>
                </c:pt>
                <c:pt idx="6">
                  <c:v>100</c:v>
                </c:pt>
                <c:pt idx="7">
                  <c:v>105</c:v>
                </c:pt>
                <c:pt idx="8">
                  <c:v>110</c:v>
                </c:pt>
                <c:pt idx="9">
                  <c:v>115</c:v>
                </c:pt>
                <c:pt idx="10">
                  <c:v>120</c:v>
                </c:pt>
                <c:pt idx="11">
                  <c:v>125</c:v>
                </c:pt>
                <c:pt idx="12">
                  <c:v>130</c:v>
                </c:pt>
              </c:numCache>
            </c:numRef>
          </c:cat>
          <c:val>
            <c:numRef>
              <c:f>'Call Spread'!$I$20:$I$32</c:f>
              <c:numCache>
                <c:formatCode>0.00</c:formatCode>
                <c:ptCount val="13"/>
                <c:pt idx="0">
                  <c:v>2.6894135753913631</c:v>
                </c:pt>
                <c:pt idx="1">
                  <c:v>2.6894135753913631</c:v>
                </c:pt>
                <c:pt idx="2">
                  <c:v>2.6894135753913631</c:v>
                </c:pt>
                <c:pt idx="3">
                  <c:v>2.6894135753913631</c:v>
                </c:pt>
                <c:pt idx="4">
                  <c:v>2.6894135753913631</c:v>
                </c:pt>
                <c:pt idx="5">
                  <c:v>2.6894135753913631</c:v>
                </c:pt>
                <c:pt idx="6">
                  <c:v>2.6894135753913631</c:v>
                </c:pt>
                <c:pt idx="7">
                  <c:v>2.6894135753913631</c:v>
                </c:pt>
                <c:pt idx="8">
                  <c:v>2.6894135753913631</c:v>
                </c:pt>
                <c:pt idx="9">
                  <c:v>-2.3105864246086369</c:v>
                </c:pt>
                <c:pt idx="10">
                  <c:v>-7.3105864246086369</c:v>
                </c:pt>
                <c:pt idx="11">
                  <c:v>-12.310586424608637</c:v>
                </c:pt>
                <c:pt idx="12">
                  <c:v>-17.310586424608637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97-4A33-8065-50D4FF99A03B}"/>
            </c:ext>
          </c:extLst>
        </c:ser>
        <c:ser>
          <c:idx val="3"/>
          <c:order val="3"/>
          <c:tx>
            <c:strRef>
              <c:f>'Call Spread'!$J$19</c:f>
              <c:strCache>
                <c:ptCount val="1"/>
                <c:pt idx="0">
                  <c:v>None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'Call Spread'!$F$20:$F$32</c:f>
              <c:numCache>
                <c:formatCode>General</c:formatCode>
                <c:ptCount val="13"/>
                <c:pt idx="0">
                  <c:v>70</c:v>
                </c:pt>
                <c:pt idx="1">
                  <c:v>75</c:v>
                </c:pt>
                <c:pt idx="2">
                  <c:v>80</c:v>
                </c:pt>
                <c:pt idx="3">
                  <c:v>85</c:v>
                </c:pt>
                <c:pt idx="4">
                  <c:v>90</c:v>
                </c:pt>
                <c:pt idx="5">
                  <c:v>95</c:v>
                </c:pt>
                <c:pt idx="6">
                  <c:v>100</c:v>
                </c:pt>
                <c:pt idx="7">
                  <c:v>105</c:v>
                </c:pt>
                <c:pt idx="8">
                  <c:v>110</c:v>
                </c:pt>
                <c:pt idx="9">
                  <c:v>115</c:v>
                </c:pt>
                <c:pt idx="10">
                  <c:v>120</c:v>
                </c:pt>
                <c:pt idx="11">
                  <c:v>125</c:v>
                </c:pt>
                <c:pt idx="12">
                  <c:v>130</c:v>
                </c:pt>
              </c:numCache>
            </c:numRef>
          </c:cat>
          <c:val>
            <c:numRef>
              <c:f>'Call Spread'!$J$20:$J$32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97-4A33-8065-50D4FF99A03B}"/>
            </c:ext>
          </c:extLst>
        </c:ser>
        <c:ser>
          <c:idx val="4"/>
          <c:order val="4"/>
          <c:tx>
            <c:strRef>
              <c:f>'Call Spread'!$K$19</c:f>
              <c:strCache>
                <c:ptCount val="1"/>
                <c:pt idx="0">
                  <c:v>None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'Call Spread'!$F$20:$F$32</c:f>
              <c:numCache>
                <c:formatCode>General</c:formatCode>
                <c:ptCount val="13"/>
                <c:pt idx="0">
                  <c:v>70</c:v>
                </c:pt>
                <c:pt idx="1">
                  <c:v>75</c:v>
                </c:pt>
                <c:pt idx="2">
                  <c:v>80</c:v>
                </c:pt>
                <c:pt idx="3">
                  <c:v>85</c:v>
                </c:pt>
                <c:pt idx="4">
                  <c:v>90</c:v>
                </c:pt>
                <c:pt idx="5">
                  <c:v>95</c:v>
                </c:pt>
                <c:pt idx="6">
                  <c:v>100</c:v>
                </c:pt>
                <c:pt idx="7">
                  <c:v>105</c:v>
                </c:pt>
                <c:pt idx="8">
                  <c:v>110</c:v>
                </c:pt>
                <c:pt idx="9">
                  <c:v>115</c:v>
                </c:pt>
                <c:pt idx="10">
                  <c:v>120</c:v>
                </c:pt>
                <c:pt idx="11">
                  <c:v>125</c:v>
                </c:pt>
                <c:pt idx="12">
                  <c:v>130</c:v>
                </c:pt>
              </c:numCache>
            </c:numRef>
          </c:cat>
          <c:val>
            <c:numRef>
              <c:f>'Call Spread'!$K$20:$K$32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197-4A33-8065-50D4FF99A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072607"/>
        <c:axId val="194073087"/>
      </c:lineChart>
      <c:catAx>
        <c:axId val="194072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Stock Price --&gt;&gt;&gt;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low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73087"/>
        <c:crosses val="autoZero"/>
        <c:auto val="1"/>
        <c:lblAlgn val="ctr"/>
        <c:lblOffset val="100"/>
        <c:noMultiLvlLbl val="0"/>
      </c:catAx>
      <c:valAx>
        <c:axId val="194073087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P&amp;L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726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Option Payout @ Expiration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'Put Spread'!$G$19</c:f>
              <c:strCache>
                <c:ptCount val="1"/>
                <c:pt idx="0">
                  <c:v>Portfolio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'Put Spread'!$F$20:$F$32</c:f>
              <c:numCache>
                <c:formatCode>General</c:formatCode>
                <c:ptCount val="13"/>
                <c:pt idx="0">
                  <c:v>70</c:v>
                </c:pt>
                <c:pt idx="1">
                  <c:v>75</c:v>
                </c:pt>
                <c:pt idx="2">
                  <c:v>80</c:v>
                </c:pt>
                <c:pt idx="3">
                  <c:v>85</c:v>
                </c:pt>
                <c:pt idx="4">
                  <c:v>90</c:v>
                </c:pt>
                <c:pt idx="5">
                  <c:v>95</c:v>
                </c:pt>
                <c:pt idx="6">
                  <c:v>100</c:v>
                </c:pt>
                <c:pt idx="7">
                  <c:v>105</c:v>
                </c:pt>
                <c:pt idx="8">
                  <c:v>110</c:v>
                </c:pt>
                <c:pt idx="9">
                  <c:v>115</c:v>
                </c:pt>
                <c:pt idx="10">
                  <c:v>120</c:v>
                </c:pt>
                <c:pt idx="11">
                  <c:v>125</c:v>
                </c:pt>
                <c:pt idx="12">
                  <c:v>130</c:v>
                </c:pt>
              </c:numCache>
            </c:numRef>
          </c:cat>
          <c:val>
            <c:numRef>
              <c:f>'Put Spread'!$G$20:$G$32</c:f>
              <c:numCache>
                <c:formatCode>0.00</c:formatCode>
                <c:ptCount val="13"/>
                <c:pt idx="0">
                  <c:v>7.2623144460983617</c:v>
                </c:pt>
                <c:pt idx="1">
                  <c:v>7.2623144460983617</c:v>
                </c:pt>
                <c:pt idx="2">
                  <c:v>7.2623144460983617</c:v>
                </c:pt>
                <c:pt idx="3">
                  <c:v>7.2623144460983617</c:v>
                </c:pt>
                <c:pt idx="4">
                  <c:v>7.2623144460983617</c:v>
                </c:pt>
                <c:pt idx="5">
                  <c:v>2.2623144460983617</c:v>
                </c:pt>
                <c:pt idx="6">
                  <c:v>-2.7376855539016383</c:v>
                </c:pt>
                <c:pt idx="7">
                  <c:v>-2.7376855539016383</c:v>
                </c:pt>
                <c:pt idx="8">
                  <c:v>-2.7376855539016383</c:v>
                </c:pt>
                <c:pt idx="9">
                  <c:v>-2.7376855539016383</c:v>
                </c:pt>
                <c:pt idx="10">
                  <c:v>-2.7376855539016383</c:v>
                </c:pt>
                <c:pt idx="11">
                  <c:v>-2.7376855539016383</c:v>
                </c:pt>
                <c:pt idx="12">
                  <c:v>-2.7376855539016383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0D-4205-AD83-A0291A25A6D8}"/>
            </c:ext>
          </c:extLst>
        </c:ser>
        <c:ser>
          <c:idx val="1"/>
          <c:order val="1"/>
          <c:tx>
            <c:strRef>
              <c:f>'Put Spread'!$H$19</c:f>
              <c:strCache>
                <c:ptCount val="1"/>
                <c:pt idx="0">
                  <c:v>Long Put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'Put Spread'!$F$20:$F$32</c:f>
              <c:numCache>
                <c:formatCode>General</c:formatCode>
                <c:ptCount val="13"/>
                <c:pt idx="0">
                  <c:v>70</c:v>
                </c:pt>
                <c:pt idx="1">
                  <c:v>75</c:v>
                </c:pt>
                <c:pt idx="2">
                  <c:v>80</c:v>
                </c:pt>
                <c:pt idx="3">
                  <c:v>85</c:v>
                </c:pt>
                <c:pt idx="4">
                  <c:v>90</c:v>
                </c:pt>
                <c:pt idx="5">
                  <c:v>95</c:v>
                </c:pt>
                <c:pt idx="6">
                  <c:v>100</c:v>
                </c:pt>
                <c:pt idx="7">
                  <c:v>105</c:v>
                </c:pt>
                <c:pt idx="8">
                  <c:v>110</c:v>
                </c:pt>
                <c:pt idx="9">
                  <c:v>115</c:v>
                </c:pt>
                <c:pt idx="10">
                  <c:v>120</c:v>
                </c:pt>
                <c:pt idx="11">
                  <c:v>125</c:v>
                </c:pt>
                <c:pt idx="12">
                  <c:v>130</c:v>
                </c:pt>
              </c:numCache>
            </c:numRef>
          </c:cat>
          <c:val>
            <c:numRef>
              <c:f>'Put Spread'!$H$20:$H$32</c:f>
              <c:numCache>
                <c:formatCode>0.00</c:formatCode>
                <c:ptCount val="13"/>
                <c:pt idx="0">
                  <c:v>25.422703106566487</c:v>
                </c:pt>
                <c:pt idx="1">
                  <c:v>20.422703106566487</c:v>
                </c:pt>
                <c:pt idx="2">
                  <c:v>15.422703106566487</c:v>
                </c:pt>
                <c:pt idx="3">
                  <c:v>10.422703106566487</c:v>
                </c:pt>
                <c:pt idx="4">
                  <c:v>5.4227031065664875</c:v>
                </c:pt>
                <c:pt idx="5">
                  <c:v>0.42270310656648746</c:v>
                </c:pt>
                <c:pt idx="6">
                  <c:v>-4.5772968934335125</c:v>
                </c:pt>
                <c:pt idx="7">
                  <c:v>-4.5772968934335125</c:v>
                </c:pt>
                <c:pt idx="8">
                  <c:v>-4.5772968934335125</c:v>
                </c:pt>
                <c:pt idx="9">
                  <c:v>-4.5772968934335125</c:v>
                </c:pt>
                <c:pt idx="10">
                  <c:v>-4.5772968934335125</c:v>
                </c:pt>
                <c:pt idx="11">
                  <c:v>-4.5772968934335125</c:v>
                </c:pt>
                <c:pt idx="12">
                  <c:v>-4.5772968934335125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0D-4205-AD83-A0291A25A6D8}"/>
            </c:ext>
          </c:extLst>
        </c:ser>
        <c:ser>
          <c:idx val="2"/>
          <c:order val="2"/>
          <c:tx>
            <c:strRef>
              <c:f>'Put Spread'!$I$19</c:f>
              <c:strCache>
                <c:ptCount val="1"/>
                <c:pt idx="0">
                  <c:v>Short 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'Put Spread'!$F$20:$F$32</c:f>
              <c:numCache>
                <c:formatCode>General</c:formatCode>
                <c:ptCount val="13"/>
                <c:pt idx="0">
                  <c:v>70</c:v>
                </c:pt>
                <c:pt idx="1">
                  <c:v>75</c:v>
                </c:pt>
                <c:pt idx="2">
                  <c:v>80</c:v>
                </c:pt>
                <c:pt idx="3">
                  <c:v>85</c:v>
                </c:pt>
                <c:pt idx="4">
                  <c:v>90</c:v>
                </c:pt>
                <c:pt idx="5">
                  <c:v>95</c:v>
                </c:pt>
                <c:pt idx="6">
                  <c:v>100</c:v>
                </c:pt>
                <c:pt idx="7">
                  <c:v>105</c:v>
                </c:pt>
                <c:pt idx="8">
                  <c:v>110</c:v>
                </c:pt>
                <c:pt idx="9">
                  <c:v>115</c:v>
                </c:pt>
                <c:pt idx="10">
                  <c:v>120</c:v>
                </c:pt>
                <c:pt idx="11">
                  <c:v>125</c:v>
                </c:pt>
                <c:pt idx="12">
                  <c:v>130</c:v>
                </c:pt>
              </c:numCache>
            </c:numRef>
          </c:cat>
          <c:val>
            <c:numRef>
              <c:f>'Put Spread'!$I$20:$I$32</c:f>
              <c:numCache>
                <c:formatCode>0.00</c:formatCode>
                <c:ptCount val="13"/>
                <c:pt idx="0">
                  <c:v>-18.160388660468126</c:v>
                </c:pt>
                <c:pt idx="1">
                  <c:v>-13.160388660468126</c:v>
                </c:pt>
                <c:pt idx="2">
                  <c:v>-8.1603886604681257</c:v>
                </c:pt>
                <c:pt idx="3">
                  <c:v>-3.1603886604681257</c:v>
                </c:pt>
                <c:pt idx="4">
                  <c:v>1.8396113395318743</c:v>
                </c:pt>
                <c:pt idx="5">
                  <c:v>1.8396113395318743</c:v>
                </c:pt>
                <c:pt idx="6">
                  <c:v>1.8396113395318743</c:v>
                </c:pt>
                <c:pt idx="7">
                  <c:v>1.8396113395318743</c:v>
                </c:pt>
                <c:pt idx="8">
                  <c:v>1.8396113395318743</c:v>
                </c:pt>
                <c:pt idx="9">
                  <c:v>1.8396113395318743</c:v>
                </c:pt>
                <c:pt idx="10">
                  <c:v>1.8396113395318743</c:v>
                </c:pt>
                <c:pt idx="11">
                  <c:v>1.8396113395318743</c:v>
                </c:pt>
                <c:pt idx="12">
                  <c:v>1.8396113395318743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0D-4205-AD83-A0291A25A6D8}"/>
            </c:ext>
          </c:extLst>
        </c:ser>
        <c:ser>
          <c:idx val="3"/>
          <c:order val="3"/>
          <c:tx>
            <c:strRef>
              <c:f>'Put Spread'!$J$19</c:f>
              <c:strCache>
                <c:ptCount val="1"/>
                <c:pt idx="0">
                  <c:v>None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'Put Spread'!$F$20:$F$32</c:f>
              <c:numCache>
                <c:formatCode>General</c:formatCode>
                <c:ptCount val="13"/>
                <c:pt idx="0">
                  <c:v>70</c:v>
                </c:pt>
                <c:pt idx="1">
                  <c:v>75</c:v>
                </c:pt>
                <c:pt idx="2">
                  <c:v>80</c:v>
                </c:pt>
                <c:pt idx="3">
                  <c:v>85</c:v>
                </c:pt>
                <c:pt idx="4">
                  <c:v>90</c:v>
                </c:pt>
                <c:pt idx="5">
                  <c:v>95</c:v>
                </c:pt>
                <c:pt idx="6">
                  <c:v>100</c:v>
                </c:pt>
                <c:pt idx="7">
                  <c:v>105</c:v>
                </c:pt>
                <c:pt idx="8">
                  <c:v>110</c:v>
                </c:pt>
                <c:pt idx="9">
                  <c:v>115</c:v>
                </c:pt>
                <c:pt idx="10">
                  <c:v>120</c:v>
                </c:pt>
                <c:pt idx="11">
                  <c:v>125</c:v>
                </c:pt>
                <c:pt idx="12">
                  <c:v>130</c:v>
                </c:pt>
              </c:numCache>
            </c:numRef>
          </c:cat>
          <c:val>
            <c:numRef>
              <c:f>'Put Spread'!$J$20:$J$32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80D-4205-AD83-A0291A25A6D8}"/>
            </c:ext>
          </c:extLst>
        </c:ser>
        <c:ser>
          <c:idx val="4"/>
          <c:order val="4"/>
          <c:tx>
            <c:strRef>
              <c:f>'Put Spread'!$K$19</c:f>
              <c:strCache>
                <c:ptCount val="1"/>
                <c:pt idx="0">
                  <c:v>None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'Put Spread'!$F$20:$F$32</c:f>
              <c:numCache>
                <c:formatCode>General</c:formatCode>
                <c:ptCount val="13"/>
                <c:pt idx="0">
                  <c:v>70</c:v>
                </c:pt>
                <c:pt idx="1">
                  <c:v>75</c:v>
                </c:pt>
                <c:pt idx="2">
                  <c:v>80</c:v>
                </c:pt>
                <c:pt idx="3">
                  <c:v>85</c:v>
                </c:pt>
                <c:pt idx="4">
                  <c:v>90</c:v>
                </c:pt>
                <c:pt idx="5">
                  <c:v>95</c:v>
                </c:pt>
                <c:pt idx="6">
                  <c:v>100</c:v>
                </c:pt>
                <c:pt idx="7">
                  <c:v>105</c:v>
                </c:pt>
                <c:pt idx="8">
                  <c:v>110</c:v>
                </c:pt>
                <c:pt idx="9">
                  <c:v>115</c:v>
                </c:pt>
                <c:pt idx="10">
                  <c:v>120</c:v>
                </c:pt>
                <c:pt idx="11">
                  <c:v>125</c:v>
                </c:pt>
                <c:pt idx="12">
                  <c:v>130</c:v>
                </c:pt>
              </c:numCache>
            </c:numRef>
          </c:cat>
          <c:val>
            <c:numRef>
              <c:f>'Put Spread'!$K$20:$K$32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80D-4205-AD83-A0291A25A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072607"/>
        <c:axId val="194073087"/>
      </c:lineChart>
      <c:catAx>
        <c:axId val="194072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Stock Price --&gt;&gt;&gt;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low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73087"/>
        <c:crosses val="autoZero"/>
        <c:auto val="1"/>
        <c:lblAlgn val="ctr"/>
        <c:lblOffset val="100"/>
        <c:noMultiLvlLbl val="0"/>
      </c:catAx>
      <c:valAx>
        <c:axId val="194073087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P&amp;L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726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Option Payout @ Expiration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'Synthetic Call'!$G$19</c:f>
              <c:strCache>
                <c:ptCount val="1"/>
                <c:pt idx="0">
                  <c:v>Portfolio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'Synthetic Call'!$F$20:$F$32</c:f>
              <c:numCache>
                <c:formatCode>General</c:formatCode>
                <c:ptCount val="13"/>
                <c:pt idx="0">
                  <c:v>70</c:v>
                </c:pt>
                <c:pt idx="1">
                  <c:v>75</c:v>
                </c:pt>
                <c:pt idx="2">
                  <c:v>80</c:v>
                </c:pt>
                <c:pt idx="3">
                  <c:v>85</c:v>
                </c:pt>
                <c:pt idx="4">
                  <c:v>90</c:v>
                </c:pt>
                <c:pt idx="5">
                  <c:v>95</c:v>
                </c:pt>
                <c:pt idx="6">
                  <c:v>100</c:v>
                </c:pt>
                <c:pt idx="7">
                  <c:v>105</c:v>
                </c:pt>
                <c:pt idx="8">
                  <c:v>110</c:v>
                </c:pt>
                <c:pt idx="9">
                  <c:v>115</c:v>
                </c:pt>
                <c:pt idx="10">
                  <c:v>120</c:v>
                </c:pt>
                <c:pt idx="11">
                  <c:v>125</c:v>
                </c:pt>
                <c:pt idx="12">
                  <c:v>130</c:v>
                </c:pt>
              </c:numCache>
            </c:numRef>
          </c:cat>
          <c:val>
            <c:numRef>
              <c:f>'Synthetic Call'!$G$20:$G$32</c:f>
              <c:numCache>
                <c:formatCode>0.00</c:formatCode>
                <c:ptCount val="13"/>
                <c:pt idx="0">
                  <c:v>-4.5772968934335125</c:v>
                </c:pt>
                <c:pt idx="1">
                  <c:v>-4.5772968934335125</c:v>
                </c:pt>
                <c:pt idx="2">
                  <c:v>-4.5772968934335125</c:v>
                </c:pt>
                <c:pt idx="3">
                  <c:v>-4.5772968934335125</c:v>
                </c:pt>
                <c:pt idx="4">
                  <c:v>-4.5772968934335125</c:v>
                </c:pt>
                <c:pt idx="5">
                  <c:v>-4.5772968934335125</c:v>
                </c:pt>
                <c:pt idx="6">
                  <c:v>-4.5772968934335125</c:v>
                </c:pt>
                <c:pt idx="7">
                  <c:v>0.42270310656648746</c:v>
                </c:pt>
                <c:pt idx="8">
                  <c:v>5.4227031065664875</c:v>
                </c:pt>
                <c:pt idx="9">
                  <c:v>10.422703106566487</c:v>
                </c:pt>
                <c:pt idx="10">
                  <c:v>15.422703106566487</c:v>
                </c:pt>
                <c:pt idx="11">
                  <c:v>20.422703106566487</c:v>
                </c:pt>
                <c:pt idx="12">
                  <c:v>25.422703106566487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AB-4EE6-8E85-D6CACD63D9AA}"/>
            </c:ext>
          </c:extLst>
        </c:ser>
        <c:ser>
          <c:idx val="1"/>
          <c:order val="1"/>
          <c:tx>
            <c:strRef>
              <c:f>'Synthetic Call'!$H$19</c:f>
              <c:strCache>
                <c:ptCount val="1"/>
                <c:pt idx="0">
                  <c:v>Long Put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'Synthetic Call'!$F$20:$F$32</c:f>
              <c:numCache>
                <c:formatCode>General</c:formatCode>
                <c:ptCount val="13"/>
                <c:pt idx="0">
                  <c:v>70</c:v>
                </c:pt>
                <c:pt idx="1">
                  <c:v>75</c:v>
                </c:pt>
                <c:pt idx="2">
                  <c:v>80</c:v>
                </c:pt>
                <c:pt idx="3">
                  <c:v>85</c:v>
                </c:pt>
                <c:pt idx="4">
                  <c:v>90</c:v>
                </c:pt>
                <c:pt idx="5">
                  <c:v>95</c:v>
                </c:pt>
                <c:pt idx="6">
                  <c:v>100</c:v>
                </c:pt>
                <c:pt idx="7">
                  <c:v>105</c:v>
                </c:pt>
                <c:pt idx="8">
                  <c:v>110</c:v>
                </c:pt>
                <c:pt idx="9">
                  <c:v>115</c:v>
                </c:pt>
                <c:pt idx="10">
                  <c:v>120</c:v>
                </c:pt>
                <c:pt idx="11">
                  <c:v>125</c:v>
                </c:pt>
                <c:pt idx="12">
                  <c:v>130</c:v>
                </c:pt>
              </c:numCache>
            </c:numRef>
          </c:cat>
          <c:val>
            <c:numRef>
              <c:f>'Synthetic Call'!$H$20:$H$32</c:f>
              <c:numCache>
                <c:formatCode>0.00</c:formatCode>
                <c:ptCount val="13"/>
                <c:pt idx="0">
                  <c:v>25.422703106566487</c:v>
                </c:pt>
                <c:pt idx="1">
                  <c:v>20.422703106566487</c:v>
                </c:pt>
                <c:pt idx="2">
                  <c:v>15.422703106566487</c:v>
                </c:pt>
                <c:pt idx="3">
                  <c:v>10.422703106566487</c:v>
                </c:pt>
                <c:pt idx="4">
                  <c:v>5.4227031065664875</c:v>
                </c:pt>
                <c:pt idx="5">
                  <c:v>0.42270310656648746</c:v>
                </c:pt>
                <c:pt idx="6">
                  <c:v>-4.5772968934335125</c:v>
                </c:pt>
                <c:pt idx="7">
                  <c:v>-4.5772968934335125</c:v>
                </c:pt>
                <c:pt idx="8">
                  <c:v>-4.5772968934335125</c:v>
                </c:pt>
                <c:pt idx="9">
                  <c:v>-4.5772968934335125</c:v>
                </c:pt>
                <c:pt idx="10">
                  <c:v>-4.5772968934335125</c:v>
                </c:pt>
                <c:pt idx="11">
                  <c:v>-4.5772968934335125</c:v>
                </c:pt>
                <c:pt idx="12">
                  <c:v>-4.5772968934335125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AB-4EE6-8E85-D6CACD63D9AA}"/>
            </c:ext>
          </c:extLst>
        </c:ser>
        <c:ser>
          <c:idx val="2"/>
          <c:order val="2"/>
          <c:tx>
            <c:strRef>
              <c:f>'Synthetic Call'!$I$19</c:f>
              <c:strCache>
                <c:ptCount val="1"/>
                <c:pt idx="0">
                  <c:v>Long Spot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'Synthetic Call'!$F$20:$F$32</c:f>
              <c:numCache>
                <c:formatCode>General</c:formatCode>
                <c:ptCount val="13"/>
                <c:pt idx="0">
                  <c:v>70</c:v>
                </c:pt>
                <c:pt idx="1">
                  <c:v>75</c:v>
                </c:pt>
                <c:pt idx="2">
                  <c:v>80</c:v>
                </c:pt>
                <c:pt idx="3">
                  <c:v>85</c:v>
                </c:pt>
                <c:pt idx="4">
                  <c:v>90</c:v>
                </c:pt>
                <c:pt idx="5">
                  <c:v>95</c:v>
                </c:pt>
                <c:pt idx="6">
                  <c:v>100</c:v>
                </c:pt>
                <c:pt idx="7">
                  <c:v>105</c:v>
                </c:pt>
                <c:pt idx="8">
                  <c:v>110</c:v>
                </c:pt>
                <c:pt idx="9">
                  <c:v>115</c:v>
                </c:pt>
                <c:pt idx="10">
                  <c:v>120</c:v>
                </c:pt>
                <c:pt idx="11">
                  <c:v>125</c:v>
                </c:pt>
                <c:pt idx="12">
                  <c:v>130</c:v>
                </c:pt>
              </c:numCache>
            </c:numRef>
          </c:cat>
          <c:val>
            <c:numRef>
              <c:f>'Synthetic Call'!$I$20:$I$32</c:f>
              <c:numCache>
                <c:formatCode>0.00</c:formatCode>
                <c:ptCount val="13"/>
                <c:pt idx="0">
                  <c:v>-30</c:v>
                </c:pt>
                <c:pt idx="1">
                  <c:v>-25</c:v>
                </c:pt>
                <c:pt idx="2">
                  <c:v>-20</c:v>
                </c:pt>
                <c:pt idx="3">
                  <c:v>-15</c:v>
                </c:pt>
                <c:pt idx="4">
                  <c:v>-10</c:v>
                </c:pt>
                <c:pt idx="5">
                  <c:v>-5</c:v>
                </c:pt>
                <c:pt idx="6">
                  <c:v>0</c:v>
                </c:pt>
                <c:pt idx="7">
                  <c:v>5</c:v>
                </c:pt>
                <c:pt idx="8">
                  <c:v>10</c:v>
                </c:pt>
                <c:pt idx="9">
                  <c:v>15</c:v>
                </c:pt>
                <c:pt idx="10">
                  <c:v>20</c:v>
                </c:pt>
                <c:pt idx="11">
                  <c:v>25</c:v>
                </c:pt>
                <c:pt idx="12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AB-4EE6-8E85-D6CACD63D9AA}"/>
            </c:ext>
          </c:extLst>
        </c:ser>
        <c:ser>
          <c:idx val="3"/>
          <c:order val="3"/>
          <c:tx>
            <c:strRef>
              <c:f>'Synthetic Call'!$J$19</c:f>
              <c:strCache>
                <c:ptCount val="1"/>
                <c:pt idx="0">
                  <c:v>None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'Synthetic Call'!$F$20:$F$32</c:f>
              <c:numCache>
                <c:formatCode>General</c:formatCode>
                <c:ptCount val="13"/>
                <c:pt idx="0">
                  <c:v>70</c:v>
                </c:pt>
                <c:pt idx="1">
                  <c:v>75</c:v>
                </c:pt>
                <c:pt idx="2">
                  <c:v>80</c:v>
                </c:pt>
                <c:pt idx="3">
                  <c:v>85</c:v>
                </c:pt>
                <c:pt idx="4">
                  <c:v>90</c:v>
                </c:pt>
                <c:pt idx="5">
                  <c:v>95</c:v>
                </c:pt>
                <c:pt idx="6">
                  <c:v>100</c:v>
                </c:pt>
                <c:pt idx="7">
                  <c:v>105</c:v>
                </c:pt>
                <c:pt idx="8">
                  <c:v>110</c:v>
                </c:pt>
                <c:pt idx="9">
                  <c:v>115</c:v>
                </c:pt>
                <c:pt idx="10">
                  <c:v>120</c:v>
                </c:pt>
                <c:pt idx="11">
                  <c:v>125</c:v>
                </c:pt>
                <c:pt idx="12">
                  <c:v>130</c:v>
                </c:pt>
              </c:numCache>
            </c:numRef>
          </c:cat>
          <c:val>
            <c:numRef>
              <c:f>'Synthetic Call'!$J$20:$J$32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7AB-4EE6-8E85-D6CACD63D9AA}"/>
            </c:ext>
          </c:extLst>
        </c:ser>
        <c:ser>
          <c:idx val="4"/>
          <c:order val="4"/>
          <c:tx>
            <c:strRef>
              <c:f>'Synthetic Call'!$K$19</c:f>
              <c:strCache>
                <c:ptCount val="1"/>
                <c:pt idx="0">
                  <c:v>None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'Synthetic Call'!$F$20:$F$32</c:f>
              <c:numCache>
                <c:formatCode>General</c:formatCode>
                <c:ptCount val="13"/>
                <c:pt idx="0">
                  <c:v>70</c:v>
                </c:pt>
                <c:pt idx="1">
                  <c:v>75</c:v>
                </c:pt>
                <c:pt idx="2">
                  <c:v>80</c:v>
                </c:pt>
                <c:pt idx="3">
                  <c:v>85</c:v>
                </c:pt>
                <c:pt idx="4">
                  <c:v>90</c:v>
                </c:pt>
                <c:pt idx="5">
                  <c:v>95</c:v>
                </c:pt>
                <c:pt idx="6">
                  <c:v>100</c:v>
                </c:pt>
                <c:pt idx="7">
                  <c:v>105</c:v>
                </c:pt>
                <c:pt idx="8">
                  <c:v>110</c:v>
                </c:pt>
                <c:pt idx="9">
                  <c:v>115</c:v>
                </c:pt>
                <c:pt idx="10">
                  <c:v>120</c:v>
                </c:pt>
                <c:pt idx="11">
                  <c:v>125</c:v>
                </c:pt>
                <c:pt idx="12">
                  <c:v>130</c:v>
                </c:pt>
              </c:numCache>
            </c:numRef>
          </c:cat>
          <c:val>
            <c:numRef>
              <c:f>'Synthetic Call'!$K$20:$K$32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7AB-4EE6-8E85-D6CACD63D9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072607"/>
        <c:axId val="194073087"/>
      </c:lineChart>
      <c:catAx>
        <c:axId val="194072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Stock Price --&gt;&gt;&gt;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low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73087"/>
        <c:crosses val="autoZero"/>
        <c:auto val="1"/>
        <c:lblAlgn val="ctr"/>
        <c:lblOffset val="100"/>
        <c:noMultiLvlLbl val="0"/>
      </c:catAx>
      <c:valAx>
        <c:axId val="194073087"/>
        <c:scaling>
          <c:orientation val="minMax"/>
          <c:max val="30"/>
          <c:min val="-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P&amp;L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726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Option Payout @ Expiration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'Risk Reversal'!$G$19</c:f>
              <c:strCache>
                <c:ptCount val="1"/>
                <c:pt idx="0">
                  <c:v>Portfolio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'Risk Reversal'!$F$20:$F$32</c:f>
              <c:numCache>
                <c:formatCode>General</c:formatCode>
                <c:ptCount val="13"/>
                <c:pt idx="0">
                  <c:v>70</c:v>
                </c:pt>
                <c:pt idx="1">
                  <c:v>75</c:v>
                </c:pt>
                <c:pt idx="2">
                  <c:v>80</c:v>
                </c:pt>
                <c:pt idx="3">
                  <c:v>85</c:v>
                </c:pt>
                <c:pt idx="4">
                  <c:v>90</c:v>
                </c:pt>
                <c:pt idx="5">
                  <c:v>95</c:v>
                </c:pt>
                <c:pt idx="6">
                  <c:v>100</c:v>
                </c:pt>
                <c:pt idx="7">
                  <c:v>105</c:v>
                </c:pt>
                <c:pt idx="8">
                  <c:v>110</c:v>
                </c:pt>
                <c:pt idx="9">
                  <c:v>115</c:v>
                </c:pt>
                <c:pt idx="10">
                  <c:v>120</c:v>
                </c:pt>
                <c:pt idx="11">
                  <c:v>125</c:v>
                </c:pt>
                <c:pt idx="12">
                  <c:v>130</c:v>
                </c:pt>
              </c:numCache>
            </c:numRef>
          </c:cat>
          <c:val>
            <c:numRef>
              <c:f>'Risk Reversal'!$G$20:$G$32</c:f>
              <c:numCache>
                <c:formatCode>0.00</c:formatCode>
                <c:ptCount val="13"/>
                <c:pt idx="0">
                  <c:v>-20.23006639207048</c:v>
                </c:pt>
                <c:pt idx="1">
                  <c:v>-15.23006639207048</c:v>
                </c:pt>
                <c:pt idx="2">
                  <c:v>-10.23006639207048</c:v>
                </c:pt>
                <c:pt idx="3">
                  <c:v>-5.23006639207048</c:v>
                </c:pt>
                <c:pt idx="4">
                  <c:v>-0.23006639207047996</c:v>
                </c:pt>
                <c:pt idx="5">
                  <c:v>-0.23006639207047996</c:v>
                </c:pt>
                <c:pt idx="6">
                  <c:v>-0.23006639207047996</c:v>
                </c:pt>
                <c:pt idx="7">
                  <c:v>-0.23006639207047996</c:v>
                </c:pt>
                <c:pt idx="8">
                  <c:v>-0.23006639207047996</c:v>
                </c:pt>
                <c:pt idx="9">
                  <c:v>4.76993360792952</c:v>
                </c:pt>
                <c:pt idx="10">
                  <c:v>9.76993360792952</c:v>
                </c:pt>
                <c:pt idx="11">
                  <c:v>14.76993360792952</c:v>
                </c:pt>
                <c:pt idx="12">
                  <c:v>19.76993360792952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51-4983-A948-B90F4BE464FB}"/>
            </c:ext>
          </c:extLst>
        </c:ser>
        <c:ser>
          <c:idx val="1"/>
          <c:order val="1"/>
          <c:tx>
            <c:strRef>
              <c:f>'Risk Reversal'!$H$19</c:f>
              <c:strCache>
                <c:ptCount val="1"/>
                <c:pt idx="0">
                  <c:v>Long Call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'Risk Reversal'!$F$20:$F$32</c:f>
              <c:numCache>
                <c:formatCode>General</c:formatCode>
                <c:ptCount val="13"/>
                <c:pt idx="0">
                  <c:v>70</c:v>
                </c:pt>
                <c:pt idx="1">
                  <c:v>75</c:v>
                </c:pt>
                <c:pt idx="2">
                  <c:v>80</c:v>
                </c:pt>
                <c:pt idx="3">
                  <c:v>85</c:v>
                </c:pt>
                <c:pt idx="4">
                  <c:v>90</c:v>
                </c:pt>
                <c:pt idx="5">
                  <c:v>95</c:v>
                </c:pt>
                <c:pt idx="6">
                  <c:v>100</c:v>
                </c:pt>
                <c:pt idx="7">
                  <c:v>105</c:v>
                </c:pt>
                <c:pt idx="8">
                  <c:v>110</c:v>
                </c:pt>
                <c:pt idx="9">
                  <c:v>115</c:v>
                </c:pt>
                <c:pt idx="10">
                  <c:v>120</c:v>
                </c:pt>
                <c:pt idx="11">
                  <c:v>125</c:v>
                </c:pt>
                <c:pt idx="12">
                  <c:v>130</c:v>
                </c:pt>
              </c:numCache>
            </c:numRef>
          </c:cat>
          <c:val>
            <c:numRef>
              <c:f>'Risk Reversal'!$H$20:$H$32</c:f>
              <c:numCache>
                <c:formatCode>0.00</c:formatCode>
                <c:ptCount val="13"/>
                <c:pt idx="0">
                  <c:v>-3.5818166732718772</c:v>
                </c:pt>
                <c:pt idx="1">
                  <c:v>-3.5818166732718772</c:v>
                </c:pt>
                <c:pt idx="2">
                  <c:v>-3.5818166732718772</c:v>
                </c:pt>
                <c:pt idx="3">
                  <c:v>-3.5818166732718772</c:v>
                </c:pt>
                <c:pt idx="4">
                  <c:v>-3.5818166732718772</c:v>
                </c:pt>
                <c:pt idx="5">
                  <c:v>-3.5818166732718772</c:v>
                </c:pt>
                <c:pt idx="6">
                  <c:v>-3.5818166732718772</c:v>
                </c:pt>
                <c:pt idx="7">
                  <c:v>-3.5818166732718772</c:v>
                </c:pt>
                <c:pt idx="8">
                  <c:v>-3.5818166732718772</c:v>
                </c:pt>
                <c:pt idx="9">
                  <c:v>1.4181833267281228</c:v>
                </c:pt>
                <c:pt idx="10">
                  <c:v>6.4181833267281228</c:v>
                </c:pt>
                <c:pt idx="11">
                  <c:v>11.418183326728123</c:v>
                </c:pt>
                <c:pt idx="12">
                  <c:v>16.418183326728123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51-4983-A948-B90F4BE464FB}"/>
            </c:ext>
          </c:extLst>
        </c:ser>
        <c:ser>
          <c:idx val="2"/>
          <c:order val="2"/>
          <c:tx>
            <c:strRef>
              <c:f>'Risk Reversal'!$I$19</c:f>
              <c:strCache>
                <c:ptCount val="1"/>
                <c:pt idx="0">
                  <c:v>Short 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'Risk Reversal'!$F$20:$F$32</c:f>
              <c:numCache>
                <c:formatCode>General</c:formatCode>
                <c:ptCount val="13"/>
                <c:pt idx="0">
                  <c:v>70</c:v>
                </c:pt>
                <c:pt idx="1">
                  <c:v>75</c:v>
                </c:pt>
                <c:pt idx="2">
                  <c:v>80</c:v>
                </c:pt>
                <c:pt idx="3">
                  <c:v>85</c:v>
                </c:pt>
                <c:pt idx="4">
                  <c:v>90</c:v>
                </c:pt>
                <c:pt idx="5">
                  <c:v>95</c:v>
                </c:pt>
                <c:pt idx="6">
                  <c:v>100</c:v>
                </c:pt>
                <c:pt idx="7">
                  <c:v>105</c:v>
                </c:pt>
                <c:pt idx="8">
                  <c:v>110</c:v>
                </c:pt>
                <c:pt idx="9">
                  <c:v>115</c:v>
                </c:pt>
                <c:pt idx="10">
                  <c:v>120</c:v>
                </c:pt>
                <c:pt idx="11">
                  <c:v>125</c:v>
                </c:pt>
                <c:pt idx="12">
                  <c:v>130</c:v>
                </c:pt>
              </c:numCache>
            </c:numRef>
          </c:cat>
          <c:val>
            <c:numRef>
              <c:f>'Risk Reversal'!$I$20:$I$32</c:f>
              <c:numCache>
                <c:formatCode>0.00</c:formatCode>
                <c:ptCount val="13"/>
                <c:pt idx="0">
                  <c:v>-16.648249718798603</c:v>
                </c:pt>
                <c:pt idx="1">
                  <c:v>-11.648249718798603</c:v>
                </c:pt>
                <c:pt idx="2">
                  <c:v>-6.6482497187986027</c:v>
                </c:pt>
                <c:pt idx="3">
                  <c:v>-1.6482497187986027</c:v>
                </c:pt>
                <c:pt idx="4">
                  <c:v>3.3517502812013973</c:v>
                </c:pt>
                <c:pt idx="5">
                  <c:v>3.3517502812013973</c:v>
                </c:pt>
                <c:pt idx="6">
                  <c:v>3.3517502812013973</c:v>
                </c:pt>
                <c:pt idx="7">
                  <c:v>3.3517502812013973</c:v>
                </c:pt>
                <c:pt idx="8">
                  <c:v>3.3517502812013973</c:v>
                </c:pt>
                <c:pt idx="9">
                  <c:v>3.3517502812013973</c:v>
                </c:pt>
                <c:pt idx="10">
                  <c:v>3.3517502812013973</c:v>
                </c:pt>
                <c:pt idx="11">
                  <c:v>3.3517502812013973</c:v>
                </c:pt>
                <c:pt idx="12">
                  <c:v>3.3517502812013973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51-4983-A948-B90F4BE464FB}"/>
            </c:ext>
          </c:extLst>
        </c:ser>
        <c:ser>
          <c:idx val="3"/>
          <c:order val="3"/>
          <c:tx>
            <c:strRef>
              <c:f>'Risk Reversal'!$J$19</c:f>
              <c:strCache>
                <c:ptCount val="1"/>
                <c:pt idx="0">
                  <c:v>None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'Risk Reversal'!$F$20:$F$32</c:f>
              <c:numCache>
                <c:formatCode>General</c:formatCode>
                <c:ptCount val="13"/>
                <c:pt idx="0">
                  <c:v>70</c:v>
                </c:pt>
                <c:pt idx="1">
                  <c:v>75</c:v>
                </c:pt>
                <c:pt idx="2">
                  <c:v>80</c:v>
                </c:pt>
                <c:pt idx="3">
                  <c:v>85</c:v>
                </c:pt>
                <c:pt idx="4">
                  <c:v>90</c:v>
                </c:pt>
                <c:pt idx="5">
                  <c:v>95</c:v>
                </c:pt>
                <c:pt idx="6">
                  <c:v>100</c:v>
                </c:pt>
                <c:pt idx="7">
                  <c:v>105</c:v>
                </c:pt>
                <c:pt idx="8">
                  <c:v>110</c:v>
                </c:pt>
                <c:pt idx="9">
                  <c:v>115</c:v>
                </c:pt>
                <c:pt idx="10">
                  <c:v>120</c:v>
                </c:pt>
                <c:pt idx="11">
                  <c:v>125</c:v>
                </c:pt>
                <c:pt idx="12">
                  <c:v>130</c:v>
                </c:pt>
              </c:numCache>
            </c:numRef>
          </c:cat>
          <c:val>
            <c:numRef>
              <c:f>'Risk Reversal'!$J$20:$J$32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51-4983-A948-B90F4BE464FB}"/>
            </c:ext>
          </c:extLst>
        </c:ser>
        <c:ser>
          <c:idx val="4"/>
          <c:order val="4"/>
          <c:tx>
            <c:strRef>
              <c:f>'Risk Reversal'!$K$19</c:f>
              <c:strCache>
                <c:ptCount val="1"/>
                <c:pt idx="0">
                  <c:v>None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'Risk Reversal'!$F$20:$F$32</c:f>
              <c:numCache>
                <c:formatCode>General</c:formatCode>
                <c:ptCount val="13"/>
                <c:pt idx="0">
                  <c:v>70</c:v>
                </c:pt>
                <c:pt idx="1">
                  <c:v>75</c:v>
                </c:pt>
                <c:pt idx="2">
                  <c:v>80</c:v>
                </c:pt>
                <c:pt idx="3">
                  <c:v>85</c:v>
                </c:pt>
                <c:pt idx="4">
                  <c:v>90</c:v>
                </c:pt>
                <c:pt idx="5">
                  <c:v>95</c:v>
                </c:pt>
                <c:pt idx="6">
                  <c:v>100</c:v>
                </c:pt>
                <c:pt idx="7">
                  <c:v>105</c:v>
                </c:pt>
                <c:pt idx="8">
                  <c:v>110</c:v>
                </c:pt>
                <c:pt idx="9">
                  <c:v>115</c:v>
                </c:pt>
                <c:pt idx="10">
                  <c:v>120</c:v>
                </c:pt>
                <c:pt idx="11">
                  <c:v>125</c:v>
                </c:pt>
                <c:pt idx="12">
                  <c:v>130</c:v>
                </c:pt>
              </c:numCache>
            </c:numRef>
          </c:cat>
          <c:val>
            <c:numRef>
              <c:f>'Risk Reversal'!$K$20:$K$32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951-4983-A948-B90F4BE46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072607"/>
        <c:axId val="194073087"/>
      </c:lineChart>
      <c:catAx>
        <c:axId val="194072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Stock Price --&gt;&gt;&gt;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low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73087"/>
        <c:crosses val="autoZero"/>
        <c:auto val="1"/>
        <c:lblAlgn val="ctr"/>
        <c:lblOffset val="100"/>
        <c:noMultiLvlLbl val="0"/>
      </c:catAx>
      <c:valAx>
        <c:axId val="194073087"/>
        <c:scaling>
          <c:orientation val="minMax"/>
          <c:max val="30"/>
          <c:min val="-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P&amp;L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726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Option Payout @ Expiration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Butterfly!$G$19</c:f>
              <c:strCache>
                <c:ptCount val="1"/>
                <c:pt idx="0">
                  <c:v>Portfolio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Butterfly!$F$20:$F$32</c:f>
              <c:numCache>
                <c:formatCode>General</c:formatCode>
                <c:ptCount val="13"/>
                <c:pt idx="0">
                  <c:v>80.27</c:v>
                </c:pt>
                <c:pt idx="1">
                  <c:v>85.27</c:v>
                </c:pt>
                <c:pt idx="2">
                  <c:v>90.27</c:v>
                </c:pt>
                <c:pt idx="3">
                  <c:v>95.27</c:v>
                </c:pt>
                <c:pt idx="4">
                  <c:v>100.27</c:v>
                </c:pt>
                <c:pt idx="5">
                  <c:v>105.27</c:v>
                </c:pt>
                <c:pt idx="6">
                  <c:v>110.27</c:v>
                </c:pt>
                <c:pt idx="7">
                  <c:v>115.27</c:v>
                </c:pt>
                <c:pt idx="8">
                  <c:v>120.27</c:v>
                </c:pt>
                <c:pt idx="9">
                  <c:v>125.27</c:v>
                </c:pt>
                <c:pt idx="10">
                  <c:v>130.26999999999998</c:v>
                </c:pt>
                <c:pt idx="11">
                  <c:v>135.26999999999998</c:v>
                </c:pt>
                <c:pt idx="12">
                  <c:v>140.26999999999998</c:v>
                </c:pt>
              </c:numCache>
            </c:numRef>
          </c:cat>
          <c:val>
            <c:numRef>
              <c:f>Butterfly!$G$20:$G$32</c:f>
              <c:numCache>
                <c:formatCode>0.00</c:formatCode>
                <c:ptCount val="13"/>
                <c:pt idx="0">
                  <c:v>-1.3025425715320402</c:v>
                </c:pt>
                <c:pt idx="1">
                  <c:v>-1.3025425715320402</c:v>
                </c:pt>
                <c:pt idx="2">
                  <c:v>-1.3025425715320402</c:v>
                </c:pt>
                <c:pt idx="3">
                  <c:v>-1.3025425715320402</c:v>
                </c:pt>
                <c:pt idx="4">
                  <c:v>-1.3025425715320402</c:v>
                </c:pt>
                <c:pt idx="5">
                  <c:v>3.6974574284679598</c:v>
                </c:pt>
                <c:pt idx="6">
                  <c:v>8.6974574284679598</c:v>
                </c:pt>
                <c:pt idx="7">
                  <c:v>3.6974574284679598</c:v>
                </c:pt>
                <c:pt idx="8">
                  <c:v>-1.3025425715320402</c:v>
                </c:pt>
                <c:pt idx="9">
                  <c:v>-1.3025425715320402</c:v>
                </c:pt>
                <c:pt idx="10">
                  <c:v>-1.3025425715320402</c:v>
                </c:pt>
                <c:pt idx="11">
                  <c:v>-1.3025425715320402</c:v>
                </c:pt>
                <c:pt idx="12">
                  <c:v>-1.3025425715320402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7E-4EA4-B66A-EB09ED74F115}"/>
            </c:ext>
          </c:extLst>
        </c:ser>
        <c:ser>
          <c:idx val="1"/>
          <c:order val="1"/>
          <c:tx>
            <c:strRef>
              <c:f>Butterfly!$H$19</c:f>
              <c:strCache>
                <c:ptCount val="1"/>
                <c:pt idx="0">
                  <c:v>Long Call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Butterfly!$F$20:$F$32</c:f>
              <c:numCache>
                <c:formatCode>General</c:formatCode>
                <c:ptCount val="13"/>
                <c:pt idx="0">
                  <c:v>80.27</c:v>
                </c:pt>
                <c:pt idx="1">
                  <c:v>85.27</c:v>
                </c:pt>
                <c:pt idx="2">
                  <c:v>90.27</c:v>
                </c:pt>
                <c:pt idx="3">
                  <c:v>95.27</c:v>
                </c:pt>
                <c:pt idx="4">
                  <c:v>100.27</c:v>
                </c:pt>
                <c:pt idx="5">
                  <c:v>105.27</c:v>
                </c:pt>
                <c:pt idx="6">
                  <c:v>110.27</c:v>
                </c:pt>
                <c:pt idx="7">
                  <c:v>115.27</c:v>
                </c:pt>
                <c:pt idx="8">
                  <c:v>120.27</c:v>
                </c:pt>
                <c:pt idx="9">
                  <c:v>125.27</c:v>
                </c:pt>
                <c:pt idx="10">
                  <c:v>130.26999999999998</c:v>
                </c:pt>
                <c:pt idx="11">
                  <c:v>135.26999999999998</c:v>
                </c:pt>
                <c:pt idx="12">
                  <c:v>140.26999999999998</c:v>
                </c:pt>
              </c:numCache>
            </c:numRef>
          </c:cat>
          <c:val>
            <c:numRef>
              <c:f>Butterfly!$H$20:$H$32</c:f>
              <c:numCache>
                <c:formatCode>0.00</c:formatCode>
                <c:ptCount val="13"/>
                <c:pt idx="0">
                  <c:v>-7.1622036528794197</c:v>
                </c:pt>
                <c:pt idx="1">
                  <c:v>-7.1622036528794197</c:v>
                </c:pt>
                <c:pt idx="2">
                  <c:v>-7.1622036528794197</c:v>
                </c:pt>
                <c:pt idx="3">
                  <c:v>-7.1622036528794197</c:v>
                </c:pt>
                <c:pt idx="4">
                  <c:v>-7.1622036528794197</c:v>
                </c:pt>
                <c:pt idx="5">
                  <c:v>-2.1622036528794197</c:v>
                </c:pt>
                <c:pt idx="6">
                  <c:v>2.8377963471205803</c:v>
                </c:pt>
                <c:pt idx="7">
                  <c:v>7.8377963471205803</c:v>
                </c:pt>
                <c:pt idx="8">
                  <c:v>12.83779634712058</c:v>
                </c:pt>
                <c:pt idx="9">
                  <c:v>17.83779634712058</c:v>
                </c:pt>
                <c:pt idx="10">
                  <c:v>22.837796347120566</c:v>
                </c:pt>
                <c:pt idx="11">
                  <c:v>27.837796347120566</c:v>
                </c:pt>
                <c:pt idx="12">
                  <c:v>32.837796347120566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7E-4EA4-B66A-EB09ED74F115}"/>
            </c:ext>
          </c:extLst>
        </c:ser>
        <c:ser>
          <c:idx val="2"/>
          <c:order val="2"/>
          <c:tx>
            <c:strRef>
              <c:f>Butterfly!$I$19</c:f>
              <c:strCache>
                <c:ptCount val="1"/>
                <c:pt idx="0">
                  <c:v>Short Call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Butterfly!$F$20:$F$32</c:f>
              <c:numCache>
                <c:formatCode>General</c:formatCode>
                <c:ptCount val="13"/>
                <c:pt idx="0">
                  <c:v>80.27</c:v>
                </c:pt>
                <c:pt idx="1">
                  <c:v>85.27</c:v>
                </c:pt>
                <c:pt idx="2">
                  <c:v>90.27</c:v>
                </c:pt>
                <c:pt idx="3">
                  <c:v>95.27</c:v>
                </c:pt>
                <c:pt idx="4">
                  <c:v>100.27</c:v>
                </c:pt>
                <c:pt idx="5">
                  <c:v>105.27</c:v>
                </c:pt>
                <c:pt idx="6">
                  <c:v>110.27</c:v>
                </c:pt>
                <c:pt idx="7">
                  <c:v>115.27</c:v>
                </c:pt>
                <c:pt idx="8">
                  <c:v>120.27</c:v>
                </c:pt>
                <c:pt idx="9">
                  <c:v>125.27</c:v>
                </c:pt>
                <c:pt idx="10">
                  <c:v>130.26999999999998</c:v>
                </c:pt>
                <c:pt idx="11">
                  <c:v>135.26999999999998</c:v>
                </c:pt>
                <c:pt idx="12">
                  <c:v>140.26999999999998</c:v>
                </c:pt>
              </c:numCache>
            </c:numRef>
          </c:cat>
          <c:val>
            <c:numRef>
              <c:f>Butterfly!$I$20:$I$32</c:f>
              <c:numCache>
                <c:formatCode>0.00</c:formatCode>
                <c:ptCount val="13"/>
                <c:pt idx="0">
                  <c:v>8.8569210035808297</c:v>
                </c:pt>
                <c:pt idx="1">
                  <c:v>8.8569210035808297</c:v>
                </c:pt>
                <c:pt idx="2">
                  <c:v>8.8569210035808297</c:v>
                </c:pt>
                <c:pt idx="3">
                  <c:v>8.8569210035808297</c:v>
                </c:pt>
                <c:pt idx="4">
                  <c:v>8.8569210035808297</c:v>
                </c:pt>
                <c:pt idx="5">
                  <c:v>8.8569210035808297</c:v>
                </c:pt>
                <c:pt idx="6">
                  <c:v>8.8569210035808297</c:v>
                </c:pt>
                <c:pt idx="7">
                  <c:v>-1.1430789964191703</c:v>
                </c:pt>
                <c:pt idx="8">
                  <c:v>-11.14307899641917</c:v>
                </c:pt>
                <c:pt idx="9">
                  <c:v>-21.14307899641917</c:v>
                </c:pt>
                <c:pt idx="10">
                  <c:v>-31.143078996419142</c:v>
                </c:pt>
                <c:pt idx="11">
                  <c:v>-41.143078996419142</c:v>
                </c:pt>
                <c:pt idx="12">
                  <c:v>-51.143078996419142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7E-4EA4-B66A-EB09ED74F115}"/>
            </c:ext>
          </c:extLst>
        </c:ser>
        <c:ser>
          <c:idx val="3"/>
          <c:order val="3"/>
          <c:tx>
            <c:strRef>
              <c:f>Butterfly!$J$19</c:f>
              <c:strCache>
                <c:ptCount val="1"/>
                <c:pt idx="0">
                  <c:v>Long Call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Butterfly!$F$20:$F$32</c:f>
              <c:numCache>
                <c:formatCode>General</c:formatCode>
                <c:ptCount val="13"/>
                <c:pt idx="0">
                  <c:v>80.27</c:v>
                </c:pt>
                <c:pt idx="1">
                  <c:v>85.27</c:v>
                </c:pt>
                <c:pt idx="2">
                  <c:v>90.27</c:v>
                </c:pt>
                <c:pt idx="3">
                  <c:v>95.27</c:v>
                </c:pt>
                <c:pt idx="4">
                  <c:v>100.27</c:v>
                </c:pt>
                <c:pt idx="5">
                  <c:v>105.27</c:v>
                </c:pt>
                <c:pt idx="6">
                  <c:v>110.27</c:v>
                </c:pt>
                <c:pt idx="7">
                  <c:v>115.27</c:v>
                </c:pt>
                <c:pt idx="8">
                  <c:v>120.27</c:v>
                </c:pt>
                <c:pt idx="9">
                  <c:v>125.27</c:v>
                </c:pt>
                <c:pt idx="10">
                  <c:v>130.26999999999998</c:v>
                </c:pt>
                <c:pt idx="11">
                  <c:v>135.26999999999998</c:v>
                </c:pt>
                <c:pt idx="12">
                  <c:v>140.26999999999998</c:v>
                </c:pt>
              </c:numCache>
            </c:numRef>
          </c:cat>
          <c:val>
            <c:numRef>
              <c:f>Butterfly!$J$20:$J$32</c:f>
              <c:numCache>
                <c:formatCode>0.00</c:formatCode>
                <c:ptCount val="13"/>
                <c:pt idx="0">
                  <c:v>-2.9972599222334502</c:v>
                </c:pt>
                <c:pt idx="1">
                  <c:v>-2.9972599222334502</c:v>
                </c:pt>
                <c:pt idx="2">
                  <c:v>-2.9972599222334502</c:v>
                </c:pt>
                <c:pt idx="3">
                  <c:v>-2.9972599222334502</c:v>
                </c:pt>
                <c:pt idx="4">
                  <c:v>-2.9972599222334502</c:v>
                </c:pt>
                <c:pt idx="5">
                  <c:v>-2.9972599222334502</c:v>
                </c:pt>
                <c:pt idx="6">
                  <c:v>-2.9972599222334502</c:v>
                </c:pt>
                <c:pt idx="7">
                  <c:v>-2.9972599222334502</c:v>
                </c:pt>
                <c:pt idx="8">
                  <c:v>-2.9972599222334502</c:v>
                </c:pt>
                <c:pt idx="9">
                  <c:v>2.0027400777665498</c:v>
                </c:pt>
                <c:pt idx="10">
                  <c:v>7.0027400777665356</c:v>
                </c:pt>
                <c:pt idx="11">
                  <c:v>12.002740077766536</c:v>
                </c:pt>
                <c:pt idx="12">
                  <c:v>17.002740077766536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7E-4EA4-B66A-EB09ED74F115}"/>
            </c:ext>
          </c:extLst>
        </c:ser>
        <c:ser>
          <c:idx val="4"/>
          <c:order val="4"/>
          <c:tx>
            <c:strRef>
              <c:f>Butterfly!$K$19</c:f>
              <c:strCache>
                <c:ptCount val="1"/>
                <c:pt idx="0">
                  <c:v>None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Butterfly!$F$20:$F$32</c:f>
              <c:numCache>
                <c:formatCode>General</c:formatCode>
                <c:ptCount val="13"/>
                <c:pt idx="0">
                  <c:v>80.27</c:v>
                </c:pt>
                <c:pt idx="1">
                  <c:v>85.27</c:v>
                </c:pt>
                <c:pt idx="2">
                  <c:v>90.27</c:v>
                </c:pt>
                <c:pt idx="3">
                  <c:v>95.27</c:v>
                </c:pt>
                <c:pt idx="4">
                  <c:v>100.27</c:v>
                </c:pt>
                <c:pt idx="5">
                  <c:v>105.27</c:v>
                </c:pt>
                <c:pt idx="6">
                  <c:v>110.27</c:v>
                </c:pt>
                <c:pt idx="7">
                  <c:v>115.27</c:v>
                </c:pt>
                <c:pt idx="8">
                  <c:v>120.27</c:v>
                </c:pt>
                <c:pt idx="9">
                  <c:v>125.27</c:v>
                </c:pt>
                <c:pt idx="10">
                  <c:v>130.26999999999998</c:v>
                </c:pt>
                <c:pt idx="11">
                  <c:v>135.26999999999998</c:v>
                </c:pt>
                <c:pt idx="12">
                  <c:v>140.26999999999998</c:v>
                </c:pt>
              </c:numCache>
            </c:numRef>
          </c:cat>
          <c:val>
            <c:numRef>
              <c:f>Butterfly!$K$20:$K$32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E7E-4EA4-B66A-EB09ED74F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072607"/>
        <c:axId val="194073087"/>
      </c:lineChart>
      <c:catAx>
        <c:axId val="194072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Stock Price --&gt;&gt;&gt;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low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73087"/>
        <c:crosses val="autoZero"/>
        <c:auto val="1"/>
        <c:lblAlgn val="ctr"/>
        <c:lblOffset val="100"/>
        <c:noMultiLvlLbl val="0"/>
      </c:catAx>
      <c:valAx>
        <c:axId val="194073087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P&amp;L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726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12871</xdr:colOff>
      <xdr:row>11</xdr:row>
      <xdr:rowOff>0</xdr:rowOff>
    </xdr:from>
    <xdr:to>
      <xdr:col>20</xdr:col>
      <xdr:colOff>424762</xdr:colOff>
      <xdr:row>32</xdr:row>
      <xdr:rowOff>0</xdr:rowOff>
    </xdr:to>
    <xdr:graphicFrame macro="">
      <xdr:nvGraphicFramePr>
        <xdr:cNvPr id="22" name="Chart 1">
          <a:extLst>
            <a:ext uri="{FF2B5EF4-FFF2-40B4-BE49-F238E27FC236}">
              <a16:creationId xmlns:a16="http://schemas.microsoft.com/office/drawing/2014/main" id="{B9A03EAD-CC7D-47E8-B1FD-1A338F23E9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12871</xdr:colOff>
      <xdr:row>11</xdr:row>
      <xdr:rowOff>0</xdr:rowOff>
    </xdr:from>
    <xdr:to>
      <xdr:col>20</xdr:col>
      <xdr:colOff>424762</xdr:colOff>
      <xdr:row>32</xdr:row>
      <xdr:rowOff>0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id="{2B5103D6-6E5E-4117-8DF4-7BA2739EBA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12872</xdr:colOff>
      <xdr:row>11</xdr:row>
      <xdr:rowOff>0</xdr:rowOff>
    </xdr:from>
    <xdr:to>
      <xdr:col>16</xdr:col>
      <xdr:colOff>437636</xdr:colOff>
      <xdr:row>32</xdr:row>
      <xdr:rowOff>0</xdr:rowOff>
    </xdr:to>
    <xdr:graphicFrame macro="">
      <xdr:nvGraphicFramePr>
        <xdr:cNvPr id="19" name="Chart 1">
          <a:extLst>
            <a:ext uri="{FF2B5EF4-FFF2-40B4-BE49-F238E27FC236}">
              <a16:creationId xmlns:a16="http://schemas.microsoft.com/office/drawing/2014/main" id="{C3585A28-8BE3-4B82-8C4C-29F8D48CC4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12872</xdr:colOff>
      <xdr:row>11</xdr:row>
      <xdr:rowOff>0</xdr:rowOff>
    </xdr:from>
    <xdr:to>
      <xdr:col>16</xdr:col>
      <xdr:colOff>437636</xdr:colOff>
      <xdr:row>32</xdr:row>
      <xdr:rowOff>0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id="{67849D89-5E82-411C-ABA2-07198831E0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12872</xdr:colOff>
      <xdr:row>11</xdr:row>
      <xdr:rowOff>1</xdr:rowOff>
    </xdr:from>
    <xdr:to>
      <xdr:col>17</xdr:col>
      <xdr:colOff>595312</xdr:colOff>
      <xdr:row>32</xdr:row>
      <xdr:rowOff>0</xdr:rowOff>
    </xdr:to>
    <xdr:graphicFrame macro="">
      <xdr:nvGraphicFramePr>
        <xdr:cNvPr id="27" name="Chart 1">
          <a:extLst>
            <a:ext uri="{FF2B5EF4-FFF2-40B4-BE49-F238E27FC236}">
              <a16:creationId xmlns:a16="http://schemas.microsoft.com/office/drawing/2014/main" id="{F7BF5B35-C075-4A4E-B7B7-7AAAAAB689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011F5-DC40-4EF9-AE87-4CC4DF125257}">
  <dimension ref="A1:B13"/>
  <sheetViews>
    <sheetView workbookViewId="0">
      <selection activeCell="A2" sqref="A2"/>
    </sheetView>
  </sheetViews>
  <sheetFormatPr defaultRowHeight="15" x14ac:dyDescent="0.25"/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1" t="s">
        <v>5</v>
      </c>
    </row>
    <row r="4" spans="1:2" x14ac:dyDescent="0.25">
      <c r="A4" t="s">
        <v>6</v>
      </c>
      <c r="B4" s="1" t="s">
        <v>7</v>
      </c>
    </row>
    <row r="7" spans="1:2" x14ac:dyDescent="0.25">
      <c r="A7" t="s">
        <v>31</v>
      </c>
    </row>
    <row r="8" spans="1:2" x14ac:dyDescent="0.25">
      <c r="A8" t="s">
        <v>32</v>
      </c>
    </row>
    <row r="9" spans="1:2" x14ac:dyDescent="0.25">
      <c r="A9" t="s">
        <v>33</v>
      </c>
    </row>
    <row r="11" spans="1:2" x14ac:dyDescent="0.25">
      <c r="A11" t="s">
        <v>36</v>
      </c>
      <c r="B11" t="s">
        <v>37</v>
      </c>
    </row>
    <row r="13" spans="1:2" x14ac:dyDescent="0.25">
      <c r="B13" cm="1">
        <f t="array" ref="B13">OptionPayout("call",100,110)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E05D9-2825-404F-9BE6-35F0C8DD7824}">
  <dimension ref="A1:E5"/>
  <sheetViews>
    <sheetView workbookViewId="0">
      <selection activeCell="G9" sqref="G9"/>
    </sheetView>
  </sheetViews>
  <sheetFormatPr defaultRowHeight="15" x14ac:dyDescent="0.25"/>
  <sheetData>
    <row r="1" spans="1:5" x14ac:dyDescent="0.25">
      <c r="A1" s="79">
        <v>34</v>
      </c>
      <c r="B1" s="79">
        <v>45</v>
      </c>
      <c r="C1" s="79"/>
      <c r="D1" s="79"/>
      <c r="E1" s="79"/>
    </row>
    <row r="2" spans="1:5" x14ac:dyDescent="0.25">
      <c r="A2" s="79">
        <f>_xlfn.LET(_xlpm.first,A1,_xlpm.second,B1,_xlpm.first*_xlpm.second)</f>
        <v>1530</v>
      </c>
      <c r="B2" s="79" cm="1">
        <f t="array" ref="B2">TimesIt(A1,B1)</f>
        <v>1530</v>
      </c>
      <c r="C2" s="79" t="str">
        <f ca="1">_xlfn.FORMULATEXT(B2)</f>
        <v>=TimesIt(A1,B1)</v>
      </c>
      <c r="D2" s="79"/>
      <c r="E2" s="79"/>
    </row>
    <row r="3" spans="1:5" x14ac:dyDescent="0.25">
      <c r="A3" s="79"/>
      <c r="B3" s="79" cm="1">
        <f t="array" ref="B3">PlusIt(A1,B1)</f>
        <v>79</v>
      </c>
      <c r="C3" s="79" t="str">
        <f ca="1">_xlfn.FORMULATEXT(B3)</f>
        <v>=PlusIt(A1,B1)</v>
      </c>
      <c r="D3" s="79"/>
      <c r="E3" s="79"/>
    </row>
    <row r="4" spans="1:5" x14ac:dyDescent="0.25">
      <c r="A4" s="79" t="s">
        <v>8</v>
      </c>
      <c r="B4" s="80" t="s">
        <v>9</v>
      </c>
      <c r="C4" s="79"/>
      <c r="D4" s="79"/>
      <c r="E4" s="79"/>
    </row>
    <row r="5" spans="1:5" x14ac:dyDescent="0.25">
      <c r="A5" s="79" t="s">
        <v>10</v>
      </c>
      <c r="B5" s="80" t="s">
        <v>11</v>
      </c>
      <c r="C5" s="79"/>
      <c r="D5" s="79"/>
      <c r="E5" s="7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1DBA8-EC29-49C7-8F89-A0D62E6720DF}">
  <dimension ref="A1:K32"/>
  <sheetViews>
    <sheetView showGridLines="0" tabSelected="1" zoomScale="62" zoomScaleNormal="180" workbookViewId="0">
      <selection activeCell="B9" sqref="B9:B10"/>
    </sheetView>
  </sheetViews>
  <sheetFormatPr defaultRowHeight="15" x14ac:dyDescent="0.25"/>
  <cols>
    <col min="1" max="5" width="2.85546875" customWidth="1"/>
    <col min="6" max="6" width="25.28515625" customWidth="1"/>
    <col min="7" max="7" width="9" bestFit="1" customWidth="1"/>
    <col min="8" max="8" width="9.85546875" bestFit="1" customWidth="1"/>
  </cols>
  <sheetData>
    <row r="1" spans="1:11" ht="24.75" thickBot="1" x14ac:dyDescent="0.45">
      <c r="A1" s="45" t="s">
        <v>12</v>
      </c>
    </row>
    <row r="2" spans="1:11" ht="15.75" thickBot="1" x14ac:dyDescent="0.3">
      <c r="B2" s="68" t="s">
        <v>13</v>
      </c>
      <c r="C2" s="69"/>
      <c r="D2" s="69"/>
      <c r="E2" s="69"/>
      <c r="F2" s="69"/>
      <c r="G2" s="69"/>
      <c r="H2" s="70"/>
    </row>
    <row r="3" spans="1:11" x14ac:dyDescent="0.25">
      <c r="B3" s="71" t="s">
        <v>19</v>
      </c>
      <c r="C3" s="38" t="s">
        <v>14</v>
      </c>
      <c r="D3" s="38"/>
      <c r="E3" s="38"/>
      <c r="F3" s="38"/>
      <c r="G3" s="46">
        <v>100</v>
      </c>
      <c r="H3" s="47"/>
    </row>
    <row r="4" spans="1:11" x14ac:dyDescent="0.25">
      <c r="B4" s="72"/>
      <c r="C4" s="2" t="s">
        <v>15</v>
      </c>
      <c r="D4" s="2"/>
      <c r="E4" s="2"/>
      <c r="F4" s="2"/>
      <c r="G4" s="48">
        <v>100</v>
      </c>
      <c r="H4" s="41"/>
    </row>
    <row r="5" spans="1:11" x14ac:dyDescent="0.25">
      <c r="B5" s="72"/>
      <c r="C5" s="2" t="s">
        <v>16</v>
      </c>
      <c r="D5" s="2"/>
      <c r="E5" s="2"/>
      <c r="F5" s="2"/>
      <c r="G5" s="49">
        <v>3</v>
      </c>
      <c r="H5" s="42">
        <f>G5/12</f>
        <v>0.25</v>
      </c>
    </row>
    <row r="6" spans="1:11" x14ac:dyDescent="0.25">
      <c r="B6" s="72"/>
      <c r="C6" s="2" t="s">
        <v>17</v>
      </c>
      <c r="D6" s="2"/>
      <c r="E6" s="2"/>
      <c r="F6" s="2"/>
      <c r="G6" s="50">
        <v>0.05</v>
      </c>
      <c r="H6" s="41"/>
    </row>
    <row r="7" spans="1:11" x14ac:dyDescent="0.25">
      <c r="B7" s="72"/>
      <c r="C7" s="2" t="s">
        <v>18</v>
      </c>
      <c r="D7" s="2"/>
      <c r="E7" s="2"/>
      <c r="F7" s="2"/>
      <c r="G7" s="51">
        <v>0.02</v>
      </c>
      <c r="H7" s="41"/>
    </row>
    <row r="8" spans="1:11" ht="48.75" customHeight="1" x14ac:dyDescent="0.25">
      <c r="B8" s="39" t="s">
        <v>21</v>
      </c>
      <c r="C8" s="73" t="s">
        <v>20</v>
      </c>
      <c r="D8" s="73"/>
      <c r="E8" s="73"/>
      <c r="F8" s="73"/>
      <c r="G8" s="52">
        <v>0.2</v>
      </c>
      <c r="H8" s="41"/>
    </row>
    <row r="9" spans="1:11" ht="15" customHeight="1" x14ac:dyDescent="0.25">
      <c r="B9" s="74" t="s">
        <v>22</v>
      </c>
      <c r="C9" s="3" t="s">
        <v>23</v>
      </c>
      <c r="D9" s="3"/>
      <c r="E9" s="3"/>
      <c r="F9" s="3"/>
      <c r="G9" s="53" cm="1">
        <f t="array" ref="G9">CallPrice(spot,strike,expiry,riskfree,vol,div.yield)</f>
        <v>4.3358856163615798</v>
      </c>
      <c r="H9" s="41"/>
    </row>
    <row r="10" spans="1:11" ht="15.75" thickBot="1" x14ac:dyDescent="0.3">
      <c r="B10" s="75"/>
      <c r="C10" s="40" t="s">
        <v>24</v>
      </c>
      <c r="D10" s="40"/>
      <c r="E10" s="40"/>
      <c r="F10" s="40"/>
      <c r="G10" s="43" cm="1">
        <f t="array" ref="G10">PutPrice(spot,strike,expiry,riskfree,vol,div.yield)</f>
        <v>3.5924177464814875</v>
      </c>
      <c r="H10" s="44"/>
    </row>
    <row r="11" spans="1:11" ht="15.75" thickBot="1" x14ac:dyDescent="0.3"/>
    <row r="12" spans="1:11" ht="15.75" thickBot="1" x14ac:dyDescent="0.3">
      <c r="F12" s="27"/>
      <c r="G12" s="28"/>
      <c r="H12" s="76" t="s">
        <v>25</v>
      </c>
      <c r="I12" s="77"/>
      <c r="J12" s="77"/>
      <c r="K12" s="78"/>
    </row>
    <row r="13" spans="1:11" ht="15.75" thickBot="1" x14ac:dyDescent="0.3">
      <c r="F13" s="29"/>
      <c r="G13" s="11" t="s">
        <v>35</v>
      </c>
      <c r="H13" s="5">
        <v>1</v>
      </c>
      <c r="I13" s="6">
        <v>2</v>
      </c>
      <c r="J13" s="6">
        <v>3</v>
      </c>
      <c r="K13" s="7">
        <v>4</v>
      </c>
    </row>
    <row r="14" spans="1:11" x14ac:dyDescent="0.25">
      <c r="F14" s="25" t="s">
        <v>26</v>
      </c>
      <c r="G14" s="12" t="s">
        <v>38</v>
      </c>
      <c r="H14" s="15" t="s">
        <v>32</v>
      </c>
      <c r="I14" s="16" t="s">
        <v>32</v>
      </c>
      <c r="J14" s="16" t="s">
        <v>31</v>
      </c>
      <c r="K14" s="17" t="s">
        <v>32</v>
      </c>
    </row>
    <row r="15" spans="1:11" x14ac:dyDescent="0.25">
      <c r="F15" s="26" t="s">
        <v>27</v>
      </c>
      <c r="G15" s="13" t="s">
        <v>38</v>
      </c>
      <c r="H15" s="18">
        <v>1</v>
      </c>
      <c r="I15" s="4">
        <v>-1</v>
      </c>
      <c r="J15" s="4">
        <v>0</v>
      </c>
      <c r="K15" s="19">
        <v>0</v>
      </c>
    </row>
    <row r="16" spans="1:11" x14ac:dyDescent="0.25">
      <c r="F16" s="26" t="s">
        <v>28</v>
      </c>
      <c r="G16" s="13" t="s">
        <v>38</v>
      </c>
      <c r="H16" s="18">
        <v>100</v>
      </c>
      <c r="I16" s="4">
        <v>110</v>
      </c>
      <c r="J16" s="4">
        <v>100</v>
      </c>
      <c r="K16" s="19">
        <v>100</v>
      </c>
    </row>
    <row r="17" spans="6:11" x14ac:dyDescent="0.25">
      <c r="F17" s="26" t="s">
        <v>29</v>
      </c>
      <c r="G17" s="13" t="s">
        <v>38</v>
      </c>
      <c r="H17" s="20">
        <v>0.25</v>
      </c>
      <c r="I17" s="8">
        <v>0.3</v>
      </c>
      <c r="J17" s="8">
        <v>0.2</v>
      </c>
      <c r="K17" s="21">
        <v>0.2</v>
      </c>
    </row>
    <row r="18" spans="6:11" ht="15.75" thickBot="1" x14ac:dyDescent="0.3">
      <c r="F18" s="26" t="s">
        <v>30</v>
      </c>
      <c r="G18" s="14" t="s">
        <v>38</v>
      </c>
      <c r="H18" s="22" cm="1">
        <f t="array" ref="H18">_xlfn.IFS(H14="Call",CallPrice(spot,H16,expiry,riskfree,H17,div.yield),H14="Put",PutPrice(spot,H16,expiry,riskfree,H17,div.yield),H14="Spot",0)</f>
        <v>5.3207647633136048</v>
      </c>
      <c r="I18" s="23" cm="1">
        <f t="array" ref="I18">_xlfn.IFS(I14="Call",CallPrice(spot,I16,expiry,riskfree,I17,div.yield),I14="Put",PutPrice(spot,I16,expiry,riskfree,I17,div.yield),I14="Spot",0)</f>
        <v>2.6894135753913631</v>
      </c>
      <c r="J18" s="23" cm="1">
        <f t="array" ref="J18">_xlfn.IFS(J14="Call",CallPrice(spot,J16,expiry,riskfree,J17,div.yield),J14="Put",PutPrice(spot,J16,expiry,riskfree,J17,div.yield),J14="Spot",0)</f>
        <v>0</v>
      </c>
      <c r="K18" s="24" cm="1">
        <f t="array" ref="K18">_xlfn.IFS(K14="Call",CallPrice(spot,K16,expiry,riskfree,K17,div.yield),K14="Put",PutPrice(spot,K16,expiry,riskfree,K17,div.yield),K14="Spot",0)</f>
        <v>4.3358856163615798</v>
      </c>
    </row>
    <row r="19" spans="6:11" ht="15.75" thickBot="1" x14ac:dyDescent="0.3">
      <c r="F19" s="30" t="s">
        <v>34</v>
      </c>
      <c r="G19" s="11" t="s">
        <v>35</v>
      </c>
      <c r="H19" s="9" t="str" cm="1">
        <f t="array" ref="H19">_xlfn.IFS(H15&lt;0,"Short "&amp;H14,H15&gt;0,"Long "&amp;H14,H15=0,"None")</f>
        <v>Long Call</v>
      </c>
      <c r="I19" s="9" t="str" cm="1">
        <f t="array" ref="I19">_xlfn.IFS(I15&lt;0,"Short "&amp;I14,I15&gt;0,"Long "&amp;I14,I15=0,"None")</f>
        <v>Short Call</v>
      </c>
      <c r="J19" s="9" t="str" cm="1">
        <f t="array" ref="J19">_xlfn.IFS(J15&lt;0,"Short "&amp;J14,J15&gt;0,"Long "&amp;J14,J15=0,"None")</f>
        <v>None</v>
      </c>
      <c r="K19" s="10" t="str" cm="1">
        <f t="array" ref="K19">_xlfn.IFS(K15&lt;0,"Short "&amp;K14,K15&gt;0,"Long "&amp;K14,K15=0,"None")</f>
        <v>None</v>
      </c>
    </row>
    <row r="20" spans="6:11" x14ac:dyDescent="0.25">
      <c r="F20" s="54" cm="1">
        <f t="array" ref="F20:F32">_xlfn.SEQUENCE(13,1,70,5)</f>
        <v>70</v>
      </c>
      <c r="G20" s="57">
        <f t="shared" ref="G20:G32" si="0">SUM(H20:K20)</f>
        <v>-2.6313511879222418</v>
      </c>
      <c r="H20" s="32" cm="1">
        <f t="array" ref="H20">H$15*(IF(H$14="Spot",$F20-spot,OptionPayout(H$14,$F20,H$16))-H$18)</f>
        <v>-5.3207647633136048</v>
      </c>
      <c r="I20" s="32" cm="1">
        <f t="array" ref="I20">I$15*(IF(I$14="Spot",$F20-spot,OptionPayout(I$14,$F20,I$16))-I$18)</f>
        <v>2.6894135753913631</v>
      </c>
      <c r="J20" s="32" cm="1">
        <f t="array" ref="J20">J$15*(IF(J$14="Spot",$F20-spot,OptionPayout(J$14,$F20,J$16))-J$18)</f>
        <v>0</v>
      </c>
      <c r="K20" s="58" cm="1">
        <f t="array" ref="K20">K$15*(IF(K$14="Spot",$F20-spot,OptionPayout(K$14,$F20,K$16))-K$18)</f>
        <v>0</v>
      </c>
    </row>
    <row r="21" spans="6:11" x14ac:dyDescent="0.25">
      <c r="F21" s="55">
        <v>75</v>
      </c>
      <c r="G21" s="59">
        <f t="shared" si="0"/>
        <v>-2.6313511879222418</v>
      </c>
      <c r="H21" s="35" cm="1">
        <f t="array" ref="H21">H$15*(IF(H$14="Spot",$F21-spot,OptionPayout(H$14,$F21,H$16))-H$18)</f>
        <v>-5.3207647633136048</v>
      </c>
      <c r="I21" s="35" cm="1">
        <f t="array" ref="I21">I$15*(IF(I$14="Spot",$F21-spot,OptionPayout(I$14,$F21,I$16))-I$18)</f>
        <v>2.6894135753913631</v>
      </c>
      <c r="J21" s="35" cm="1">
        <f t="array" ref="J21">J$15*(IF(J$14="Spot",$F21-spot,OptionPayout(J$14,$F21,J$16))-J$18)</f>
        <v>0</v>
      </c>
      <c r="K21" s="33" cm="1">
        <f t="array" ref="K21">K$15*(IF(K$14="Spot",$F21-spot,OptionPayout(K$14,$F21,K$16))-K$18)</f>
        <v>0</v>
      </c>
    </row>
    <row r="22" spans="6:11" x14ac:dyDescent="0.25">
      <c r="F22" s="55">
        <v>80</v>
      </c>
      <c r="G22" s="59">
        <f t="shared" si="0"/>
        <v>-2.6313511879222418</v>
      </c>
      <c r="H22" s="35" cm="1">
        <f t="array" ref="H22">H$15*(IF(H$14="Spot",$F22-spot,OptionPayout(H$14,$F22,H$16))-H$18)</f>
        <v>-5.3207647633136048</v>
      </c>
      <c r="I22" s="35" cm="1">
        <f t="array" ref="I22">I$15*(IF(I$14="Spot",$F22-spot,OptionPayout(I$14,$F22,I$16))-I$18)</f>
        <v>2.6894135753913631</v>
      </c>
      <c r="J22" s="35" cm="1">
        <f t="array" ref="J22">J$15*(IF(J$14="Spot",$F22-spot,OptionPayout(J$14,$F22,J$16))-J$18)</f>
        <v>0</v>
      </c>
      <c r="K22" s="33" cm="1">
        <f t="array" ref="K22">K$15*(IF(K$14="Spot",$F22-spot,OptionPayout(K$14,$F22,K$16))-K$18)</f>
        <v>0</v>
      </c>
    </row>
    <row r="23" spans="6:11" x14ac:dyDescent="0.25">
      <c r="F23" s="55">
        <v>85</v>
      </c>
      <c r="G23" s="59">
        <f t="shared" si="0"/>
        <v>-2.6313511879222418</v>
      </c>
      <c r="H23" s="35" cm="1">
        <f t="array" ref="H23">H$15*(IF(H$14="Spot",$F23-spot,OptionPayout(H$14,$F23,H$16))-H$18)</f>
        <v>-5.3207647633136048</v>
      </c>
      <c r="I23" s="35" cm="1">
        <f t="array" ref="I23">I$15*(IF(I$14="Spot",$F23-spot,OptionPayout(I$14,$F23,I$16))-I$18)</f>
        <v>2.6894135753913631</v>
      </c>
      <c r="J23" s="35" cm="1">
        <f t="array" ref="J23">J$15*(IF(J$14="Spot",$F23-spot,OptionPayout(J$14,$F23,J$16))-J$18)</f>
        <v>0</v>
      </c>
      <c r="K23" s="33" cm="1">
        <f t="array" ref="K23">K$15*(IF(K$14="Spot",$F23-spot,OptionPayout(K$14,$F23,K$16))-K$18)</f>
        <v>0</v>
      </c>
    </row>
    <row r="24" spans="6:11" x14ac:dyDescent="0.25">
      <c r="F24" s="55">
        <v>90</v>
      </c>
      <c r="G24" s="59">
        <f t="shared" si="0"/>
        <v>-2.6313511879222418</v>
      </c>
      <c r="H24" s="35" cm="1">
        <f t="array" ref="H24">H$15*(IF(H$14="Spot",$F24-spot,OptionPayout(H$14,$F24,H$16))-H$18)</f>
        <v>-5.3207647633136048</v>
      </c>
      <c r="I24" s="35" cm="1">
        <f t="array" ref="I24">I$15*(IF(I$14="Spot",$F24-spot,OptionPayout(I$14,$F24,I$16))-I$18)</f>
        <v>2.6894135753913631</v>
      </c>
      <c r="J24" s="35" cm="1">
        <f t="array" ref="J24">J$15*(IF(J$14="Spot",$F24-spot,OptionPayout(J$14,$F24,J$16))-J$18)</f>
        <v>0</v>
      </c>
      <c r="K24" s="33" cm="1">
        <f t="array" ref="K24">K$15*(IF(K$14="Spot",$F24-spot,OptionPayout(K$14,$F24,K$16))-K$18)</f>
        <v>0</v>
      </c>
    </row>
    <row r="25" spans="6:11" x14ac:dyDescent="0.25">
      <c r="F25" s="55">
        <v>95</v>
      </c>
      <c r="G25" s="59">
        <f t="shared" si="0"/>
        <v>-2.6313511879222418</v>
      </c>
      <c r="H25" s="35" cm="1">
        <f t="array" ref="H25">H$15*(IF(H$14="Spot",$F25-spot,OptionPayout(H$14,$F25,H$16))-H$18)</f>
        <v>-5.3207647633136048</v>
      </c>
      <c r="I25" s="35" cm="1">
        <f t="array" ref="I25">I$15*(IF(I$14="Spot",$F25-spot,OptionPayout(I$14,$F25,I$16))-I$18)</f>
        <v>2.6894135753913631</v>
      </c>
      <c r="J25" s="35" cm="1">
        <f t="array" ref="J25">J$15*(IF(J$14="Spot",$F25-spot,OptionPayout(J$14,$F25,J$16))-J$18)</f>
        <v>0</v>
      </c>
      <c r="K25" s="33" cm="1">
        <f t="array" ref="K25">K$15*(IF(K$14="Spot",$F25-spot,OptionPayout(K$14,$F25,K$16))-K$18)</f>
        <v>0</v>
      </c>
    </row>
    <row r="26" spans="6:11" x14ac:dyDescent="0.25">
      <c r="F26" s="55">
        <v>100</v>
      </c>
      <c r="G26" s="59">
        <f t="shared" si="0"/>
        <v>-2.6313511879222418</v>
      </c>
      <c r="H26" s="35" cm="1">
        <f t="array" ref="H26">H$15*(IF(H$14="Spot",$F26-spot,OptionPayout(H$14,$F26,H$16))-H$18)</f>
        <v>-5.3207647633136048</v>
      </c>
      <c r="I26" s="35" cm="1">
        <f t="array" ref="I26">I$15*(IF(I$14="Spot",$F26-spot,OptionPayout(I$14,$F26,I$16))-I$18)</f>
        <v>2.6894135753913631</v>
      </c>
      <c r="J26" s="35" cm="1">
        <f t="array" ref="J26">J$15*(IF(J$14="Spot",$F26-spot,OptionPayout(J$14,$F26,J$16))-J$18)</f>
        <v>0</v>
      </c>
      <c r="K26" s="33" cm="1">
        <f t="array" ref="K26">K$15*(IF(K$14="Spot",$F26-spot,OptionPayout(K$14,$F26,K$16))-K$18)</f>
        <v>0</v>
      </c>
    </row>
    <row r="27" spans="6:11" x14ac:dyDescent="0.25">
      <c r="F27" s="55">
        <v>105</v>
      </c>
      <c r="G27" s="59">
        <f t="shared" si="0"/>
        <v>2.3686488120777582</v>
      </c>
      <c r="H27" s="35" cm="1">
        <f t="array" ref="H27">H$15*(IF(H$14="Spot",$F27-spot,OptionPayout(H$14,$F27,H$16))-H$18)</f>
        <v>-0.32076476331360482</v>
      </c>
      <c r="I27" s="35" cm="1">
        <f t="array" ref="I27">I$15*(IF(I$14="Spot",$F27-spot,OptionPayout(I$14,$F27,I$16))-I$18)</f>
        <v>2.6894135753913631</v>
      </c>
      <c r="J27" s="35" cm="1">
        <f t="array" ref="J27">J$15*(IF(J$14="Spot",$F27-spot,OptionPayout(J$14,$F27,J$16))-J$18)</f>
        <v>0</v>
      </c>
      <c r="K27" s="33" cm="1">
        <f t="array" ref="K27">K$15*(IF(K$14="Spot",$F27-spot,OptionPayout(K$14,$F27,K$16))-K$18)</f>
        <v>0</v>
      </c>
    </row>
    <row r="28" spans="6:11" x14ac:dyDescent="0.25">
      <c r="F28" s="55">
        <v>110</v>
      </c>
      <c r="G28" s="59">
        <f t="shared" si="0"/>
        <v>7.3686488120777582</v>
      </c>
      <c r="H28" s="35" cm="1">
        <f t="array" ref="H28">H$15*(IF(H$14="Spot",$F28-spot,OptionPayout(H$14,$F28,H$16))-H$18)</f>
        <v>4.6792352366863952</v>
      </c>
      <c r="I28" s="35" cm="1">
        <f t="array" ref="I28">I$15*(IF(I$14="Spot",$F28-spot,OptionPayout(I$14,$F28,I$16))-I$18)</f>
        <v>2.6894135753913631</v>
      </c>
      <c r="J28" s="35" cm="1">
        <f t="array" ref="J28">J$15*(IF(J$14="Spot",$F28-spot,OptionPayout(J$14,$F28,J$16))-J$18)</f>
        <v>0</v>
      </c>
      <c r="K28" s="33" cm="1">
        <f t="array" ref="K28">K$15*(IF(K$14="Spot",$F28-spot,OptionPayout(K$14,$F28,K$16))-K$18)</f>
        <v>0</v>
      </c>
    </row>
    <row r="29" spans="6:11" x14ac:dyDescent="0.25">
      <c r="F29" s="55">
        <v>115</v>
      </c>
      <c r="G29" s="59">
        <f t="shared" si="0"/>
        <v>7.3686488120777582</v>
      </c>
      <c r="H29" s="35" cm="1">
        <f t="array" ref="H29">H$15*(IF(H$14="Spot",$F29-spot,OptionPayout(H$14,$F29,H$16))-H$18)</f>
        <v>9.6792352366863952</v>
      </c>
      <c r="I29" s="35" cm="1">
        <f t="array" ref="I29">I$15*(IF(I$14="Spot",$F29-spot,OptionPayout(I$14,$F29,I$16))-I$18)</f>
        <v>-2.3105864246086369</v>
      </c>
      <c r="J29" s="35" cm="1">
        <f t="array" ref="J29">J$15*(IF(J$14="Spot",$F29-spot,OptionPayout(J$14,$F29,J$16))-J$18)</f>
        <v>0</v>
      </c>
      <c r="K29" s="33" cm="1">
        <f t="array" ref="K29">K$15*(IF(K$14="Spot",$F29-spot,OptionPayout(K$14,$F29,K$16))-K$18)</f>
        <v>0</v>
      </c>
    </row>
    <row r="30" spans="6:11" x14ac:dyDescent="0.25">
      <c r="F30" s="55">
        <v>120</v>
      </c>
      <c r="G30" s="59">
        <f t="shared" si="0"/>
        <v>7.3686488120777582</v>
      </c>
      <c r="H30" s="35" cm="1">
        <f t="array" ref="H30">H$15*(IF(H$14="Spot",$F30-spot,OptionPayout(H$14,$F30,H$16))-H$18)</f>
        <v>14.679235236686395</v>
      </c>
      <c r="I30" s="35" cm="1">
        <f t="array" ref="I30">I$15*(IF(I$14="Spot",$F30-spot,OptionPayout(I$14,$F30,I$16))-I$18)</f>
        <v>-7.3105864246086369</v>
      </c>
      <c r="J30" s="35" cm="1">
        <f t="array" ref="J30">J$15*(IF(J$14="Spot",$F30-spot,OptionPayout(J$14,$F30,J$16))-J$18)</f>
        <v>0</v>
      </c>
      <c r="K30" s="33" cm="1">
        <f t="array" ref="K30">K$15*(IF(K$14="Spot",$F30-spot,OptionPayout(K$14,$F30,K$16))-K$18)</f>
        <v>0</v>
      </c>
    </row>
    <row r="31" spans="6:11" x14ac:dyDescent="0.25">
      <c r="F31" s="55">
        <v>125</v>
      </c>
      <c r="G31" s="59">
        <f t="shared" si="0"/>
        <v>7.3686488120777582</v>
      </c>
      <c r="H31" s="35" cm="1">
        <f t="array" ref="H31">H$15*(IF(H$14="Spot",$F31-spot,OptionPayout(H$14,$F31,H$16))-H$18)</f>
        <v>19.679235236686395</v>
      </c>
      <c r="I31" s="35" cm="1">
        <f t="array" ref="I31">I$15*(IF(I$14="Spot",$F31-spot,OptionPayout(I$14,$F31,I$16))-I$18)</f>
        <v>-12.310586424608637</v>
      </c>
      <c r="J31" s="35" cm="1">
        <f t="array" ref="J31">J$15*(IF(J$14="Spot",$F31-spot,OptionPayout(J$14,$F31,J$16))-J$18)</f>
        <v>0</v>
      </c>
      <c r="K31" s="33" cm="1">
        <f t="array" ref="K31">K$15*(IF(K$14="Spot",$F31-spot,OptionPayout(K$14,$F31,K$16))-K$18)</f>
        <v>0</v>
      </c>
    </row>
    <row r="32" spans="6:11" ht="15.75" thickBot="1" x14ac:dyDescent="0.3">
      <c r="F32" s="56">
        <v>130</v>
      </c>
      <c r="G32" s="60">
        <f t="shared" si="0"/>
        <v>7.3686488120777582</v>
      </c>
      <c r="H32" s="36" cm="1">
        <f t="array" ref="H32">H$15*(IF(H$14="Spot",$F32-spot,OptionPayout(H$14,$F32,H$16))-H$18)</f>
        <v>24.679235236686395</v>
      </c>
      <c r="I32" s="36" cm="1">
        <f t="array" ref="I32">I$15*(IF(I$14="Spot",$F32-spot,OptionPayout(I$14,$F32,I$16))-I$18)</f>
        <v>-17.310586424608637</v>
      </c>
      <c r="J32" s="36" cm="1">
        <f t="array" ref="J32">J$15*(IF(J$14="Spot",$F32-spot,OptionPayout(J$14,$F32,J$16))-J$18)</f>
        <v>0</v>
      </c>
      <c r="K32" s="37" cm="1">
        <f t="array" ref="K32">K$15*(IF(K$14="Spot",$F32-spot,OptionPayout(K$14,$F32,K$16))-K$18)</f>
        <v>0</v>
      </c>
    </row>
  </sheetData>
  <mergeCells count="5">
    <mergeCell ref="B2:H2"/>
    <mergeCell ref="B3:B7"/>
    <mergeCell ref="C8:F8"/>
    <mergeCell ref="B9:B10"/>
    <mergeCell ref="H12:K12"/>
  </mergeCells>
  <dataValidations count="1">
    <dataValidation type="whole" allowBlank="1" showInputMessage="1" showErrorMessage="1" promptTitle="Position Size" prompt="Please choose a whole number between -2 and 2." sqref="H15:K15" xr:uid="{A81624DC-27AC-4F40-9BA3-1A6CED727601}">
      <formula1>-2</formula1>
      <formula2>2</formula2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F188B6A-880B-4228-8B4D-B83EC2E5A58D}">
          <x14:formula1>
            <xm:f>Formulas!$A$7:$A$9</xm:f>
          </x14:formula1>
          <xm:sqref>H14:K14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4FC10-07BA-4996-A919-1671C6567E24}">
  <dimension ref="A1:K32"/>
  <sheetViews>
    <sheetView showGridLines="0" zoomScale="77" zoomScaleNormal="180" workbookViewId="0">
      <selection activeCell="B32" sqref="B32"/>
    </sheetView>
  </sheetViews>
  <sheetFormatPr defaultRowHeight="15" x14ac:dyDescent="0.25"/>
  <cols>
    <col min="1" max="5" width="2.85546875" customWidth="1"/>
    <col min="6" max="6" width="25.28515625" customWidth="1"/>
    <col min="7" max="7" width="9" bestFit="1" customWidth="1"/>
    <col min="8" max="8" width="9.85546875" bestFit="1" customWidth="1"/>
  </cols>
  <sheetData>
    <row r="1" spans="1:11" ht="24.75" thickBot="1" x14ac:dyDescent="0.45">
      <c r="A1" s="45" t="s">
        <v>12</v>
      </c>
    </row>
    <row r="2" spans="1:11" ht="15.75" thickBot="1" x14ac:dyDescent="0.3">
      <c r="B2" s="68" t="s">
        <v>13</v>
      </c>
      <c r="C2" s="69"/>
      <c r="D2" s="69"/>
      <c r="E2" s="69"/>
      <c r="F2" s="69"/>
      <c r="G2" s="69"/>
      <c r="H2" s="70"/>
    </row>
    <row r="3" spans="1:11" x14ac:dyDescent="0.25">
      <c r="B3" s="71" t="s">
        <v>19</v>
      </c>
      <c r="C3" s="38" t="s">
        <v>14</v>
      </c>
      <c r="D3" s="38"/>
      <c r="E3" s="38"/>
      <c r="F3" s="38"/>
      <c r="G3" s="46">
        <v>100</v>
      </c>
      <c r="H3" s="47"/>
    </row>
    <row r="4" spans="1:11" x14ac:dyDescent="0.25">
      <c r="B4" s="72"/>
      <c r="C4" s="2" t="s">
        <v>15</v>
      </c>
      <c r="D4" s="2"/>
      <c r="E4" s="2"/>
      <c r="F4" s="2"/>
      <c r="G4" s="48">
        <v>100</v>
      </c>
      <c r="H4" s="41"/>
    </row>
    <row r="5" spans="1:11" x14ac:dyDescent="0.25">
      <c r="B5" s="72"/>
      <c r="C5" s="2" t="s">
        <v>16</v>
      </c>
      <c r="D5" s="2"/>
      <c r="E5" s="2"/>
      <c r="F5" s="2"/>
      <c r="G5" s="49">
        <v>3</v>
      </c>
      <c r="H5" s="42">
        <f>G5/12</f>
        <v>0.25</v>
      </c>
    </row>
    <row r="6" spans="1:11" x14ac:dyDescent="0.25">
      <c r="B6" s="72"/>
      <c r="C6" s="2" t="s">
        <v>17</v>
      </c>
      <c r="D6" s="2"/>
      <c r="E6" s="2"/>
      <c r="F6" s="2"/>
      <c r="G6" s="50">
        <v>0.05</v>
      </c>
      <c r="H6" s="41"/>
    </row>
    <row r="7" spans="1:11" x14ac:dyDescent="0.25">
      <c r="B7" s="72"/>
      <c r="C7" s="2" t="s">
        <v>18</v>
      </c>
      <c r="D7" s="2"/>
      <c r="E7" s="2"/>
      <c r="F7" s="2"/>
      <c r="G7" s="51">
        <v>0.02</v>
      </c>
      <c r="H7" s="41"/>
    </row>
    <row r="8" spans="1:11" ht="48.75" customHeight="1" x14ac:dyDescent="0.25">
      <c r="B8" s="39" t="s">
        <v>21</v>
      </c>
      <c r="C8" s="73" t="s">
        <v>20</v>
      </c>
      <c r="D8" s="73"/>
      <c r="E8" s="73"/>
      <c r="F8" s="73"/>
      <c r="G8" s="52">
        <v>0.2</v>
      </c>
      <c r="H8" s="41"/>
    </row>
    <row r="9" spans="1:11" ht="15" customHeight="1" x14ac:dyDescent="0.25">
      <c r="B9" s="74" t="s">
        <v>22</v>
      </c>
      <c r="C9" s="3" t="s">
        <v>23</v>
      </c>
      <c r="D9" s="3"/>
      <c r="E9" s="3"/>
      <c r="F9" s="3"/>
      <c r="G9" s="53" cm="1">
        <f t="array" ref="G9">CallPrice(spot,strike,expiry,riskfree,vol,div.yield)</f>
        <v>4.3358856163615798</v>
      </c>
      <c r="H9" s="41"/>
    </row>
    <row r="10" spans="1:11" ht="15.75" thickBot="1" x14ac:dyDescent="0.3">
      <c r="B10" s="75"/>
      <c r="C10" s="40" t="s">
        <v>24</v>
      </c>
      <c r="D10" s="40"/>
      <c r="E10" s="40"/>
      <c r="F10" s="40"/>
      <c r="G10" s="43" cm="1">
        <f t="array" ref="G10">PutPrice(spot,strike,expiry,riskfree,vol,div.yield)</f>
        <v>3.5924177464814875</v>
      </c>
      <c r="H10" s="44"/>
    </row>
    <row r="11" spans="1:11" ht="15.75" thickBot="1" x14ac:dyDescent="0.3"/>
    <row r="12" spans="1:11" ht="15.75" thickBot="1" x14ac:dyDescent="0.3">
      <c r="F12" s="27"/>
      <c r="G12" s="28"/>
      <c r="H12" s="76" t="s">
        <v>25</v>
      </c>
      <c r="I12" s="77"/>
      <c r="J12" s="77"/>
      <c r="K12" s="78"/>
    </row>
    <row r="13" spans="1:11" ht="15.75" thickBot="1" x14ac:dyDescent="0.3">
      <c r="F13" s="29"/>
      <c r="G13" s="11" t="s">
        <v>35</v>
      </c>
      <c r="H13" s="5">
        <v>1</v>
      </c>
      <c r="I13" s="6">
        <v>2</v>
      </c>
      <c r="J13" s="6">
        <v>3</v>
      </c>
      <c r="K13" s="7">
        <v>4</v>
      </c>
    </row>
    <row r="14" spans="1:11" x14ac:dyDescent="0.25">
      <c r="F14" s="25" t="s">
        <v>26</v>
      </c>
      <c r="G14" s="12" t="s">
        <v>38</v>
      </c>
      <c r="H14" s="15" t="s">
        <v>33</v>
      </c>
      <c r="I14" s="16" t="s">
        <v>33</v>
      </c>
      <c r="J14" s="16" t="s">
        <v>31</v>
      </c>
      <c r="K14" s="17" t="s">
        <v>32</v>
      </c>
    </row>
    <row r="15" spans="1:11" x14ac:dyDescent="0.25">
      <c r="F15" s="26" t="s">
        <v>27</v>
      </c>
      <c r="G15" s="13" t="s">
        <v>38</v>
      </c>
      <c r="H15" s="18">
        <v>1</v>
      </c>
      <c r="I15" s="4">
        <v>-1</v>
      </c>
      <c r="J15" s="4">
        <v>0</v>
      </c>
      <c r="K15" s="19">
        <v>0</v>
      </c>
    </row>
    <row r="16" spans="1:11" x14ac:dyDescent="0.25">
      <c r="F16" s="26" t="s">
        <v>28</v>
      </c>
      <c r="G16" s="13" t="s">
        <v>38</v>
      </c>
      <c r="H16" s="18">
        <v>100</v>
      </c>
      <c r="I16" s="4">
        <v>90</v>
      </c>
      <c r="J16" s="4">
        <v>100</v>
      </c>
      <c r="K16" s="19">
        <v>100</v>
      </c>
    </row>
    <row r="17" spans="6:11" x14ac:dyDescent="0.25">
      <c r="F17" s="26" t="s">
        <v>29</v>
      </c>
      <c r="G17" s="13" t="s">
        <v>38</v>
      </c>
      <c r="H17" s="20">
        <v>0.25</v>
      </c>
      <c r="I17" s="8">
        <v>0.3</v>
      </c>
      <c r="J17" s="8">
        <v>0.2</v>
      </c>
      <c r="K17" s="21">
        <v>0.2</v>
      </c>
    </row>
    <row r="18" spans="6:11" ht="15.75" thickBot="1" x14ac:dyDescent="0.3">
      <c r="F18" s="26" t="s">
        <v>30</v>
      </c>
      <c r="G18" s="14" t="s">
        <v>38</v>
      </c>
      <c r="H18" s="22" cm="1">
        <f t="array" ref="H18">_xlfn.IFS(H14="Call",CallPrice(spot,H16,expiry,riskfree,H17,div.yield),H14="Put",PutPrice(spot,H16,expiry,riskfree,H17,div.yield),H14="Spot",0)</f>
        <v>4.5772968934335125</v>
      </c>
      <c r="I18" s="23" cm="1">
        <f t="array" ref="I18">_xlfn.IFS(I14="Call",CallPrice(spot,I16,expiry,riskfree,I17,div.yield),I14="Put",PutPrice(spot,I16,expiry,riskfree,I17,div.yield),I14="Spot",0)</f>
        <v>1.8396113395318743</v>
      </c>
      <c r="J18" s="23" cm="1">
        <f t="array" ref="J18">_xlfn.IFS(J14="Call",CallPrice(spot,J16,expiry,riskfree,J17,div.yield),J14="Put",PutPrice(spot,J16,expiry,riskfree,J17,div.yield),J14="Spot",0)</f>
        <v>0</v>
      </c>
      <c r="K18" s="24" cm="1">
        <f t="array" ref="K18">_xlfn.IFS(K14="Call",CallPrice(spot,K16,expiry,riskfree,K17,div.yield),K14="Put",PutPrice(spot,K16,expiry,riskfree,K17,div.yield),K14="Spot",0)</f>
        <v>4.3358856163615798</v>
      </c>
    </row>
    <row r="19" spans="6:11" ht="15.75" thickBot="1" x14ac:dyDescent="0.3">
      <c r="F19" s="30" t="s">
        <v>34</v>
      </c>
      <c r="G19" s="11" t="s">
        <v>35</v>
      </c>
      <c r="H19" s="9" t="str" cm="1">
        <f t="array" ref="H19">_xlfn.IFS(H15&lt;0,"Short "&amp;H14,H15&gt;0,"Long "&amp;H14,H15=0,"None")</f>
        <v>Long Put</v>
      </c>
      <c r="I19" s="9" t="str" cm="1">
        <f t="array" ref="I19">_xlfn.IFS(I15&lt;0,"Short "&amp;I14,I15&gt;0,"Long "&amp;I14,I15=0,"None")</f>
        <v>Short Put</v>
      </c>
      <c r="J19" s="9" t="str" cm="1">
        <f t="array" ref="J19">_xlfn.IFS(J15&lt;0,"Short "&amp;J14,J15&gt;0,"Long "&amp;J14,J15=0,"None")</f>
        <v>None</v>
      </c>
      <c r="K19" s="10" t="str" cm="1">
        <f t="array" ref="K19">_xlfn.IFS(K15&lt;0,"Short "&amp;K14,K15&gt;0,"Long "&amp;K14,K15=0,"None")</f>
        <v>None</v>
      </c>
    </row>
    <row r="20" spans="6:11" x14ac:dyDescent="0.25">
      <c r="F20" s="54" cm="1">
        <f t="array" ref="F20:F32">_xlfn.SEQUENCE(13,1,70,5)</f>
        <v>70</v>
      </c>
      <c r="G20" s="57">
        <f t="shared" ref="G20:G32" si="0">SUM(H20:K20)</f>
        <v>7.2623144460983617</v>
      </c>
      <c r="H20" s="32" cm="1">
        <f t="array" ref="H20">H$15*(IF(H$14="Spot",$F20-spot,OptionPayout(H$14,$F20,H$16))-H$18)</f>
        <v>25.422703106566487</v>
      </c>
      <c r="I20" s="32" cm="1">
        <f t="array" ref="I20">I$15*(IF(I$14="Spot",$F20-spot,OptionPayout(I$14,$F20,I$16))-I$18)</f>
        <v>-18.160388660468126</v>
      </c>
      <c r="J20" s="32" cm="1">
        <f t="array" ref="J20">J$15*(IF(J$14="Spot",$F20-spot,OptionPayout(J$14,$F20,J$16))-J$18)</f>
        <v>0</v>
      </c>
      <c r="K20" s="58" cm="1">
        <f t="array" ref="K20">K$15*(IF(K$14="Spot",$F20-spot,OptionPayout(K$14,$F20,K$16))-K$18)</f>
        <v>0</v>
      </c>
    </row>
    <row r="21" spans="6:11" x14ac:dyDescent="0.25">
      <c r="F21" s="55">
        <v>75</v>
      </c>
      <c r="G21" s="59">
        <f t="shared" si="0"/>
        <v>7.2623144460983617</v>
      </c>
      <c r="H21" s="35" cm="1">
        <f t="array" ref="H21">H$15*(IF(H$14="Spot",$F21-spot,OptionPayout(H$14,$F21,H$16))-H$18)</f>
        <v>20.422703106566487</v>
      </c>
      <c r="I21" s="35" cm="1">
        <f t="array" ref="I21">I$15*(IF(I$14="Spot",$F21-spot,OptionPayout(I$14,$F21,I$16))-I$18)</f>
        <v>-13.160388660468126</v>
      </c>
      <c r="J21" s="35" cm="1">
        <f t="array" ref="J21">J$15*(IF(J$14="Spot",$F21-spot,OptionPayout(J$14,$F21,J$16))-J$18)</f>
        <v>0</v>
      </c>
      <c r="K21" s="33" cm="1">
        <f t="array" ref="K21">K$15*(IF(K$14="Spot",$F21-spot,OptionPayout(K$14,$F21,K$16))-K$18)</f>
        <v>0</v>
      </c>
    </row>
    <row r="22" spans="6:11" x14ac:dyDescent="0.25">
      <c r="F22" s="55">
        <v>80</v>
      </c>
      <c r="G22" s="59">
        <f t="shared" si="0"/>
        <v>7.2623144460983617</v>
      </c>
      <c r="H22" s="35" cm="1">
        <f t="array" ref="H22">H$15*(IF(H$14="Spot",$F22-spot,OptionPayout(H$14,$F22,H$16))-H$18)</f>
        <v>15.422703106566487</v>
      </c>
      <c r="I22" s="35" cm="1">
        <f t="array" ref="I22">I$15*(IF(I$14="Spot",$F22-spot,OptionPayout(I$14,$F22,I$16))-I$18)</f>
        <v>-8.1603886604681257</v>
      </c>
      <c r="J22" s="35" cm="1">
        <f t="array" ref="J22">J$15*(IF(J$14="Spot",$F22-spot,OptionPayout(J$14,$F22,J$16))-J$18)</f>
        <v>0</v>
      </c>
      <c r="K22" s="33" cm="1">
        <f t="array" ref="K22">K$15*(IF(K$14="Spot",$F22-spot,OptionPayout(K$14,$F22,K$16))-K$18)</f>
        <v>0</v>
      </c>
    </row>
    <row r="23" spans="6:11" x14ac:dyDescent="0.25">
      <c r="F23" s="55">
        <v>85</v>
      </c>
      <c r="G23" s="59">
        <f t="shared" si="0"/>
        <v>7.2623144460983617</v>
      </c>
      <c r="H23" s="35" cm="1">
        <f t="array" ref="H23">H$15*(IF(H$14="Spot",$F23-spot,OptionPayout(H$14,$F23,H$16))-H$18)</f>
        <v>10.422703106566487</v>
      </c>
      <c r="I23" s="35" cm="1">
        <f t="array" ref="I23">I$15*(IF(I$14="Spot",$F23-spot,OptionPayout(I$14,$F23,I$16))-I$18)</f>
        <v>-3.1603886604681257</v>
      </c>
      <c r="J23" s="35" cm="1">
        <f t="array" ref="J23">J$15*(IF(J$14="Spot",$F23-spot,OptionPayout(J$14,$F23,J$16))-J$18)</f>
        <v>0</v>
      </c>
      <c r="K23" s="33" cm="1">
        <f t="array" ref="K23">K$15*(IF(K$14="Spot",$F23-spot,OptionPayout(K$14,$F23,K$16))-K$18)</f>
        <v>0</v>
      </c>
    </row>
    <row r="24" spans="6:11" x14ac:dyDescent="0.25">
      <c r="F24" s="55">
        <v>90</v>
      </c>
      <c r="G24" s="59">
        <f t="shared" si="0"/>
        <v>7.2623144460983617</v>
      </c>
      <c r="H24" s="35" cm="1">
        <f t="array" ref="H24">H$15*(IF(H$14="Spot",$F24-spot,OptionPayout(H$14,$F24,H$16))-H$18)</f>
        <v>5.4227031065664875</v>
      </c>
      <c r="I24" s="35" cm="1">
        <f t="array" ref="I24">I$15*(IF(I$14="Spot",$F24-spot,OptionPayout(I$14,$F24,I$16))-I$18)</f>
        <v>1.8396113395318743</v>
      </c>
      <c r="J24" s="35" cm="1">
        <f t="array" ref="J24">J$15*(IF(J$14="Spot",$F24-spot,OptionPayout(J$14,$F24,J$16))-J$18)</f>
        <v>0</v>
      </c>
      <c r="K24" s="33" cm="1">
        <f t="array" ref="K24">K$15*(IF(K$14="Spot",$F24-spot,OptionPayout(K$14,$F24,K$16))-K$18)</f>
        <v>0</v>
      </c>
    </row>
    <row r="25" spans="6:11" x14ac:dyDescent="0.25">
      <c r="F25" s="55">
        <v>95</v>
      </c>
      <c r="G25" s="59">
        <f t="shared" si="0"/>
        <v>2.2623144460983617</v>
      </c>
      <c r="H25" s="35" cm="1">
        <f t="array" ref="H25">H$15*(IF(H$14="Spot",$F25-spot,OptionPayout(H$14,$F25,H$16))-H$18)</f>
        <v>0.42270310656648746</v>
      </c>
      <c r="I25" s="35" cm="1">
        <f t="array" ref="I25">I$15*(IF(I$14="Spot",$F25-spot,OptionPayout(I$14,$F25,I$16))-I$18)</f>
        <v>1.8396113395318743</v>
      </c>
      <c r="J25" s="35" cm="1">
        <f t="array" ref="J25">J$15*(IF(J$14="Spot",$F25-spot,OptionPayout(J$14,$F25,J$16))-J$18)</f>
        <v>0</v>
      </c>
      <c r="K25" s="33" cm="1">
        <f t="array" ref="K25">K$15*(IF(K$14="Spot",$F25-spot,OptionPayout(K$14,$F25,K$16))-K$18)</f>
        <v>0</v>
      </c>
    </row>
    <row r="26" spans="6:11" x14ac:dyDescent="0.25">
      <c r="F26" s="55">
        <v>100</v>
      </c>
      <c r="G26" s="59">
        <f t="shared" si="0"/>
        <v>-2.7376855539016383</v>
      </c>
      <c r="H26" s="35" cm="1">
        <f t="array" ref="H26">H$15*(IF(H$14="Spot",$F26-spot,OptionPayout(H$14,$F26,H$16))-H$18)</f>
        <v>-4.5772968934335125</v>
      </c>
      <c r="I26" s="35" cm="1">
        <f t="array" ref="I26">I$15*(IF(I$14="Spot",$F26-spot,OptionPayout(I$14,$F26,I$16))-I$18)</f>
        <v>1.8396113395318743</v>
      </c>
      <c r="J26" s="35" cm="1">
        <f t="array" ref="J26">J$15*(IF(J$14="Spot",$F26-spot,OptionPayout(J$14,$F26,J$16))-J$18)</f>
        <v>0</v>
      </c>
      <c r="K26" s="33" cm="1">
        <f t="array" ref="K26">K$15*(IF(K$14="Spot",$F26-spot,OptionPayout(K$14,$F26,K$16))-K$18)</f>
        <v>0</v>
      </c>
    </row>
    <row r="27" spans="6:11" x14ac:dyDescent="0.25">
      <c r="F27" s="55">
        <v>105</v>
      </c>
      <c r="G27" s="59">
        <f t="shared" si="0"/>
        <v>-2.7376855539016383</v>
      </c>
      <c r="H27" s="35" cm="1">
        <f t="array" ref="H27">H$15*(IF(H$14="Spot",$F27-spot,OptionPayout(H$14,$F27,H$16))-H$18)</f>
        <v>-4.5772968934335125</v>
      </c>
      <c r="I27" s="35" cm="1">
        <f t="array" ref="I27">I$15*(IF(I$14="Spot",$F27-spot,OptionPayout(I$14,$F27,I$16))-I$18)</f>
        <v>1.8396113395318743</v>
      </c>
      <c r="J27" s="35" cm="1">
        <f t="array" ref="J27">J$15*(IF(J$14="Spot",$F27-spot,OptionPayout(J$14,$F27,J$16))-J$18)</f>
        <v>0</v>
      </c>
      <c r="K27" s="33" cm="1">
        <f t="array" ref="K27">K$15*(IF(K$14="Spot",$F27-spot,OptionPayout(K$14,$F27,K$16))-K$18)</f>
        <v>0</v>
      </c>
    </row>
    <row r="28" spans="6:11" x14ac:dyDescent="0.25">
      <c r="F28" s="55">
        <v>110</v>
      </c>
      <c r="G28" s="59">
        <f t="shared" si="0"/>
        <v>-2.7376855539016383</v>
      </c>
      <c r="H28" s="35" cm="1">
        <f t="array" ref="H28">H$15*(IF(H$14="Spot",$F28-spot,OptionPayout(H$14,$F28,H$16))-H$18)</f>
        <v>-4.5772968934335125</v>
      </c>
      <c r="I28" s="35" cm="1">
        <f t="array" ref="I28">I$15*(IF(I$14="Spot",$F28-spot,OptionPayout(I$14,$F28,I$16))-I$18)</f>
        <v>1.8396113395318743</v>
      </c>
      <c r="J28" s="35" cm="1">
        <f t="array" ref="J28">J$15*(IF(J$14="Spot",$F28-spot,OptionPayout(J$14,$F28,J$16))-J$18)</f>
        <v>0</v>
      </c>
      <c r="K28" s="33" cm="1">
        <f t="array" ref="K28">K$15*(IF(K$14="Spot",$F28-spot,OptionPayout(K$14,$F28,K$16))-K$18)</f>
        <v>0</v>
      </c>
    </row>
    <row r="29" spans="6:11" x14ac:dyDescent="0.25">
      <c r="F29" s="55">
        <v>115</v>
      </c>
      <c r="G29" s="59">
        <f t="shared" si="0"/>
        <v>-2.7376855539016383</v>
      </c>
      <c r="H29" s="35" cm="1">
        <f t="array" ref="H29">H$15*(IF(H$14="Spot",$F29-spot,OptionPayout(H$14,$F29,H$16))-H$18)</f>
        <v>-4.5772968934335125</v>
      </c>
      <c r="I29" s="35" cm="1">
        <f t="array" ref="I29">I$15*(IF(I$14="Spot",$F29-spot,OptionPayout(I$14,$F29,I$16))-I$18)</f>
        <v>1.8396113395318743</v>
      </c>
      <c r="J29" s="35" cm="1">
        <f t="array" ref="J29">J$15*(IF(J$14="Spot",$F29-spot,OptionPayout(J$14,$F29,J$16))-J$18)</f>
        <v>0</v>
      </c>
      <c r="K29" s="33" cm="1">
        <f t="array" ref="K29">K$15*(IF(K$14="Spot",$F29-spot,OptionPayout(K$14,$F29,K$16))-K$18)</f>
        <v>0</v>
      </c>
    </row>
    <row r="30" spans="6:11" x14ac:dyDescent="0.25">
      <c r="F30" s="55">
        <v>120</v>
      </c>
      <c r="G30" s="59">
        <f t="shared" si="0"/>
        <v>-2.7376855539016383</v>
      </c>
      <c r="H30" s="35" cm="1">
        <f t="array" ref="H30">H$15*(IF(H$14="Spot",$F30-spot,OptionPayout(H$14,$F30,H$16))-H$18)</f>
        <v>-4.5772968934335125</v>
      </c>
      <c r="I30" s="35" cm="1">
        <f t="array" ref="I30">I$15*(IF(I$14="Spot",$F30-spot,OptionPayout(I$14,$F30,I$16))-I$18)</f>
        <v>1.8396113395318743</v>
      </c>
      <c r="J30" s="35" cm="1">
        <f t="array" ref="J30">J$15*(IF(J$14="Spot",$F30-spot,OptionPayout(J$14,$F30,J$16))-J$18)</f>
        <v>0</v>
      </c>
      <c r="K30" s="33" cm="1">
        <f t="array" ref="K30">K$15*(IF(K$14="Spot",$F30-spot,OptionPayout(K$14,$F30,K$16))-K$18)</f>
        <v>0</v>
      </c>
    </row>
    <row r="31" spans="6:11" x14ac:dyDescent="0.25">
      <c r="F31" s="55">
        <v>125</v>
      </c>
      <c r="G31" s="59">
        <f t="shared" si="0"/>
        <v>-2.7376855539016383</v>
      </c>
      <c r="H31" s="35" cm="1">
        <f t="array" ref="H31">H$15*(IF(H$14="Spot",$F31-spot,OptionPayout(H$14,$F31,H$16))-H$18)</f>
        <v>-4.5772968934335125</v>
      </c>
      <c r="I31" s="35" cm="1">
        <f t="array" ref="I31">I$15*(IF(I$14="Spot",$F31-spot,OptionPayout(I$14,$F31,I$16))-I$18)</f>
        <v>1.8396113395318743</v>
      </c>
      <c r="J31" s="35" cm="1">
        <f t="array" ref="J31">J$15*(IF(J$14="Spot",$F31-spot,OptionPayout(J$14,$F31,J$16))-J$18)</f>
        <v>0</v>
      </c>
      <c r="K31" s="33" cm="1">
        <f t="array" ref="K31">K$15*(IF(K$14="Spot",$F31-spot,OptionPayout(K$14,$F31,K$16))-K$18)</f>
        <v>0</v>
      </c>
    </row>
    <row r="32" spans="6:11" ht="15.75" thickBot="1" x14ac:dyDescent="0.3">
      <c r="F32" s="56">
        <v>130</v>
      </c>
      <c r="G32" s="60">
        <f t="shared" si="0"/>
        <v>-2.7376855539016383</v>
      </c>
      <c r="H32" s="36" cm="1">
        <f t="array" ref="H32">H$15*(IF(H$14="Spot",$F32-spot,OptionPayout(H$14,$F32,H$16))-H$18)</f>
        <v>-4.5772968934335125</v>
      </c>
      <c r="I32" s="36" cm="1">
        <f t="array" ref="I32">I$15*(IF(I$14="Spot",$F32-spot,OptionPayout(I$14,$F32,I$16))-I$18)</f>
        <v>1.8396113395318743</v>
      </c>
      <c r="J32" s="36" cm="1">
        <f t="array" ref="J32">J$15*(IF(J$14="Spot",$F32-spot,OptionPayout(J$14,$F32,J$16))-J$18)</f>
        <v>0</v>
      </c>
      <c r="K32" s="37" cm="1">
        <f t="array" ref="K32">K$15*(IF(K$14="Spot",$F32-spot,OptionPayout(K$14,$F32,K$16))-K$18)</f>
        <v>0</v>
      </c>
    </row>
  </sheetData>
  <mergeCells count="5">
    <mergeCell ref="B2:H2"/>
    <mergeCell ref="B3:B7"/>
    <mergeCell ref="C8:F8"/>
    <mergeCell ref="B9:B10"/>
    <mergeCell ref="H12:K12"/>
  </mergeCells>
  <dataValidations count="1">
    <dataValidation type="whole" allowBlank="1" showInputMessage="1" showErrorMessage="1" promptTitle="Position Size" prompt="Please choose a whole number between -2 and 2." sqref="H15:K15" xr:uid="{EEA37329-D685-48CD-9F8A-0B6B29E3860C}">
      <formula1>-2</formula1>
      <formula2>2</formula2>
    </dataValidation>
  </dataValidations>
  <pageMargins left="0.7" right="0.7" top="0.75" bottom="0.75" header="0.3" footer="0.3"/>
  <pageSetup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74CD49D-6862-46CD-9F50-EDE99A4A1382}">
          <x14:formula1>
            <xm:f>Formulas!$A$7:$A$9</xm:f>
          </x14:formula1>
          <xm:sqref>H14:K14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8893D-479B-4352-8945-9E4269327127}">
  <dimension ref="A1:K32"/>
  <sheetViews>
    <sheetView showGridLines="0" zoomScale="180" zoomScaleNormal="180" workbookViewId="0">
      <selection activeCell="B9" sqref="B9:B10"/>
    </sheetView>
  </sheetViews>
  <sheetFormatPr defaultRowHeight="15" x14ac:dyDescent="0.25"/>
  <cols>
    <col min="1" max="5" width="2.85546875" customWidth="1"/>
    <col min="6" max="6" width="25.28515625" customWidth="1"/>
    <col min="7" max="7" width="9" bestFit="1" customWidth="1"/>
    <col min="8" max="8" width="9.85546875" bestFit="1" customWidth="1"/>
  </cols>
  <sheetData>
    <row r="1" spans="1:11" ht="24.75" thickBot="1" x14ac:dyDescent="0.45">
      <c r="A1" s="45" t="s">
        <v>12</v>
      </c>
    </row>
    <row r="2" spans="1:11" ht="15.75" thickBot="1" x14ac:dyDescent="0.3">
      <c r="B2" s="68" t="s">
        <v>13</v>
      </c>
      <c r="C2" s="69"/>
      <c r="D2" s="69"/>
      <c r="E2" s="69"/>
      <c r="F2" s="69"/>
      <c r="G2" s="69"/>
      <c r="H2" s="70"/>
    </row>
    <row r="3" spans="1:11" x14ac:dyDescent="0.25">
      <c r="B3" s="71" t="s">
        <v>19</v>
      </c>
      <c r="C3" s="38" t="s">
        <v>14</v>
      </c>
      <c r="D3" s="38"/>
      <c r="E3" s="38"/>
      <c r="F3" s="38"/>
      <c r="G3" s="46">
        <v>100</v>
      </c>
      <c r="H3" s="47"/>
    </row>
    <row r="4" spans="1:11" x14ac:dyDescent="0.25">
      <c r="B4" s="72"/>
      <c r="C4" s="2" t="s">
        <v>15</v>
      </c>
      <c r="D4" s="2"/>
      <c r="E4" s="2"/>
      <c r="F4" s="2"/>
      <c r="G4" s="48">
        <v>100</v>
      </c>
      <c r="H4" s="41"/>
    </row>
    <row r="5" spans="1:11" x14ac:dyDescent="0.25">
      <c r="B5" s="72"/>
      <c r="C5" s="2" t="s">
        <v>16</v>
      </c>
      <c r="D5" s="2"/>
      <c r="E5" s="2"/>
      <c r="F5" s="2"/>
      <c r="G5" s="49">
        <v>3</v>
      </c>
      <c r="H5" s="42">
        <f>G5/12</f>
        <v>0.25</v>
      </c>
    </row>
    <row r="6" spans="1:11" x14ac:dyDescent="0.25">
      <c r="B6" s="72"/>
      <c r="C6" s="2" t="s">
        <v>17</v>
      </c>
      <c r="D6" s="2"/>
      <c r="E6" s="2"/>
      <c r="F6" s="2"/>
      <c r="G6" s="50">
        <v>0.05</v>
      </c>
      <c r="H6" s="41"/>
    </row>
    <row r="7" spans="1:11" x14ac:dyDescent="0.25">
      <c r="B7" s="72"/>
      <c r="C7" s="2" t="s">
        <v>18</v>
      </c>
      <c r="D7" s="2"/>
      <c r="E7" s="2"/>
      <c r="F7" s="2"/>
      <c r="G7" s="51">
        <v>0.02</v>
      </c>
      <c r="H7" s="41"/>
    </row>
    <row r="8" spans="1:11" ht="48.75" customHeight="1" x14ac:dyDescent="0.25">
      <c r="B8" s="39" t="s">
        <v>21</v>
      </c>
      <c r="C8" s="73" t="s">
        <v>20</v>
      </c>
      <c r="D8" s="73"/>
      <c r="E8" s="73"/>
      <c r="F8" s="73"/>
      <c r="G8" s="52">
        <v>0.2</v>
      </c>
      <c r="H8" s="41"/>
    </row>
    <row r="9" spans="1:11" ht="15" customHeight="1" x14ac:dyDescent="0.25">
      <c r="B9" s="74" t="s">
        <v>22</v>
      </c>
      <c r="C9" s="3" t="s">
        <v>23</v>
      </c>
      <c r="D9" s="3"/>
      <c r="E9" s="3"/>
      <c r="F9" s="3"/>
      <c r="G9" s="53" cm="1">
        <f t="array" ref="G9">CallPrice(spot,strike,expiry,riskfree,vol,div.yield)</f>
        <v>4.3358856163615798</v>
      </c>
      <c r="H9" s="41"/>
    </row>
    <row r="10" spans="1:11" ht="15.75" thickBot="1" x14ac:dyDescent="0.3">
      <c r="B10" s="75"/>
      <c r="C10" s="40" t="s">
        <v>24</v>
      </c>
      <c r="D10" s="40"/>
      <c r="E10" s="40"/>
      <c r="F10" s="40"/>
      <c r="G10" s="43" cm="1">
        <f t="array" ref="G10">PutPrice(spot,strike,expiry,riskfree,vol,div.yield)</f>
        <v>3.5924177464814875</v>
      </c>
      <c r="H10" s="44"/>
    </row>
    <row r="11" spans="1:11" ht="15.75" thickBot="1" x14ac:dyDescent="0.3"/>
    <row r="12" spans="1:11" ht="15.75" thickBot="1" x14ac:dyDescent="0.3">
      <c r="F12" s="27"/>
      <c r="G12" s="28"/>
      <c r="H12" s="76" t="s">
        <v>25</v>
      </c>
      <c r="I12" s="77"/>
      <c r="J12" s="77"/>
      <c r="K12" s="78"/>
    </row>
    <row r="13" spans="1:11" ht="15.75" thickBot="1" x14ac:dyDescent="0.3">
      <c r="F13" s="29"/>
      <c r="G13" s="11" t="s">
        <v>35</v>
      </c>
      <c r="H13" s="5">
        <v>1</v>
      </c>
      <c r="I13" s="6">
        <v>2</v>
      </c>
      <c r="J13" s="6">
        <v>3</v>
      </c>
      <c r="K13" s="7">
        <v>4</v>
      </c>
    </row>
    <row r="14" spans="1:11" x14ac:dyDescent="0.25">
      <c r="F14" s="25" t="s">
        <v>26</v>
      </c>
      <c r="G14" s="12" t="s">
        <v>38</v>
      </c>
      <c r="H14" s="15" t="s">
        <v>33</v>
      </c>
      <c r="I14" s="16" t="s">
        <v>31</v>
      </c>
      <c r="J14" s="16" t="s">
        <v>31</v>
      </c>
      <c r="K14" s="17" t="s">
        <v>32</v>
      </c>
    </row>
    <row r="15" spans="1:11" x14ac:dyDescent="0.25">
      <c r="F15" s="26" t="s">
        <v>27</v>
      </c>
      <c r="G15" s="13" t="s">
        <v>38</v>
      </c>
      <c r="H15" s="18">
        <v>1</v>
      </c>
      <c r="I15" s="4">
        <v>1</v>
      </c>
      <c r="J15" s="4">
        <v>0</v>
      </c>
      <c r="K15" s="19">
        <v>0</v>
      </c>
    </row>
    <row r="16" spans="1:11" x14ac:dyDescent="0.25">
      <c r="F16" s="26" t="s">
        <v>28</v>
      </c>
      <c r="G16" s="13" t="s">
        <v>38</v>
      </c>
      <c r="H16" s="18">
        <v>100</v>
      </c>
      <c r="I16" s="4">
        <v>90</v>
      </c>
      <c r="J16" s="4">
        <v>100</v>
      </c>
      <c r="K16" s="19">
        <v>100</v>
      </c>
    </row>
    <row r="17" spans="6:11" x14ac:dyDescent="0.25">
      <c r="F17" s="26" t="s">
        <v>29</v>
      </c>
      <c r="G17" s="13" t="s">
        <v>38</v>
      </c>
      <c r="H17" s="20">
        <v>0.25</v>
      </c>
      <c r="I17" s="8">
        <v>0.3</v>
      </c>
      <c r="J17" s="8">
        <v>0.2</v>
      </c>
      <c r="K17" s="21">
        <v>0.2</v>
      </c>
    </row>
    <row r="18" spans="6:11" ht="15.75" thickBot="1" x14ac:dyDescent="0.3">
      <c r="F18" s="26" t="s">
        <v>30</v>
      </c>
      <c r="G18" s="14" t="s">
        <v>38</v>
      </c>
      <c r="H18" s="22" cm="1">
        <f t="array" ref="H18">_xlfn.IFS(H14="Call",CallPrice(spot,H16,expiry,riskfree,H17,div.yield),H14="Put",PutPrice(spot,H16,expiry,riskfree,H17,div.yield),H14="Spot",0)</f>
        <v>4.5772968934335125</v>
      </c>
      <c r="I18" s="23" cm="1">
        <f t="array" ref="I18">_xlfn.IFS(I14="Call",CallPrice(spot,I16,expiry,riskfree,I17,div.yield),I14="Put",PutPrice(spot,I16,expiry,riskfree,I17,div.yield),I14="Spot",0)</f>
        <v>0</v>
      </c>
      <c r="J18" s="23" cm="1">
        <f t="array" ref="J18">_xlfn.IFS(J14="Call",CallPrice(spot,J16,expiry,riskfree,J17,div.yield),J14="Put",PutPrice(spot,J16,expiry,riskfree,J17,div.yield),J14="Spot",0)</f>
        <v>0</v>
      </c>
      <c r="K18" s="24" cm="1">
        <f t="array" ref="K18">_xlfn.IFS(K14="Call",CallPrice(spot,K16,expiry,riskfree,K17,div.yield),K14="Put",PutPrice(spot,K16,expiry,riskfree,K17,div.yield),K14="Spot",0)</f>
        <v>4.3358856163615798</v>
      </c>
    </row>
    <row r="19" spans="6:11" ht="15.75" thickBot="1" x14ac:dyDescent="0.3">
      <c r="F19" s="30" t="s">
        <v>34</v>
      </c>
      <c r="G19" s="11" t="s">
        <v>35</v>
      </c>
      <c r="H19" s="9" t="str" cm="1">
        <f t="array" ref="H19">_xlfn.IFS(H15&lt;0,"Short "&amp;H14,H15&gt;0,"Long "&amp;H14,H15=0,"None")</f>
        <v>Long Put</v>
      </c>
      <c r="I19" s="9" t="str" cm="1">
        <f t="array" ref="I19">_xlfn.IFS(I15&lt;0,"Short "&amp;I14,I15&gt;0,"Long "&amp;I14,I15=0,"None")</f>
        <v>Long Spot</v>
      </c>
      <c r="J19" s="9" t="str" cm="1">
        <f t="array" ref="J19">_xlfn.IFS(J15&lt;0,"Short "&amp;J14,J15&gt;0,"Long "&amp;J14,J15=0,"None")</f>
        <v>None</v>
      </c>
      <c r="K19" s="10" t="str" cm="1">
        <f t="array" ref="K19">_xlfn.IFS(K15&lt;0,"Short "&amp;K14,K15&gt;0,"Long "&amp;K14,K15=0,"None")</f>
        <v>None</v>
      </c>
    </row>
    <row r="20" spans="6:11" x14ac:dyDescent="0.25">
      <c r="F20" s="54" cm="1">
        <f t="array" ref="F20:F32">_xlfn.SEQUENCE(13,1,70,5)</f>
        <v>70</v>
      </c>
      <c r="G20" s="57">
        <f t="shared" ref="G20:G32" si="0">SUM(H20:K20)</f>
        <v>-4.5772968934335125</v>
      </c>
      <c r="H20" s="32" cm="1">
        <f t="array" ref="H20">H$15*(IF(H$14="Spot",$F20-spot,OptionPayout(H$14,$F20,H$16))-H$18)</f>
        <v>25.422703106566487</v>
      </c>
      <c r="I20" s="32" cm="1">
        <f t="array" ref="I20">I$15*(IF(I$14="Spot",$F20-spot,OptionPayout(I$14,$F20,I$16))-I$18)</f>
        <v>-30</v>
      </c>
      <c r="J20" s="32" cm="1">
        <f t="array" ref="J20">J$15*(IF(J$14="Spot",$F20-spot,OptionPayout(J$14,$F20,J$16))-J$18)</f>
        <v>0</v>
      </c>
      <c r="K20" s="58" cm="1">
        <f t="array" ref="K20">K$15*(IF(K$14="Spot",$F20-spot,OptionPayout(K$14,$F20,K$16))-K$18)</f>
        <v>0</v>
      </c>
    </row>
    <row r="21" spans="6:11" x14ac:dyDescent="0.25">
      <c r="F21" s="55">
        <v>75</v>
      </c>
      <c r="G21" s="59">
        <f t="shared" si="0"/>
        <v>-4.5772968934335125</v>
      </c>
      <c r="H21" s="35" cm="1">
        <f t="array" ref="H21">H$15*(IF(H$14="Spot",$F21-spot,OptionPayout(H$14,$F21,H$16))-H$18)</f>
        <v>20.422703106566487</v>
      </c>
      <c r="I21" s="35" cm="1">
        <f t="array" ref="I21">I$15*(IF(I$14="Spot",$F21-spot,OptionPayout(I$14,$F21,I$16))-I$18)</f>
        <v>-25</v>
      </c>
      <c r="J21" s="35" cm="1">
        <f t="array" ref="J21">J$15*(IF(J$14="Spot",$F21-spot,OptionPayout(J$14,$F21,J$16))-J$18)</f>
        <v>0</v>
      </c>
      <c r="K21" s="33" cm="1">
        <f t="array" ref="K21">K$15*(IF(K$14="Spot",$F21-spot,OptionPayout(K$14,$F21,K$16))-K$18)</f>
        <v>0</v>
      </c>
    </row>
    <row r="22" spans="6:11" x14ac:dyDescent="0.25">
      <c r="F22" s="55">
        <v>80</v>
      </c>
      <c r="G22" s="59">
        <f t="shared" si="0"/>
        <v>-4.5772968934335125</v>
      </c>
      <c r="H22" s="35" cm="1">
        <f t="array" ref="H22">H$15*(IF(H$14="Spot",$F22-spot,OptionPayout(H$14,$F22,H$16))-H$18)</f>
        <v>15.422703106566487</v>
      </c>
      <c r="I22" s="35" cm="1">
        <f t="array" ref="I22">I$15*(IF(I$14="Spot",$F22-spot,OptionPayout(I$14,$F22,I$16))-I$18)</f>
        <v>-20</v>
      </c>
      <c r="J22" s="35" cm="1">
        <f t="array" ref="J22">J$15*(IF(J$14="Spot",$F22-spot,OptionPayout(J$14,$F22,J$16))-J$18)</f>
        <v>0</v>
      </c>
      <c r="K22" s="33" cm="1">
        <f t="array" ref="K22">K$15*(IF(K$14="Spot",$F22-spot,OptionPayout(K$14,$F22,K$16))-K$18)</f>
        <v>0</v>
      </c>
    </row>
    <row r="23" spans="6:11" x14ac:dyDescent="0.25">
      <c r="F23" s="55">
        <v>85</v>
      </c>
      <c r="G23" s="59">
        <f t="shared" si="0"/>
        <v>-4.5772968934335125</v>
      </c>
      <c r="H23" s="35" cm="1">
        <f t="array" ref="H23">H$15*(IF(H$14="Spot",$F23-spot,OptionPayout(H$14,$F23,H$16))-H$18)</f>
        <v>10.422703106566487</v>
      </c>
      <c r="I23" s="35" cm="1">
        <f t="array" ref="I23">I$15*(IF(I$14="Spot",$F23-spot,OptionPayout(I$14,$F23,I$16))-I$18)</f>
        <v>-15</v>
      </c>
      <c r="J23" s="35" cm="1">
        <f t="array" ref="J23">J$15*(IF(J$14="Spot",$F23-spot,OptionPayout(J$14,$F23,J$16))-J$18)</f>
        <v>0</v>
      </c>
      <c r="K23" s="33" cm="1">
        <f t="array" ref="K23">K$15*(IF(K$14="Spot",$F23-spot,OptionPayout(K$14,$F23,K$16))-K$18)</f>
        <v>0</v>
      </c>
    </row>
    <row r="24" spans="6:11" x14ac:dyDescent="0.25">
      <c r="F24" s="55">
        <v>90</v>
      </c>
      <c r="G24" s="59">
        <f t="shared" si="0"/>
        <v>-4.5772968934335125</v>
      </c>
      <c r="H24" s="35" cm="1">
        <f t="array" ref="H24">H$15*(IF(H$14="Spot",$F24-spot,OptionPayout(H$14,$F24,H$16))-H$18)</f>
        <v>5.4227031065664875</v>
      </c>
      <c r="I24" s="35" cm="1">
        <f t="array" ref="I24">I$15*(IF(I$14="Spot",$F24-spot,OptionPayout(I$14,$F24,I$16))-I$18)</f>
        <v>-10</v>
      </c>
      <c r="J24" s="35" cm="1">
        <f t="array" ref="J24">J$15*(IF(J$14="Spot",$F24-spot,OptionPayout(J$14,$F24,J$16))-J$18)</f>
        <v>0</v>
      </c>
      <c r="K24" s="33" cm="1">
        <f t="array" ref="K24">K$15*(IF(K$14="Spot",$F24-spot,OptionPayout(K$14,$F24,K$16))-K$18)</f>
        <v>0</v>
      </c>
    </row>
    <row r="25" spans="6:11" x14ac:dyDescent="0.25">
      <c r="F25" s="55">
        <v>95</v>
      </c>
      <c r="G25" s="59">
        <f t="shared" si="0"/>
        <v>-4.5772968934335125</v>
      </c>
      <c r="H25" s="35" cm="1">
        <f t="array" ref="H25">H$15*(IF(H$14="Spot",$F25-spot,OptionPayout(H$14,$F25,H$16))-H$18)</f>
        <v>0.42270310656648746</v>
      </c>
      <c r="I25" s="35" cm="1">
        <f t="array" ref="I25">I$15*(IF(I$14="Spot",$F25-spot,OptionPayout(I$14,$F25,I$16))-I$18)</f>
        <v>-5</v>
      </c>
      <c r="J25" s="35" cm="1">
        <f t="array" ref="J25">J$15*(IF(J$14="Spot",$F25-spot,OptionPayout(J$14,$F25,J$16))-J$18)</f>
        <v>0</v>
      </c>
      <c r="K25" s="33" cm="1">
        <f t="array" ref="K25">K$15*(IF(K$14="Spot",$F25-spot,OptionPayout(K$14,$F25,K$16))-K$18)</f>
        <v>0</v>
      </c>
    </row>
    <row r="26" spans="6:11" x14ac:dyDescent="0.25">
      <c r="F26" s="55">
        <v>100</v>
      </c>
      <c r="G26" s="59">
        <f t="shared" si="0"/>
        <v>-4.5772968934335125</v>
      </c>
      <c r="H26" s="35" cm="1">
        <f t="array" ref="H26">H$15*(IF(H$14="Spot",$F26-spot,OptionPayout(H$14,$F26,H$16))-H$18)</f>
        <v>-4.5772968934335125</v>
      </c>
      <c r="I26" s="35" cm="1">
        <f t="array" ref="I26">I$15*(IF(I$14="Spot",$F26-spot,OptionPayout(I$14,$F26,I$16))-I$18)</f>
        <v>0</v>
      </c>
      <c r="J26" s="35" cm="1">
        <f t="array" ref="J26">J$15*(IF(J$14="Spot",$F26-spot,OptionPayout(J$14,$F26,J$16))-J$18)</f>
        <v>0</v>
      </c>
      <c r="K26" s="33" cm="1">
        <f t="array" ref="K26">K$15*(IF(K$14="Spot",$F26-spot,OptionPayout(K$14,$F26,K$16))-K$18)</f>
        <v>0</v>
      </c>
    </row>
    <row r="27" spans="6:11" x14ac:dyDescent="0.25">
      <c r="F27" s="55">
        <v>105</v>
      </c>
      <c r="G27" s="59">
        <f t="shared" si="0"/>
        <v>0.42270310656648746</v>
      </c>
      <c r="H27" s="35" cm="1">
        <f t="array" ref="H27">H$15*(IF(H$14="Spot",$F27-spot,OptionPayout(H$14,$F27,H$16))-H$18)</f>
        <v>-4.5772968934335125</v>
      </c>
      <c r="I27" s="35" cm="1">
        <f t="array" ref="I27">I$15*(IF(I$14="Spot",$F27-spot,OptionPayout(I$14,$F27,I$16))-I$18)</f>
        <v>5</v>
      </c>
      <c r="J27" s="35" cm="1">
        <f t="array" ref="J27">J$15*(IF(J$14="Spot",$F27-spot,OptionPayout(J$14,$F27,J$16))-J$18)</f>
        <v>0</v>
      </c>
      <c r="K27" s="33" cm="1">
        <f t="array" ref="K27">K$15*(IF(K$14="Spot",$F27-spot,OptionPayout(K$14,$F27,K$16))-K$18)</f>
        <v>0</v>
      </c>
    </row>
    <row r="28" spans="6:11" x14ac:dyDescent="0.25">
      <c r="F28" s="55">
        <v>110</v>
      </c>
      <c r="G28" s="59">
        <f t="shared" si="0"/>
        <v>5.4227031065664875</v>
      </c>
      <c r="H28" s="35" cm="1">
        <f t="array" ref="H28">H$15*(IF(H$14="Spot",$F28-spot,OptionPayout(H$14,$F28,H$16))-H$18)</f>
        <v>-4.5772968934335125</v>
      </c>
      <c r="I28" s="35" cm="1">
        <f t="array" ref="I28">I$15*(IF(I$14="Spot",$F28-spot,OptionPayout(I$14,$F28,I$16))-I$18)</f>
        <v>10</v>
      </c>
      <c r="J28" s="35" cm="1">
        <f t="array" ref="J28">J$15*(IF(J$14="Spot",$F28-spot,OptionPayout(J$14,$F28,J$16))-J$18)</f>
        <v>0</v>
      </c>
      <c r="K28" s="33" cm="1">
        <f t="array" ref="K28">K$15*(IF(K$14="Spot",$F28-spot,OptionPayout(K$14,$F28,K$16))-K$18)</f>
        <v>0</v>
      </c>
    </row>
    <row r="29" spans="6:11" x14ac:dyDescent="0.25">
      <c r="F29" s="55">
        <v>115</v>
      </c>
      <c r="G29" s="59">
        <f t="shared" si="0"/>
        <v>10.422703106566487</v>
      </c>
      <c r="H29" s="35" cm="1">
        <f t="array" ref="H29">H$15*(IF(H$14="Spot",$F29-spot,OptionPayout(H$14,$F29,H$16))-H$18)</f>
        <v>-4.5772968934335125</v>
      </c>
      <c r="I29" s="35" cm="1">
        <f t="array" ref="I29">I$15*(IF(I$14="Spot",$F29-spot,OptionPayout(I$14,$F29,I$16))-I$18)</f>
        <v>15</v>
      </c>
      <c r="J29" s="35" cm="1">
        <f t="array" ref="J29">J$15*(IF(J$14="Spot",$F29-spot,OptionPayout(J$14,$F29,J$16))-J$18)</f>
        <v>0</v>
      </c>
      <c r="K29" s="33" cm="1">
        <f t="array" ref="K29">K$15*(IF(K$14="Spot",$F29-spot,OptionPayout(K$14,$F29,K$16))-K$18)</f>
        <v>0</v>
      </c>
    </row>
    <row r="30" spans="6:11" x14ac:dyDescent="0.25">
      <c r="F30" s="55">
        <v>120</v>
      </c>
      <c r="G30" s="59">
        <f t="shared" si="0"/>
        <v>15.422703106566487</v>
      </c>
      <c r="H30" s="35" cm="1">
        <f t="array" ref="H30">H$15*(IF(H$14="Spot",$F30-spot,OptionPayout(H$14,$F30,H$16))-H$18)</f>
        <v>-4.5772968934335125</v>
      </c>
      <c r="I30" s="35" cm="1">
        <f t="array" ref="I30">I$15*(IF(I$14="Spot",$F30-spot,OptionPayout(I$14,$F30,I$16))-I$18)</f>
        <v>20</v>
      </c>
      <c r="J30" s="35" cm="1">
        <f t="array" ref="J30">J$15*(IF(J$14="Spot",$F30-spot,OptionPayout(J$14,$F30,J$16))-J$18)</f>
        <v>0</v>
      </c>
      <c r="K30" s="33" cm="1">
        <f t="array" ref="K30">K$15*(IF(K$14="Spot",$F30-spot,OptionPayout(K$14,$F30,K$16))-K$18)</f>
        <v>0</v>
      </c>
    </row>
    <row r="31" spans="6:11" x14ac:dyDescent="0.25">
      <c r="F31" s="55">
        <v>125</v>
      </c>
      <c r="G31" s="59">
        <f t="shared" si="0"/>
        <v>20.422703106566487</v>
      </c>
      <c r="H31" s="35" cm="1">
        <f t="array" ref="H31">H$15*(IF(H$14="Spot",$F31-spot,OptionPayout(H$14,$F31,H$16))-H$18)</f>
        <v>-4.5772968934335125</v>
      </c>
      <c r="I31" s="35" cm="1">
        <f t="array" ref="I31">I$15*(IF(I$14="Spot",$F31-spot,OptionPayout(I$14,$F31,I$16))-I$18)</f>
        <v>25</v>
      </c>
      <c r="J31" s="35" cm="1">
        <f t="array" ref="J31">J$15*(IF(J$14="Spot",$F31-spot,OptionPayout(J$14,$F31,J$16))-J$18)</f>
        <v>0</v>
      </c>
      <c r="K31" s="33" cm="1">
        <f t="array" ref="K31">K$15*(IF(K$14="Spot",$F31-spot,OptionPayout(K$14,$F31,K$16))-K$18)</f>
        <v>0</v>
      </c>
    </row>
    <row r="32" spans="6:11" ht="15.75" thickBot="1" x14ac:dyDescent="0.3">
      <c r="F32" s="56">
        <v>130</v>
      </c>
      <c r="G32" s="60">
        <f t="shared" si="0"/>
        <v>25.422703106566487</v>
      </c>
      <c r="H32" s="36" cm="1">
        <f t="array" ref="H32">H$15*(IF(H$14="Spot",$F32-spot,OptionPayout(H$14,$F32,H$16))-H$18)</f>
        <v>-4.5772968934335125</v>
      </c>
      <c r="I32" s="36" cm="1">
        <f t="array" ref="I32">I$15*(IF(I$14="Spot",$F32-spot,OptionPayout(I$14,$F32,I$16))-I$18)</f>
        <v>30</v>
      </c>
      <c r="J32" s="36" cm="1">
        <f t="array" ref="J32">J$15*(IF(J$14="Spot",$F32-spot,OptionPayout(J$14,$F32,J$16))-J$18)</f>
        <v>0</v>
      </c>
      <c r="K32" s="37" cm="1">
        <f t="array" ref="K32">K$15*(IF(K$14="Spot",$F32-spot,OptionPayout(K$14,$F32,K$16))-K$18)</f>
        <v>0</v>
      </c>
    </row>
  </sheetData>
  <mergeCells count="5">
    <mergeCell ref="B2:H2"/>
    <mergeCell ref="B3:B7"/>
    <mergeCell ref="C8:F8"/>
    <mergeCell ref="B9:B10"/>
    <mergeCell ref="H12:K12"/>
  </mergeCells>
  <dataValidations count="1">
    <dataValidation type="whole" allowBlank="1" showInputMessage="1" showErrorMessage="1" promptTitle="Position Size" prompt="Please choose a whole number between -2 and 2." sqref="H15:K15" xr:uid="{90427513-FB09-45A8-B882-85C824286746}">
      <formula1>-2</formula1>
      <formula2>2</formula2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14BDC17-C07C-443E-B9AC-2D9E9152272E}">
          <x14:formula1>
            <xm:f>Formulas!$A$7:$A$9</xm:f>
          </x14:formula1>
          <xm:sqref>H14:K14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3D8B6-8EB8-467D-BCAD-AFA0A0441EB5}">
  <dimension ref="A1:K32"/>
  <sheetViews>
    <sheetView showGridLines="0" topLeftCell="A10" zoomScale="180" zoomScaleNormal="180" workbookViewId="0">
      <selection activeCell="B9" sqref="B9:B10"/>
    </sheetView>
  </sheetViews>
  <sheetFormatPr defaultRowHeight="15" x14ac:dyDescent="0.25"/>
  <cols>
    <col min="1" max="5" width="2.85546875" customWidth="1"/>
    <col min="6" max="6" width="25.28515625" customWidth="1"/>
    <col min="7" max="7" width="9" bestFit="1" customWidth="1"/>
    <col min="8" max="8" width="9.85546875" bestFit="1" customWidth="1"/>
  </cols>
  <sheetData>
    <row r="1" spans="1:11" ht="24.75" thickBot="1" x14ac:dyDescent="0.45">
      <c r="A1" s="45" t="s">
        <v>12</v>
      </c>
    </row>
    <row r="2" spans="1:11" ht="15.75" thickBot="1" x14ac:dyDescent="0.3">
      <c r="B2" s="68" t="s">
        <v>13</v>
      </c>
      <c r="C2" s="69"/>
      <c r="D2" s="69"/>
      <c r="E2" s="69"/>
      <c r="F2" s="69"/>
      <c r="G2" s="69"/>
      <c r="H2" s="70"/>
    </row>
    <row r="3" spans="1:11" x14ac:dyDescent="0.25">
      <c r="B3" s="71" t="s">
        <v>19</v>
      </c>
      <c r="C3" s="38" t="s">
        <v>14</v>
      </c>
      <c r="D3" s="38"/>
      <c r="E3" s="38"/>
      <c r="F3" s="38"/>
      <c r="G3" s="46">
        <v>100</v>
      </c>
      <c r="H3" s="47"/>
    </row>
    <row r="4" spans="1:11" x14ac:dyDescent="0.25">
      <c r="B4" s="72"/>
      <c r="C4" s="2" t="s">
        <v>15</v>
      </c>
      <c r="D4" s="2"/>
      <c r="E4" s="2"/>
      <c r="F4" s="2"/>
      <c r="G4" s="48">
        <v>100</v>
      </c>
      <c r="H4" s="41"/>
    </row>
    <row r="5" spans="1:11" x14ac:dyDescent="0.25">
      <c r="B5" s="72"/>
      <c r="C5" s="2" t="s">
        <v>16</v>
      </c>
      <c r="D5" s="2"/>
      <c r="E5" s="2"/>
      <c r="F5" s="2"/>
      <c r="G5" s="49">
        <v>3</v>
      </c>
      <c r="H5" s="42">
        <f>G5/12</f>
        <v>0.25</v>
      </c>
    </row>
    <row r="6" spans="1:11" x14ac:dyDescent="0.25">
      <c r="B6" s="72"/>
      <c r="C6" s="2" t="s">
        <v>17</v>
      </c>
      <c r="D6" s="2"/>
      <c r="E6" s="2"/>
      <c r="F6" s="2"/>
      <c r="G6" s="50">
        <v>0.05</v>
      </c>
      <c r="H6" s="41"/>
    </row>
    <row r="7" spans="1:11" x14ac:dyDescent="0.25">
      <c r="B7" s="72"/>
      <c r="C7" s="2" t="s">
        <v>18</v>
      </c>
      <c r="D7" s="2"/>
      <c r="E7" s="2"/>
      <c r="F7" s="2"/>
      <c r="G7" s="51">
        <v>0.02</v>
      </c>
      <c r="H7" s="41"/>
    </row>
    <row r="8" spans="1:11" ht="48.75" customHeight="1" x14ac:dyDescent="0.25">
      <c r="B8" s="39" t="s">
        <v>21</v>
      </c>
      <c r="C8" s="73" t="s">
        <v>20</v>
      </c>
      <c r="D8" s="73"/>
      <c r="E8" s="73"/>
      <c r="F8" s="73"/>
      <c r="G8" s="52">
        <v>0.2</v>
      </c>
      <c r="H8" s="41"/>
    </row>
    <row r="9" spans="1:11" ht="15" customHeight="1" x14ac:dyDescent="0.25">
      <c r="B9" s="74" t="s">
        <v>22</v>
      </c>
      <c r="C9" s="3" t="s">
        <v>23</v>
      </c>
      <c r="D9" s="3"/>
      <c r="E9" s="3"/>
      <c r="F9" s="3"/>
      <c r="G9" s="53" cm="1">
        <f t="array" ref="G9">CallPrice(spot,strike,expiry,riskfree,vol,div.yield)</f>
        <v>4.3358856163615798</v>
      </c>
      <c r="H9" s="41"/>
    </row>
    <row r="10" spans="1:11" ht="15.75" thickBot="1" x14ac:dyDescent="0.3">
      <c r="B10" s="75"/>
      <c r="C10" s="40" t="s">
        <v>24</v>
      </c>
      <c r="D10" s="40"/>
      <c r="E10" s="40"/>
      <c r="F10" s="40"/>
      <c r="G10" s="43" cm="1">
        <f t="array" ref="G10">PutPrice(spot,strike,expiry,riskfree,vol,div.yield)</f>
        <v>3.5924177464814875</v>
      </c>
      <c r="H10" s="44"/>
    </row>
    <row r="11" spans="1:11" ht="15.75" thickBot="1" x14ac:dyDescent="0.3"/>
    <row r="12" spans="1:11" ht="15.75" thickBot="1" x14ac:dyDescent="0.3">
      <c r="F12" s="27"/>
      <c r="G12" s="28"/>
      <c r="H12" s="76" t="s">
        <v>25</v>
      </c>
      <c r="I12" s="77"/>
      <c r="J12" s="77"/>
      <c r="K12" s="78"/>
    </row>
    <row r="13" spans="1:11" ht="15.75" thickBot="1" x14ac:dyDescent="0.3">
      <c r="F13" s="29"/>
      <c r="G13" s="11" t="s">
        <v>35</v>
      </c>
      <c r="H13" s="5">
        <v>1</v>
      </c>
      <c r="I13" s="6">
        <v>2</v>
      </c>
      <c r="J13" s="6">
        <v>3</v>
      </c>
      <c r="K13" s="7">
        <v>4</v>
      </c>
    </row>
    <row r="14" spans="1:11" x14ac:dyDescent="0.25">
      <c r="F14" s="25" t="s">
        <v>26</v>
      </c>
      <c r="G14" s="12" t="s">
        <v>38</v>
      </c>
      <c r="H14" s="15" t="s">
        <v>32</v>
      </c>
      <c r="I14" s="16" t="s">
        <v>33</v>
      </c>
      <c r="J14" s="16" t="s">
        <v>31</v>
      </c>
      <c r="K14" s="17" t="s">
        <v>32</v>
      </c>
    </row>
    <row r="15" spans="1:11" x14ac:dyDescent="0.25">
      <c r="F15" s="26" t="s">
        <v>27</v>
      </c>
      <c r="G15" s="13" t="s">
        <v>38</v>
      </c>
      <c r="H15" s="18">
        <v>1</v>
      </c>
      <c r="I15" s="4">
        <v>-1</v>
      </c>
      <c r="J15" s="4">
        <v>0</v>
      </c>
      <c r="K15" s="19">
        <v>0</v>
      </c>
    </row>
    <row r="16" spans="1:11" x14ac:dyDescent="0.25">
      <c r="F16" s="26" t="s">
        <v>28</v>
      </c>
      <c r="G16" s="13" t="s">
        <v>38</v>
      </c>
      <c r="H16" s="18">
        <v>110</v>
      </c>
      <c r="I16" s="4">
        <v>90</v>
      </c>
      <c r="J16" s="4">
        <v>100</v>
      </c>
      <c r="K16" s="19">
        <v>100</v>
      </c>
    </row>
    <row r="17" spans="6:11" x14ac:dyDescent="0.25">
      <c r="F17" s="26" t="s">
        <v>29</v>
      </c>
      <c r="G17" s="13" t="s">
        <v>38</v>
      </c>
      <c r="H17" s="20">
        <v>0.35</v>
      </c>
      <c r="I17" s="8">
        <v>0.4</v>
      </c>
      <c r="J17" s="8">
        <v>0.2</v>
      </c>
      <c r="K17" s="21">
        <v>0.2</v>
      </c>
    </row>
    <row r="18" spans="6:11" ht="15.75" thickBot="1" x14ac:dyDescent="0.3">
      <c r="F18" s="26" t="s">
        <v>30</v>
      </c>
      <c r="G18" s="14" t="s">
        <v>38</v>
      </c>
      <c r="H18" s="22" cm="1">
        <f t="array" ref="H18">_xlfn.IFS(H14="Call",CallPrice(spot,H16,expiry,riskfree,H17,div.yield),H14="Put",PutPrice(spot,H16,expiry,riskfree,H17,div.yield),H14="Spot",0)</f>
        <v>3.5818166732718772</v>
      </c>
      <c r="I18" s="23" cm="1">
        <f t="array" ref="I18">_xlfn.IFS(I14="Call",CallPrice(spot,I16,expiry,riskfree,I17,div.yield),I14="Put",PutPrice(spot,I16,expiry,riskfree,I17,div.yield),I14="Spot",0)</f>
        <v>3.3517502812013973</v>
      </c>
      <c r="J18" s="23" cm="1">
        <f t="array" ref="J18">_xlfn.IFS(J14="Call",CallPrice(spot,J16,expiry,riskfree,J17,div.yield),J14="Put",PutPrice(spot,J16,expiry,riskfree,J17,div.yield),J14="Spot",0)</f>
        <v>0</v>
      </c>
      <c r="K18" s="24" cm="1">
        <f t="array" ref="K18">_xlfn.IFS(K14="Call",CallPrice(spot,K16,expiry,riskfree,K17,div.yield),K14="Put",PutPrice(spot,K16,expiry,riskfree,K17,div.yield),K14="Spot",0)</f>
        <v>4.3358856163615798</v>
      </c>
    </row>
    <row r="19" spans="6:11" ht="15.75" thickBot="1" x14ac:dyDescent="0.3">
      <c r="F19" s="30" t="s">
        <v>34</v>
      </c>
      <c r="G19" s="11" t="s">
        <v>35</v>
      </c>
      <c r="H19" s="9" t="str" cm="1">
        <f t="array" ref="H19">_xlfn.IFS(H15&lt;0,"Short "&amp;H14,H15&gt;0,"Long "&amp;H14,H15=0,"None")</f>
        <v>Long Call</v>
      </c>
      <c r="I19" s="9" t="str" cm="1">
        <f t="array" ref="I19">_xlfn.IFS(I15&lt;0,"Short "&amp;I14,I15&gt;0,"Long "&amp;I14,I15=0,"None")</f>
        <v>Short Put</v>
      </c>
      <c r="J19" s="9" t="str" cm="1">
        <f t="array" ref="J19">_xlfn.IFS(J15&lt;0,"Short "&amp;J14,J15&gt;0,"Long "&amp;J14,J15=0,"None")</f>
        <v>None</v>
      </c>
      <c r="K19" s="10" t="str" cm="1">
        <f t="array" ref="K19">_xlfn.IFS(K15&lt;0,"Short "&amp;K14,K15&gt;0,"Long "&amp;K14,K15=0,"None")</f>
        <v>None</v>
      </c>
    </row>
    <row r="20" spans="6:11" x14ac:dyDescent="0.25">
      <c r="F20" s="54" cm="1">
        <f t="array" ref="F20:F32">_xlfn.SEQUENCE(13,1,70,5)</f>
        <v>70</v>
      </c>
      <c r="G20" s="57">
        <f t="shared" ref="G20:G32" si="0">SUM(H20:K20)</f>
        <v>-20.23006639207048</v>
      </c>
      <c r="H20" s="32" cm="1">
        <f t="array" ref="H20">H$15*(IF(H$14="Spot",$F20-spot,OptionPayout(H$14,$F20,H$16))-H$18)</f>
        <v>-3.5818166732718772</v>
      </c>
      <c r="I20" s="32" cm="1">
        <f t="array" ref="I20">I$15*(IF(I$14="Spot",$F20-spot,OptionPayout(I$14,$F20,I$16))-I$18)</f>
        <v>-16.648249718798603</v>
      </c>
      <c r="J20" s="32" cm="1">
        <f t="array" ref="J20">J$15*(IF(J$14="Spot",$F20-spot,OptionPayout(J$14,$F20,J$16))-J$18)</f>
        <v>0</v>
      </c>
      <c r="K20" s="58" cm="1">
        <f t="array" ref="K20">K$15*(IF(K$14="Spot",$F20-spot,OptionPayout(K$14,$F20,K$16))-K$18)</f>
        <v>0</v>
      </c>
    </row>
    <row r="21" spans="6:11" x14ac:dyDescent="0.25">
      <c r="F21" s="55">
        <v>75</v>
      </c>
      <c r="G21" s="59">
        <f t="shared" si="0"/>
        <v>-15.23006639207048</v>
      </c>
      <c r="H21" s="35" cm="1">
        <f t="array" ref="H21">H$15*(IF(H$14="Spot",$F21-spot,OptionPayout(H$14,$F21,H$16))-H$18)</f>
        <v>-3.5818166732718772</v>
      </c>
      <c r="I21" s="35" cm="1">
        <f t="array" ref="I21">I$15*(IF(I$14="Spot",$F21-spot,OptionPayout(I$14,$F21,I$16))-I$18)</f>
        <v>-11.648249718798603</v>
      </c>
      <c r="J21" s="35" cm="1">
        <f t="array" ref="J21">J$15*(IF(J$14="Spot",$F21-spot,OptionPayout(J$14,$F21,J$16))-J$18)</f>
        <v>0</v>
      </c>
      <c r="K21" s="33" cm="1">
        <f t="array" ref="K21">K$15*(IF(K$14="Spot",$F21-spot,OptionPayout(K$14,$F21,K$16))-K$18)</f>
        <v>0</v>
      </c>
    </row>
    <row r="22" spans="6:11" x14ac:dyDescent="0.25">
      <c r="F22" s="55">
        <v>80</v>
      </c>
      <c r="G22" s="59">
        <f t="shared" si="0"/>
        <v>-10.23006639207048</v>
      </c>
      <c r="H22" s="35" cm="1">
        <f t="array" ref="H22">H$15*(IF(H$14="Spot",$F22-spot,OptionPayout(H$14,$F22,H$16))-H$18)</f>
        <v>-3.5818166732718772</v>
      </c>
      <c r="I22" s="35" cm="1">
        <f t="array" ref="I22">I$15*(IF(I$14="Spot",$F22-spot,OptionPayout(I$14,$F22,I$16))-I$18)</f>
        <v>-6.6482497187986027</v>
      </c>
      <c r="J22" s="35" cm="1">
        <f t="array" ref="J22">J$15*(IF(J$14="Spot",$F22-spot,OptionPayout(J$14,$F22,J$16))-J$18)</f>
        <v>0</v>
      </c>
      <c r="K22" s="33" cm="1">
        <f t="array" ref="K22">K$15*(IF(K$14="Spot",$F22-spot,OptionPayout(K$14,$F22,K$16))-K$18)</f>
        <v>0</v>
      </c>
    </row>
    <row r="23" spans="6:11" x14ac:dyDescent="0.25">
      <c r="F23" s="55">
        <v>85</v>
      </c>
      <c r="G23" s="59">
        <f t="shared" si="0"/>
        <v>-5.23006639207048</v>
      </c>
      <c r="H23" s="35" cm="1">
        <f t="array" ref="H23">H$15*(IF(H$14="Spot",$F23-spot,OptionPayout(H$14,$F23,H$16))-H$18)</f>
        <v>-3.5818166732718772</v>
      </c>
      <c r="I23" s="35" cm="1">
        <f t="array" ref="I23">I$15*(IF(I$14="Spot",$F23-spot,OptionPayout(I$14,$F23,I$16))-I$18)</f>
        <v>-1.6482497187986027</v>
      </c>
      <c r="J23" s="35" cm="1">
        <f t="array" ref="J23">J$15*(IF(J$14="Spot",$F23-spot,OptionPayout(J$14,$F23,J$16))-J$18)</f>
        <v>0</v>
      </c>
      <c r="K23" s="33" cm="1">
        <f t="array" ref="K23">K$15*(IF(K$14="Spot",$F23-spot,OptionPayout(K$14,$F23,K$16))-K$18)</f>
        <v>0</v>
      </c>
    </row>
    <row r="24" spans="6:11" x14ac:dyDescent="0.25">
      <c r="F24" s="55">
        <v>90</v>
      </c>
      <c r="G24" s="59">
        <f t="shared" si="0"/>
        <v>-0.23006639207047996</v>
      </c>
      <c r="H24" s="35" cm="1">
        <f t="array" ref="H24">H$15*(IF(H$14="Spot",$F24-spot,OptionPayout(H$14,$F24,H$16))-H$18)</f>
        <v>-3.5818166732718772</v>
      </c>
      <c r="I24" s="35" cm="1">
        <f t="array" ref="I24">I$15*(IF(I$14="Spot",$F24-spot,OptionPayout(I$14,$F24,I$16))-I$18)</f>
        <v>3.3517502812013973</v>
      </c>
      <c r="J24" s="35" cm="1">
        <f t="array" ref="J24">J$15*(IF(J$14="Spot",$F24-spot,OptionPayout(J$14,$F24,J$16))-J$18)</f>
        <v>0</v>
      </c>
      <c r="K24" s="33" cm="1">
        <f t="array" ref="K24">K$15*(IF(K$14="Spot",$F24-spot,OptionPayout(K$14,$F24,K$16))-K$18)</f>
        <v>0</v>
      </c>
    </row>
    <row r="25" spans="6:11" x14ac:dyDescent="0.25">
      <c r="F25" s="55">
        <v>95</v>
      </c>
      <c r="G25" s="59">
        <f t="shared" si="0"/>
        <v>-0.23006639207047996</v>
      </c>
      <c r="H25" s="35" cm="1">
        <f t="array" ref="H25">H$15*(IF(H$14="Spot",$F25-spot,OptionPayout(H$14,$F25,H$16))-H$18)</f>
        <v>-3.5818166732718772</v>
      </c>
      <c r="I25" s="35" cm="1">
        <f t="array" ref="I25">I$15*(IF(I$14="Spot",$F25-spot,OptionPayout(I$14,$F25,I$16))-I$18)</f>
        <v>3.3517502812013973</v>
      </c>
      <c r="J25" s="35" cm="1">
        <f t="array" ref="J25">J$15*(IF(J$14="Spot",$F25-spot,OptionPayout(J$14,$F25,J$16))-J$18)</f>
        <v>0</v>
      </c>
      <c r="K25" s="33" cm="1">
        <f t="array" ref="K25">K$15*(IF(K$14="Spot",$F25-spot,OptionPayout(K$14,$F25,K$16))-K$18)</f>
        <v>0</v>
      </c>
    </row>
    <row r="26" spans="6:11" x14ac:dyDescent="0.25">
      <c r="F26" s="55">
        <v>100</v>
      </c>
      <c r="G26" s="59">
        <f t="shared" si="0"/>
        <v>-0.23006639207047996</v>
      </c>
      <c r="H26" s="35" cm="1">
        <f t="array" ref="H26">H$15*(IF(H$14="Spot",$F26-spot,OptionPayout(H$14,$F26,H$16))-H$18)</f>
        <v>-3.5818166732718772</v>
      </c>
      <c r="I26" s="35" cm="1">
        <f t="array" ref="I26">I$15*(IF(I$14="Spot",$F26-spot,OptionPayout(I$14,$F26,I$16))-I$18)</f>
        <v>3.3517502812013973</v>
      </c>
      <c r="J26" s="35" cm="1">
        <f t="array" ref="J26">J$15*(IF(J$14="Spot",$F26-spot,OptionPayout(J$14,$F26,J$16))-J$18)</f>
        <v>0</v>
      </c>
      <c r="K26" s="33" cm="1">
        <f t="array" ref="K26">K$15*(IF(K$14="Spot",$F26-spot,OptionPayout(K$14,$F26,K$16))-K$18)</f>
        <v>0</v>
      </c>
    </row>
    <row r="27" spans="6:11" x14ac:dyDescent="0.25">
      <c r="F27" s="55">
        <v>105</v>
      </c>
      <c r="G27" s="59">
        <f t="shared" si="0"/>
        <v>-0.23006639207047996</v>
      </c>
      <c r="H27" s="35" cm="1">
        <f t="array" ref="H27">H$15*(IF(H$14="Spot",$F27-spot,OptionPayout(H$14,$F27,H$16))-H$18)</f>
        <v>-3.5818166732718772</v>
      </c>
      <c r="I27" s="35" cm="1">
        <f t="array" ref="I27">I$15*(IF(I$14="Spot",$F27-spot,OptionPayout(I$14,$F27,I$16))-I$18)</f>
        <v>3.3517502812013973</v>
      </c>
      <c r="J27" s="35" cm="1">
        <f t="array" ref="J27">J$15*(IF(J$14="Spot",$F27-spot,OptionPayout(J$14,$F27,J$16))-J$18)</f>
        <v>0</v>
      </c>
      <c r="K27" s="33" cm="1">
        <f t="array" ref="K27">K$15*(IF(K$14="Spot",$F27-spot,OptionPayout(K$14,$F27,K$16))-K$18)</f>
        <v>0</v>
      </c>
    </row>
    <row r="28" spans="6:11" x14ac:dyDescent="0.25">
      <c r="F28" s="55">
        <v>110</v>
      </c>
      <c r="G28" s="59">
        <f t="shared" si="0"/>
        <v>-0.23006639207047996</v>
      </c>
      <c r="H28" s="35" cm="1">
        <f t="array" ref="H28">H$15*(IF(H$14="Spot",$F28-spot,OptionPayout(H$14,$F28,H$16))-H$18)</f>
        <v>-3.5818166732718772</v>
      </c>
      <c r="I28" s="35" cm="1">
        <f t="array" ref="I28">I$15*(IF(I$14="Spot",$F28-spot,OptionPayout(I$14,$F28,I$16))-I$18)</f>
        <v>3.3517502812013973</v>
      </c>
      <c r="J28" s="35" cm="1">
        <f t="array" ref="J28">J$15*(IF(J$14="Spot",$F28-spot,OptionPayout(J$14,$F28,J$16))-J$18)</f>
        <v>0</v>
      </c>
      <c r="K28" s="33" cm="1">
        <f t="array" ref="K28">K$15*(IF(K$14="Spot",$F28-spot,OptionPayout(K$14,$F28,K$16))-K$18)</f>
        <v>0</v>
      </c>
    </row>
    <row r="29" spans="6:11" x14ac:dyDescent="0.25">
      <c r="F29" s="55">
        <v>115</v>
      </c>
      <c r="G29" s="59">
        <f t="shared" si="0"/>
        <v>4.76993360792952</v>
      </c>
      <c r="H29" s="35" cm="1">
        <f t="array" ref="H29">H$15*(IF(H$14="Spot",$F29-spot,OptionPayout(H$14,$F29,H$16))-H$18)</f>
        <v>1.4181833267281228</v>
      </c>
      <c r="I29" s="35" cm="1">
        <f t="array" ref="I29">I$15*(IF(I$14="Spot",$F29-spot,OptionPayout(I$14,$F29,I$16))-I$18)</f>
        <v>3.3517502812013973</v>
      </c>
      <c r="J29" s="35" cm="1">
        <f t="array" ref="J29">J$15*(IF(J$14="Spot",$F29-spot,OptionPayout(J$14,$F29,J$16))-J$18)</f>
        <v>0</v>
      </c>
      <c r="K29" s="33" cm="1">
        <f t="array" ref="K29">K$15*(IF(K$14="Spot",$F29-spot,OptionPayout(K$14,$F29,K$16))-K$18)</f>
        <v>0</v>
      </c>
    </row>
    <row r="30" spans="6:11" x14ac:dyDescent="0.25">
      <c r="F30" s="55">
        <v>120</v>
      </c>
      <c r="G30" s="59">
        <f t="shared" si="0"/>
        <v>9.76993360792952</v>
      </c>
      <c r="H30" s="35" cm="1">
        <f t="array" ref="H30">H$15*(IF(H$14="Spot",$F30-spot,OptionPayout(H$14,$F30,H$16))-H$18)</f>
        <v>6.4181833267281228</v>
      </c>
      <c r="I30" s="35" cm="1">
        <f t="array" ref="I30">I$15*(IF(I$14="Spot",$F30-spot,OptionPayout(I$14,$F30,I$16))-I$18)</f>
        <v>3.3517502812013973</v>
      </c>
      <c r="J30" s="35" cm="1">
        <f t="array" ref="J30">J$15*(IF(J$14="Spot",$F30-spot,OptionPayout(J$14,$F30,J$16))-J$18)</f>
        <v>0</v>
      </c>
      <c r="K30" s="33" cm="1">
        <f t="array" ref="K30">K$15*(IF(K$14="Spot",$F30-spot,OptionPayout(K$14,$F30,K$16))-K$18)</f>
        <v>0</v>
      </c>
    </row>
    <row r="31" spans="6:11" x14ac:dyDescent="0.25">
      <c r="F31" s="55">
        <v>125</v>
      </c>
      <c r="G31" s="59">
        <f t="shared" si="0"/>
        <v>14.76993360792952</v>
      </c>
      <c r="H31" s="35" cm="1">
        <f t="array" ref="H31">H$15*(IF(H$14="Spot",$F31-spot,OptionPayout(H$14,$F31,H$16))-H$18)</f>
        <v>11.418183326728123</v>
      </c>
      <c r="I31" s="35" cm="1">
        <f t="array" ref="I31">I$15*(IF(I$14="Spot",$F31-spot,OptionPayout(I$14,$F31,I$16))-I$18)</f>
        <v>3.3517502812013973</v>
      </c>
      <c r="J31" s="35" cm="1">
        <f t="array" ref="J31">J$15*(IF(J$14="Spot",$F31-spot,OptionPayout(J$14,$F31,J$16))-J$18)</f>
        <v>0</v>
      </c>
      <c r="K31" s="33" cm="1">
        <f t="array" ref="K31">K$15*(IF(K$14="Spot",$F31-spot,OptionPayout(K$14,$F31,K$16))-K$18)</f>
        <v>0</v>
      </c>
    </row>
    <row r="32" spans="6:11" ht="15.75" thickBot="1" x14ac:dyDescent="0.3">
      <c r="F32" s="56">
        <v>130</v>
      </c>
      <c r="G32" s="60">
        <f t="shared" si="0"/>
        <v>19.76993360792952</v>
      </c>
      <c r="H32" s="36" cm="1">
        <f t="array" ref="H32">H$15*(IF(H$14="Spot",$F32-spot,OptionPayout(H$14,$F32,H$16))-H$18)</f>
        <v>16.418183326728123</v>
      </c>
      <c r="I32" s="36" cm="1">
        <f t="array" ref="I32">I$15*(IF(I$14="Spot",$F32-spot,OptionPayout(I$14,$F32,I$16))-I$18)</f>
        <v>3.3517502812013973</v>
      </c>
      <c r="J32" s="36" cm="1">
        <f t="array" ref="J32">J$15*(IF(J$14="Spot",$F32-spot,OptionPayout(J$14,$F32,J$16))-J$18)</f>
        <v>0</v>
      </c>
      <c r="K32" s="37" cm="1">
        <f t="array" ref="K32">K$15*(IF(K$14="Spot",$F32-spot,OptionPayout(K$14,$F32,K$16))-K$18)</f>
        <v>0</v>
      </c>
    </row>
  </sheetData>
  <mergeCells count="5">
    <mergeCell ref="B2:H2"/>
    <mergeCell ref="B3:B7"/>
    <mergeCell ref="C8:F8"/>
    <mergeCell ref="B9:B10"/>
    <mergeCell ref="H12:K12"/>
  </mergeCells>
  <dataValidations count="1">
    <dataValidation type="whole" allowBlank="1" showInputMessage="1" showErrorMessage="1" promptTitle="Position Size" prompt="Please choose a whole number between -2 and 2." sqref="H15:K15" xr:uid="{07D708F6-6B2E-4DDE-977C-65FB0ECF8D38}">
      <formula1>-2</formula1>
      <formula2>2</formula2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76366E4-BBEE-4BE8-A066-6EAE2699CDE6}">
          <x14:formula1>
            <xm:f>Formulas!$A$7:$A$9</xm:f>
          </x14:formula1>
          <xm:sqref>H14:K14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27312-D804-437C-83AD-4976F0BC42B8}">
  <sheetPr>
    <pageSetUpPr fitToPage="1"/>
  </sheetPr>
  <dimension ref="A1:K32"/>
  <sheetViews>
    <sheetView showGridLines="0" topLeftCell="A8" zoomScale="91" zoomScaleNormal="180" workbookViewId="0">
      <selection activeCell="B9" sqref="B9:B10"/>
    </sheetView>
  </sheetViews>
  <sheetFormatPr defaultRowHeight="15" x14ac:dyDescent="0.25"/>
  <cols>
    <col min="1" max="5" width="2.85546875" customWidth="1"/>
    <col min="6" max="6" width="25.28515625" customWidth="1"/>
    <col min="7" max="7" width="9" bestFit="1" customWidth="1"/>
    <col min="8" max="8" width="9.85546875" bestFit="1" customWidth="1"/>
  </cols>
  <sheetData>
    <row r="1" spans="1:11" ht="24.75" thickBot="1" x14ac:dyDescent="0.45">
      <c r="A1" s="45" t="s">
        <v>12</v>
      </c>
    </row>
    <row r="2" spans="1:11" ht="15.75" thickBot="1" x14ac:dyDescent="0.3">
      <c r="B2" s="68" t="s">
        <v>13</v>
      </c>
      <c r="C2" s="69"/>
      <c r="D2" s="69"/>
      <c r="E2" s="69"/>
      <c r="F2" s="69"/>
      <c r="G2" s="69"/>
      <c r="H2" s="70"/>
    </row>
    <row r="3" spans="1:11" x14ac:dyDescent="0.25">
      <c r="B3" s="71" t="s">
        <v>19</v>
      </c>
      <c r="C3" s="38" t="s">
        <v>14</v>
      </c>
      <c r="D3" s="38"/>
      <c r="E3" s="38"/>
      <c r="F3" s="38"/>
      <c r="G3" s="46">
        <v>100</v>
      </c>
      <c r="H3" s="47"/>
    </row>
    <row r="4" spans="1:11" x14ac:dyDescent="0.25">
      <c r="B4" s="72"/>
      <c r="C4" s="2" t="s">
        <v>15</v>
      </c>
      <c r="D4" s="2"/>
      <c r="E4" s="2"/>
      <c r="F4" s="2"/>
      <c r="G4" s="48">
        <v>100</v>
      </c>
      <c r="H4" s="41"/>
    </row>
    <row r="5" spans="1:11" x14ac:dyDescent="0.25">
      <c r="B5" s="72"/>
      <c r="C5" s="2" t="s">
        <v>16</v>
      </c>
      <c r="D5" s="2"/>
      <c r="E5" s="2"/>
      <c r="F5" s="2"/>
      <c r="G5" s="49">
        <v>3</v>
      </c>
      <c r="H5" s="42">
        <f>G5/12</f>
        <v>0.25</v>
      </c>
    </row>
    <row r="6" spans="1:11" x14ac:dyDescent="0.25">
      <c r="B6" s="72"/>
      <c r="C6" s="2" t="s">
        <v>17</v>
      </c>
      <c r="D6" s="2"/>
      <c r="E6" s="2"/>
      <c r="F6" s="2"/>
      <c r="G6" s="50">
        <v>0.05</v>
      </c>
      <c r="H6" s="41"/>
    </row>
    <row r="7" spans="1:11" x14ac:dyDescent="0.25">
      <c r="B7" s="72"/>
      <c r="C7" s="2" t="s">
        <v>18</v>
      </c>
      <c r="D7" s="2"/>
      <c r="E7" s="2"/>
      <c r="F7" s="2"/>
      <c r="G7" s="51">
        <v>0.02</v>
      </c>
      <c r="H7" s="41"/>
    </row>
    <row r="8" spans="1:11" ht="48.75" customHeight="1" x14ac:dyDescent="0.25">
      <c r="B8" s="39" t="s">
        <v>21</v>
      </c>
      <c r="C8" s="73" t="s">
        <v>20</v>
      </c>
      <c r="D8" s="73"/>
      <c r="E8" s="73"/>
      <c r="F8" s="73"/>
      <c r="G8" s="52">
        <v>0.2</v>
      </c>
      <c r="H8" s="41"/>
    </row>
    <row r="9" spans="1:11" ht="15" customHeight="1" x14ac:dyDescent="0.25">
      <c r="B9" s="74" t="s">
        <v>22</v>
      </c>
      <c r="C9" s="3" t="s">
        <v>23</v>
      </c>
      <c r="D9" s="3"/>
      <c r="E9" s="3"/>
      <c r="F9" s="3"/>
      <c r="G9" s="53" cm="1">
        <f t="array" ref="G9">CallPrice(spot,strike,expiry,riskfree,vol,div.yield)</f>
        <v>4.3358856163615798</v>
      </c>
      <c r="H9" s="41"/>
    </row>
    <row r="10" spans="1:11" ht="15.75" thickBot="1" x14ac:dyDescent="0.3">
      <c r="B10" s="75"/>
      <c r="C10" s="40" t="s">
        <v>24</v>
      </c>
      <c r="D10" s="40"/>
      <c r="E10" s="40"/>
      <c r="F10" s="40"/>
      <c r="G10" s="43" cm="1">
        <f t="array" ref="G10">PutPrice(spot,strike,expiry,riskfree,vol,div.yield)</f>
        <v>3.5924177464814875</v>
      </c>
      <c r="H10" s="44"/>
    </row>
    <row r="11" spans="1:11" ht="15.75" thickBot="1" x14ac:dyDescent="0.3"/>
    <row r="12" spans="1:11" ht="15.75" thickBot="1" x14ac:dyDescent="0.3">
      <c r="F12" s="27"/>
      <c r="G12" s="28"/>
      <c r="H12" s="76" t="s">
        <v>25</v>
      </c>
      <c r="I12" s="77"/>
      <c r="J12" s="77"/>
      <c r="K12" s="78"/>
    </row>
    <row r="13" spans="1:11" ht="15.75" thickBot="1" x14ac:dyDescent="0.3">
      <c r="F13" s="29"/>
      <c r="G13" s="11" t="s">
        <v>35</v>
      </c>
      <c r="H13" s="5">
        <v>1</v>
      </c>
      <c r="I13" s="6">
        <v>2</v>
      </c>
      <c r="J13" s="6">
        <v>3</v>
      </c>
      <c r="K13" s="7">
        <v>4</v>
      </c>
    </row>
    <row r="14" spans="1:11" x14ac:dyDescent="0.25">
      <c r="F14" s="25" t="s">
        <v>26</v>
      </c>
      <c r="G14" s="12" t="s">
        <v>38</v>
      </c>
      <c r="H14" s="15" t="s">
        <v>32</v>
      </c>
      <c r="I14" s="16" t="s">
        <v>32</v>
      </c>
      <c r="J14" s="16" t="s">
        <v>32</v>
      </c>
      <c r="K14" s="17" t="s">
        <v>32</v>
      </c>
    </row>
    <row r="15" spans="1:11" x14ac:dyDescent="0.25">
      <c r="F15" s="26" t="s">
        <v>27</v>
      </c>
      <c r="G15" s="13" t="s">
        <v>38</v>
      </c>
      <c r="H15" s="18">
        <v>1</v>
      </c>
      <c r="I15" s="4">
        <v>-2</v>
      </c>
      <c r="J15" s="4">
        <v>1</v>
      </c>
      <c r="K15" s="19">
        <v>0</v>
      </c>
    </row>
    <row r="16" spans="1:11" x14ac:dyDescent="0.25">
      <c r="F16" s="26" t="s">
        <v>28</v>
      </c>
      <c r="G16" s="13" t="s">
        <v>38</v>
      </c>
      <c r="H16" s="18">
        <v>100.27</v>
      </c>
      <c r="I16" s="4">
        <v>110.27</v>
      </c>
      <c r="J16" s="4">
        <v>120.27</v>
      </c>
      <c r="K16" s="19">
        <v>100</v>
      </c>
    </row>
    <row r="17" spans="6:11" x14ac:dyDescent="0.25">
      <c r="F17" s="26" t="s">
        <v>29</v>
      </c>
      <c r="G17" s="13" t="s">
        <v>38</v>
      </c>
      <c r="H17" s="20">
        <v>0.35</v>
      </c>
      <c r="I17" s="8">
        <v>0.4</v>
      </c>
      <c r="J17" s="8">
        <v>0.45</v>
      </c>
      <c r="K17" s="21">
        <v>0.2</v>
      </c>
    </row>
    <row r="18" spans="6:11" ht="15.75" thickBot="1" x14ac:dyDescent="0.3">
      <c r="F18" s="26" t="s">
        <v>30</v>
      </c>
      <c r="G18" s="14" t="s">
        <v>38</v>
      </c>
      <c r="H18" s="22" cm="1">
        <f t="array" ref="H18">_xlfn.IFS(H14="Call",CallPrice(spot,H16,expiry,riskfree,H17,div.yield),H14="Put",PutPrice(spot,H16,expiry,riskfree,H17,div.yield),H14="Spot",0)</f>
        <v>7.1622036528794197</v>
      </c>
      <c r="I18" s="23" cm="1">
        <f t="array" ref="I18">_xlfn.IFS(I14="Call",CallPrice(spot,I16,expiry,riskfree,I17,div.yield),I14="Put",PutPrice(spot,I16,expiry,riskfree,I17,div.yield),I14="Spot",0)</f>
        <v>4.4284605017904148</v>
      </c>
      <c r="J18" s="23" cm="1">
        <f t="array" ref="J18">_xlfn.IFS(J14="Call",CallPrice(spot,J16,expiry,riskfree,J17,div.yield),J14="Put",PutPrice(spot,J16,expiry,riskfree,J17,div.yield),J14="Spot",0)</f>
        <v>2.9972599222334502</v>
      </c>
      <c r="K18" s="24" cm="1">
        <f t="array" ref="K18">_xlfn.IFS(K14="Call",CallPrice(spot,K16,expiry,riskfree,K17,div.yield),K14="Put",PutPrice(spot,K16,expiry,riskfree,K17,div.yield),K14="Spot",0)</f>
        <v>4.3358856163615798</v>
      </c>
    </row>
    <row r="19" spans="6:11" ht="15.75" thickBot="1" x14ac:dyDescent="0.3">
      <c r="F19" s="31" t="s">
        <v>34</v>
      </c>
      <c r="G19" s="11" t="s">
        <v>35</v>
      </c>
      <c r="H19" s="9" t="str" cm="1">
        <f t="array" ref="H19">_xlfn.IFS(H15&lt;0,"Short "&amp;H14,H15&gt;0,"Long "&amp;H14,H15=0,"None")</f>
        <v>Long Call</v>
      </c>
      <c r="I19" s="9" t="str" cm="1">
        <f t="array" ref="I19">_xlfn.IFS(I15&lt;0,"Short "&amp;I14,I15&gt;0,"Long "&amp;I14,I15=0,"None")</f>
        <v>Short Call</v>
      </c>
      <c r="J19" s="9" t="str" cm="1">
        <f t="array" ref="J19">_xlfn.IFS(J15&lt;0,"Short "&amp;J14,J15&gt;0,"Long "&amp;J14,J15=0,"None")</f>
        <v>Long Call</v>
      </c>
      <c r="K19" s="10" t="str" cm="1">
        <f t="array" ref="K19">_xlfn.IFS(K15&lt;0,"Short "&amp;K14,K15&gt;0,"Long "&amp;K14,K15=0,"None")</f>
        <v>None</v>
      </c>
    </row>
    <row r="20" spans="6:11" ht="15.75" thickBot="1" x14ac:dyDescent="0.3">
      <c r="F20" s="54" cm="1">
        <f t="array" ref="F20:F32">_xlfn.SEQUENCE(13,1,80.27,5)</f>
        <v>80.27</v>
      </c>
      <c r="G20" s="63">
        <f t="shared" ref="G20:G32" si="0">SUM(H20:K20)</f>
        <v>-1.3025425715320402</v>
      </c>
      <c r="H20" s="32" cm="1">
        <f t="array" ref="H20">H$15*(IF(H$14="Spot",$F20-spot,OptionPayout(H$14,$F20,H$16))-H$18)</f>
        <v>-7.1622036528794197</v>
      </c>
      <c r="I20" s="32" cm="1">
        <f t="array" ref="I20">I$15*(IF(I$14="Spot",$F20-spot,OptionPayout(I$14,$F20,I$16))-I$18)</f>
        <v>8.8569210035808297</v>
      </c>
      <c r="J20" s="32" cm="1">
        <f t="array" ref="J20">J$15*(IF(J$14="Spot",$F20-spot,OptionPayout(J$14,$F20,J$16))-J$18)</f>
        <v>-2.9972599222334502</v>
      </c>
      <c r="K20" s="58" cm="1">
        <f t="array" ref="K20">K$15*(IF(K$14="Spot",$F20-spot,OptionPayout(K$14,$F20,K$16))-K$18)</f>
        <v>0</v>
      </c>
    </row>
    <row r="21" spans="6:11" ht="15.75" thickBot="1" x14ac:dyDescent="0.3">
      <c r="F21" s="55">
        <v>85.27</v>
      </c>
      <c r="G21" s="63">
        <f t="shared" si="0"/>
        <v>-1.3025425715320402</v>
      </c>
      <c r="H21" s="32" cm="1">
        <f t="array" ref="H21">H$15*(IF(H$14="Spot",$F21-spot,OptionPayout(H$14,$F21,H$16))-H$18)</f>
        <v>-7.1622036528794197</v>
      </c>
      <c r="I21" s="32" cm="1">
        <f t="array" ref="I21">I$15*(IF(I$14="Spot",$F21-spot,OptionPayout(I$14,$F21,I$16))-I$18)</f>
        <v>8.8569210035808297</v>
      </c>
      <c r="J21" s="32" cm="1">
        <f t="array" ref="J21">J$15*(IF(J$14="Spot",$F21-spot,OptionPayout(J$14,$F21,J$16))-J$18)</f>
        <v>-2.9972599222334502</v>
      </c>
      <c r="K21" s="58" cm="1">
        <f t="array" ref="K21">K$15*(IF(K$14="Spot",$F21-spot,OptionPayout(K$14,$F21,K$16))-K$18)</f>
        <v>0</v>
      </c>
    </row>
    <row r="22" spans="6:11" ht="15.75" thickBot="1" x14ac:dyDescent="0.3">
      <c r="F22" s="55">
        <v>90.27</v>
      </c>
      <c r="G22" s="63">
        <f t="shared" si="0"/>
        <v>-1.3025425715320402</v>
      </c>
      <c r="H22" s="32" cm="1">
        <f t="array" ref="H22">H$15*(IF(H$14="Spot",$F22-spot,OptionPayout(H$14,$F22,H$16))-H$18)</f>
        <v>-7.1622036528794197</v>
      </c>
      <c r="I22" s="32" cm="1">
        <f t="array" ref="I22">I$15*(IF(I$14="Spot",$F22-spot,OptionPayout(I$14,$F22,I$16))-I$18)</f>
        <v>8.8569210035808297</v>
      </c>
      <c r="J22" s="32" cm="1">
        <f t="array" ref="J22">J$15*(IF(J$14="Spot",$F22-spot,OptionPayout(J$14,$F22,J$16))-J$18)</f>
        <v>-2.9972599222334502</v>
      </c>
      <c r="K22" s="58" cm="1">
        <f t="array" ref="K22">K$15*(IF(K$14="Spot",$F22-spot,OptionPayout(K$14,$F22,K$16))-K$18)</f>
        <v>0</v>
      </c>
    </row>
    <row r="23" spans="6:11" ht="15.75" thickBot="1" x14ac:dyDescent="0.3">
      <c r="F23" s="55">
        <v>95.27</v>
      </c>
      <c r="G23" s="63">
        <f t="shared" si="0"/>
        <v>-1.3025425715320402</v>
      </c>
      <c r="H23" s="32" cm="1">
        <f t="array" ref="H23">H$15*(IF(H$14="Spot",$F23-spot,OptionPayout(H$14,$F23,H$16))-H$18)</f>
        <v>-7.1622036528794197</v>
      </c>
      <c r="I23" s="32" cm="1">
        <f t="array" ref="I23">I$15*(IF(I$14="Spot",$F23-spot,OptionPayout(I$14,$F23,I$16))-I$18)</f>
        <v>8.8569210035808297</v>
      </c>
      <c r="J23" s="32" cm="1">
        <f t="array" ref="J23">J$15*(IF(J$14="Spot",$F23-spot,OptionPayout(J$14,$F23,J$16))-J$18)</f>
        <v>-2.9972599222334502</v>
      </c>
      <c r="K23" s="58" cm="1">
        <f t="array" ref="K23">K$15*(IF(K$14="Spot",$F23-spot,OptionPayout(K$14,$F23,K$16))-K$18)</f>
        <v>0</v>
      </c>
    </row>
    <row r="24" spans="6:11" ht="15.75" thickBot="1" x14ac:dyDescent="0.3">
      <c r="F24" s="55">
        <v>100.27</v>
      </c>
      <c r="G24" s="63">
        <f t="shared" si="0"/>
        <v>-1.3025425715320402</v>
      </c>
      <c r="H24" s="32" cm="1">
        <f t="array" ref="H24">H$15*(IF(H$14="Spot",$F24-spot,OptionPayout(H$14,$F24,H$16))-H$18)</f>
        <v>-7.1622036528794197</v>
      </c>
      <c r="I24" s="32" cm="1">
        <f t="array" ref="I24">I$15*(IF(I$14="Spot",$F24-spot,OptionPayout(I$14,$F24,I$16))-I$18)</f>
        <v>8.8569210035808297</v>
      </c>
      <c r="J24" s="32" cm="1">
        <f t="array" ref="J24">J$15*(IF(J$14="Spot",$F24-spot,OptionPayout(J$14,$F24,J$16))-J$18)</f>
        <v>-2.9972599222334502</v>
      </c>
      <c r="K24" s="58" cm="1">
        <f t="array" ref="K24">K$15*(IF(K$14="Spot",$F24-spot,OptionPayout(K$14,$F24,K$16))-K$18)</f>
        <v>0</v>
      </c>
    </row>
    <row r="25" spans="6:11" ht="15.75" thickBot="1" x14ac:dyDescent="0.3">
      <c r="F25" s="55">
        <v>105.27</v>
      </c>
      <c r="G25" s="63">
        <f t="shared" si="0"/>
        <v>3.6974574284679598</v>
      </c>
      <c r="H25" s="32" cm="1">
        <f t="array" ref="H25">H$15*(IF(H$14="Spot",$F25-spot,OptionPayout(H$14,$F25,H$16))-H$18)</f>
        <v>-2.1622036528794197</v>
      </c>
      <c r="I25" s="32" cm="1">
        <f t="array" ref="I25">I$15*(IF(I$14="Spot",$F25-spot,OptionPayout(I$14,$F25,I$16))-I$18)</f>
        <v>8.8569210035808297</v>
      </c>
      <c r="J25" s="32" cm="1">
        <f t="array" ref="J25">J$15*(IF(J$14="Spot",$F25-spot,OptionPayout(J$14,$F25,J$16))-J$18)</f>
        <v>-2.9972599222334502</v>
      </c>
      <c r="K25" s="58" cm="1">
        <f t="array" ref="K25">K$15*(IF(K$14="Spot",$F25-spot,OptionPayout(K$14,$F25,K$16))-K$18)</f>
        <v>0</v>
      </c>
    </row>
    <row r="26" spans="6:11" ht="15.75" thickBot="1" x14ac:dyDescent="0.3">
      <c r="F26" s="55">
        <v>110.27</v>
      </c>
      <c r="G26" s="63">
        <f t="shared" si="0"/>
        <v>8.6974574284679598</v>
      </c>
      <c r="H26" s="32" cm="1">
        <f t="array" ref="H26">H$15*(IF(H$14="Spot",$F26-spot,OptionPayout(H$14,$F26,H$16))-H$18)</f>
        <v>2.8377963471205803</v>
      </c>
      <c r="I26" s="32" cm="1">
        <f t="array" ref="I26">I$15*(IF(I$14="Spot",$F26-spot,OptionPayout(I$14,$F26,I$16))-I$18)</f>
        <v>8.8569210035808297</v>
      </c>
      <c r="J26" s="32" cm="1">
        <f t="array" ref="J26">J$15*(IF(J$14="Spot",$F26-spot,OptionPayout(J$14,$F26,J$16))-J$18)</f>
        <v>-2.9972599222334502</v>
      </c>
      <c r="K26" s="58" cm="1">
        <f t="array" ref="K26">K$15*(IF(K$14="Spot",$F26-spot,OptionPayout(K$14,$F26,K$16))-K$18)</f>
        <v>0</v>
      </c>
    </row>
    <row r="27" spans="6:11" ht="15.75" thickBot="1" x14ac:dyDescent="0.3">
      <c r="F27" s="55">
        <v>115.27</v>
      </c>
      <c r="G27" s="63">
        <f t="shared" si="0"/>
        <v>3.6974574284679598</v>
      </c>
      <c r="H27" s="32" cm="1">
        <f t="array" ref="H27">H$15*(IF(H$14="Spot",$F27-spot,OptionPayout(H$14,$F27,H$16))-H$18)</f>
        <v>7.8377963471205803</v>
      </c>
      <c r="I27" s="32" cm="1">
        <f t="array" ref="I27">I$15*(IF(I$14="Spot",$F27-spot,OptionPayout(I$14,$F27,I$16))-I$18)</f>
        <v>-1.1430789964191703</v>
      </c>
      <c r="J27" s="32" cm="1">
        <f t="array" ref="J27">J$15*(IF(J$14="Spot",$F27-spot,OptionPayout(J$14,$F27,J$16))-J$18)</f>
        <v>-2.9972599222334502</v>
      </c>
      <c r="K27" s="58" cm="1">
        <f t="array" ref="K27">K$15*(IF(K$14="Spot",$F27-spot,OptionPayout(K$14,$F27,K$16))-K$18)</f>
        <v>0</v>
      </c>
    </row>
    <row r="28" spans="6:11" ht="15.75" thickBot="1" x14ac:dyDescent="0.3">
      <c r="F28" s="34">
        <v>120.27</v>
      </c>
      <c r="G28" s="66">
        <f t="shared" si="0"/>
        <v>-1.3025425715320402</v>
      </c>
      <c r="H28" s="67" cm="1">
        <f t="array" ref="H28">H$15*(IF(H$14="Spot",$F28-spot,OptionPayout(H$14,$F28,H$16))-H$18)</f>
        <v>12.83779634712058</v>
      </c>
      <c r="I28" s="67" cm="1">
        <f t="array" ref="I28">I$15*(IF(I$14="Spot",$F28-spot,OptionPayout(I$14,$F28,I$16))-I$18)</f>
        <v>-11.14307899641917</v>
      </c>
      <c r="J28" s="61" cm="1">
        <f t="array" ref="J28">J$15*(IF(J$14="Spot",$F28-spot,OptionPayout(J$14,$F28,J$16))-J$18)</f>
        <v>-2.9972599222334502</v>
      </c>
      <c r="K28" s="62" cm="1">
        <f t="array" ref="K28">K$15*(IF(K$14="Spot",$F28-spot,OptionPayout(K$14,$F28,K$16))-K$18)</f>
        <v>0</v>
      </c>
    </row>
    <row r="29" spans="6:11" ht="15.75" thickBot="1" x14ac:dyDescent="0.3">
      <c r="F29" s="55">
        <v>125.27</v>
      </c>
      <c r="G29" s="64">
        <f t="shared" si="0"/>
        <v>-1.3025425715320402</v>
      </c>
      <c r="H29" s="35" cm="1">
        <f t="array" ref="H29">H$15*(IF(H$14="Spot",$F29-spot,OptionPayout(H$14,$F29,H$16))-H$18)</f>
        <v>17.83779634712058</v>
      </c>
      <c r="I29" s="35" cm="1">
        <f t="array" ref="I29">I$15*(IF(I$14="Spot",$F29-spot,OptionPayout(I$14,$F29,I$16))-I$18)</f>
        <v>-21.14307899641917</v>
      </c>
      <c r="J29" s="35" cm="1">
        <f t="array" ref="J29">J$15*(IF(J$14="Spot",$F29-spot,OptionPayout(J$14,$F29,J$16))-J$18)</f>
        <v>2.0027400777665498</v>
      </c>
      <c r="K29" s="33" cm="1">
        <f t="array" ref="K29">K$15*(IF(K$14="Spot",$F29-spot,OptionPayout(K$14,$F29,K$16))-K$18)</f>
        <v>0</v>
      </c>
    </row>
    <row r="30" spans="6:11" ht="15.75" thickBot="1" x14ac:dyDescent="0.3">
      <c r="F30" s="55">
        <v>130.26999999999998</v>
      </c>
      <c r="G30" s="63">
        <f t="shared" si="0"/>
        <v>-1.3025425715320402</v>
      </c>
      <c r="H30" s="32" cm="1">
        <f t="array" ref="H30">H$15*(IF(H$14="Spot",$F30-spot,OptionPayout(H$14,$F30,H$16))-H$18)</f>
        <v>22.837796347120566</v>
      </c>
      <c r="I30" s="32" cm="1">
        <f t="array" ref="I30">I$15*(IF(I$14="Spot",$F30-spot,OptionPayout(I$14,$F30,I$16))-I$18)</f>
        <v>-31.143078996419142</v>
      </c>
      <c r="J30" s="32" cm="1">
        <f t="array" ref="J30">J$15*(IF(J$14="Spot",$F30-spot,OptionPayout(J$14,$F30,J$16))-J$18)</f>
        <v>7.0027400777665356</v>
      </c>
      <c r="K30" s="58" cm="1">
        <f t="array" ref="K30">K$15*(IF(K$14="Spot",$F30-spot,OptionPayout(K$14,$F30,K$16))-K$18)</f>
        <v>0</v>
      </c>
    </row>
    <row r="31" spans="6:11" ht="15.75" thickBot="1" x14ac:dyDescent="0.3">
      <c r="F31" s="55">
        <v>135.26999999999998</v>
      </c>
      <c r="G31" s="63">
        <f t="shared" si="0"/>
        <v>-1.3025425715320402</v>
      </c>
      <c r="H31" s="32" cm="1">
        <f t="array" ref="H31">H$15*(IF(H$14="Spot",$F31-spot,OptionPayout(H$14,$F31,H$16))-H$18)</f>
        <v>27.837796347120566</v>
      </c>
      <c r="I31" s="32" cm="1">
        <f t="array" ref="I31">I$15*(IF(I$14="Spot",$F31-spot,OptionPayout(I$14,$F31,I$16))-I$18)</f>
        <v>-41.143078996419142</v>
      </c>
      <c r="J31" s="32" cm="1">
        <f t="array" ref="J31">J$15*(IF(J$14="Spot",$F31-spot,OptionPayout(J$14,$F31,J$16))-J$18)</f>
        <v>12.002740077766536</v>
      </c>
      <c r="K31" s="58" cm="1">
        <f t="array" ref="K31">K$15*(IF(K$14="Spot",$F31-spot,OptionPayout(K$14,$F31,K$16))-K$18)</f>
        <v>0</v>
      </c>
    </row>
    <row r="32" spans="6:11" ht="15.75" thickBot="1" x14ac:dyDescent="0.3">
      <c r="F32" s="56">
        <v>140.26999999999998</v>
      </c>
      <c r="G32" s="65">
        <f t="shared" si="0"/>
        <v>-1.3025425715320402</v>
      </c>
      <c r="H32" s="61" cm="1">
        <f t="array" ref="H32">H$15*(IF(H$14="Spot",$F32-spot,OptionPayout(H$14,$F32,H$16))-H$18)</f>
        <v>32.837796347120566</v>
      </c>
      <c r="I32" s="61" cm="1">
        <f t="array" ref="I32">I$15*(IF(I$14="Spot",$F32-spot,OptionPayout(I$14,$F32,I$16))-I$18)</f>
        <v>-51.143078996419142</v>
      </c>
      <c r="J32" s="61" cm="1">
        <f t="array" ref="J32">J$15*(IF(J$14="Spot",$F32-spot,OptionPayout(J$14,$F32,J$16))-J$18)</f>
        <v>17.002740077766536</v>
      </c>
      <c r="K32" s="62" cm="1">
        <f t="array" ref="K32">K$15*(IF(K$14="Spot",$F32-spot,OptionPayout(K$14,$F32,K$16))-K$18)</f>
        <v>0</v>
      </c>
    </row>
  </sheetData>
  <mergeCells count="5">
    <mergeCell ref="B2:H2"/>
    <mergeCell ref="B3:B7"/>
    <mergeCell ref="C8:F8"/>
    <mergeCell ref="B9:B10"/>
    <mergeCell ref="H12:K12"/>
  </mergeCells>
  <dataValidations count="1">
    <dataValidation type="whole" allowBlank="1" showInputMessage="1" showErrorMessage="1" promptTitle="Position Size" prompt="Please choose a whole number between -2 and 2." sqref="H15:K15" xr:uid="{DFBD07DC-94C4-468E-8CA2-B5A7CA38B9F2}">
      <formula1>-2</formula1>
      <formula2>2</formula2>
    </dataValidation>
  </dataValidations>
  <pageMargins left="0.7" right="0.7" top="0.75" bottom="0.75" header="0.3" footer="0.3"/>
  <pageSetup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9AA8863-1DD3-4195-B438-E9BBF802B4E2}">
          <x14:formula1>
            <xm:f>Formulas!$A$7:$A$9</xm:f>
          </x14:formula1>
          <xm:sqref>H14:K14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69072ac-52dc-41f1-a821-76bfff1e5dd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0DF20968AC7D4CB2617F671BE73C82" ma:contentTypeVersion="10" ma:contentTypeDescription="Create a new document." ma:contentTypeScope="" ma:versionID="912251e9b978302330e8843ed15eab2a">
  <xsd:schema xmlns:xsd="http://www.w3.org/2001/XMLSchema" xmlns:xs="http://www.w3.org/2001/XMLSchema" xmlns:p="http://schemas.microsoft.com/office/2006/metadata/properties" xmlns:ns3="169072ac-52dc-41f1-a821-76bfff1e5dd6" targetNamespace="http://schemas.microsoft.com/office/2006/metadata/properties" ma:root="true" ma:fieldsID="73ca34dd9c1ee7c3a965667bc234292b" ns3:_="">
    <xsd:import namespace="169072ac-52dc-41f1-a821-76bfff1e5dd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9072ac-52dc-41f1-a821-76bfff1e5d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2A8D48-8C80-405E-B8E4-7F4D0309472B}">
  <ds:schemaRefs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169072ac-52dc-41f1-a821-76bfff1e5dd6"/>
    <ds:schemaRef ds:uri="http://schemas.microsoft.com/office/2006/metadata/propertie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F08EC80D-411A-4AA9-8DC2-4DAA77B31535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169072ac-52dc-41f1-a821-76bfff1e5dd6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EB023C0-492D-4BB2-B38C-67E55109E9C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30</vt:i4>
      </vt:variant>
    </vt:vector>
  </HeadingPairs>
  <TitlesOfParts>
    <vt:vector size="37" baseType="lpstr">
      <vt:lpstr>Formulas</vt:lpstr>
      <vt:lpstr>Scratch</vt:lpstr>
      <vt:lpstr>Call Spread</vt:lpstr>
      <vt:lpstr>Put Spread</vt:lpstr>
      <vt:lpstr>Synthetic Call</vt:lpstr>
      <vt:lpstr>Risk Reversal</vt:lpstr>
      <vt:lpstr>Butterfly</vt:lpstr>
      <vt:lpstr>Butterfly!div.yield</vt:lpstr>
      <vt:lpstr>'Call Spread'!div.yield</vt:lpstr>
      <vt:lpstr>'Put Spread'!div.yield</vt:lpstr>
      <vt:lpstr>'Risk Reversal'!div.yield</vt:lpstr>
      <vt:lpstr>'Synthetic Call'!div.yield</vt:lpstr>
      <vt:lpstr>Butterfly!expiry</vt:lpstr>
      <vt:lpstr>'Call Spread'!expiry</vt:lpstr>
      <vt:lpstr>'Put Spread'!expiry</vt:lpstr>
      <vt:lpstr>'Risk Reversal'!expiry</vt:lpstr>
      <vt:lpstr>'Synthetic Call'!expiry</vt:lpstr>
      <vt:lpstr>Butterfly!riskfree</vt:lpstr>
      <vt:lpstr>'Call Spread'!riskfree</vt:lpstr>
      <vt:lpstr>'Put Spread'!riskfree</vt:lpstr>
      <vt:lpstr>'Risk Reversal'!riskfree</vt:lpstr>
      <vt:lpstr>'Synthetic Call'!riskfree</vt:lpstr>
      <vt:lpstr>Butterfly!spot</vt:lpstr>
      <vt:lpstr>'Call Spread'!spot</vt:lpstr>
      <vt:lpstr>'Put Spread'!spot</vt:lpstr>
      <vt:lpstr>'Risk Reversal'!spot</vt:lpstr>
      <vt:lpstr>'Synthetic Call'!spot</vt:lpstr>
      <vt:lpstr>Butterfly!strike</vt:lpstr>
      <vt:lpstr>'Call Spread'!strike</vt:lpstr>
      <vt:lpstr>'Put Spread'!strike</vt:lpstr>
      <vt:lpstr>'Risk Reversal'!strike</vt:lpstr>
      <vt:lpstr>'Synthetic Call'!strike</vt:lpstr>
      <vt:lpstr>Butterfly!vol</vt:lpstr>
      <vt:lpstr>'Call Spread'!vol</vt:lpstr>
      <vt:lpstr>'Put Spread'!vol</vt:lpstr>
      <vt:lpstr>'Risk Reversal'!vol</vt:lpstr>
      <vt:lpstr>'Synthetic Call'!vol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Pelleg, David</dc:creator>
  <cp:lastModifiedBy>Slomski, Dominic</cp:lastModifiedBy>
  <dcterms:created xsi:type="dcterms:W3CDTF">2024-10-10T18:11:13Z</dcterms:created>
  <dcterms:modified xsi:type="dcterms:W3CDTF">2025-12-30T02:27:00Z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0x010100C20DF20968AC7D4CB2617F671BE73C82</vt:lpwstr>
  </property>
</Properties>
</file>