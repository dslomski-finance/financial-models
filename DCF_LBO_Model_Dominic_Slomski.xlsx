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Models\"/>
    </mc:Choice>
  </mc:AlternateContent>
  <xr:revisionPtr revIDLastSave="0" documentId="13_ncr:1_{F4086F8E-B7D7-48D9-AD66-A9E587A41763}" xr6:coauthVersionLast="47" xr6:coauthVersionMax="47" xr10:uidLastSave="{00000000-0000-0000-0000-000000000000}"/>
  <bookViews>
    <workbookView xWindow="-120" yWindow="-120" windowWidth="38640" windowHeight="21120" activeTab="2" xr2:uid="{4D835893-D1A0-4330-94EF-8082FBB7A43D}"/>
  </bookViews>
  <sheets>
    <sheet name="Parms" sheetId="1" r:id="rId1"/>
    <sheet name="Transaction Summary" sheetId="7" r:id="rId2"/>
    <sheet name="LBO Returns" sheetId="8" r:id="rId3"/>
    <sheet name="Financial Statements" sheetId="2" r:id="rId4"/>
    <sheet name="DCF Model" sheetId="6" r:id="rId5"/>
    <sheet name="DebtSchedule" sheetId="4" r:id="rId6"/>
  </sheets>
  <definedNames>
    <definedName name="CanYouRedo">'Financial Statements'!$K$28:$M$28</definedName>
    <definedName name="CLASSEBITDA">'Financial Statements'!$K$29:$M$29</definedName>
    <definedName name="company.name">Parms!$A$1</definedName>
    <definedName name="D.F.INTEREST">DebtSchedule!$K$18:$O$18</definedName>
    <definedName name="D.F.Interest.Expense">DebtSchedule!$K$18:$K$18</definedName>
    <definedName name="d.f.long.debt">DebtSchedule!$K$22:$O$22</definedName>
    <definedName name="D.F.LTDebt">DebtSchedule!$K$22:$K$22</definedName>
    <definedName name="d.f.short.debt\">DebtSchedule!$K$21:$O$21</definedName>
    <definedName name="D.F.STDebt">DebtSchedule!$K$21:$K$21</definedName>
    <definedName name="D.H.Interest.Expense">DebtSchedule!$G$18:$I$18</definedName>
    <definedName name="D.H.LTDebt">DebtSchedule!$G$22:$I$22</definedName>
    <definedName name="D.H.STDebt">DebtSchedule!$G$21:$I$21</definedName>
    <definedName name="dates.forecast">Parms!$J$1:$N$1</definedName>
    <definedName name="dates.hist">Parms!$G$1:$I$1</definedName>
    <definedName name="DCF.Debt">DebtSchedule!$I$9</definedName>
    <definedName name="DCF.Equity">'Financial Statements'!$I$82</definedName>
    <definedName name="dcf.fcf.y5">'DCF Model'!$K$24</definedName>
    <definedName name="DCF.Interest.Expense">DebtSchedule!$I$18</definedName>
    <definedName name="DCF.Pref.Stock">'Financial Statements'!$I$78</definedName>
    <definedName name="DCF.Table">'DCF Model'!$G$15:$K$24</definedName>
    <definedName name="dcf.terminal.ebitda">'DCF Model'!$K$15</definedName>
    <definedName name="dcf.terminaldc">'DCF Model'!$K$25</definedName>
    <definedName name="f.cash">'Financial Statements'!$K$117:$O$117</definedName>
    <definedName name="f.cash.financing">'Financial Statements'!$K$113:$O$113</definedName>
    <definedName name="f.cash.invest">'Financial Statements'!$K$104:$O$104</definedName>
    <definedName name="f.cash.investment">'Financial Statements'!$K$106:$O$106</definedName>
    <definedName name="F.cash.ops">'Financial Statements'!$K$101:$O$101</definedName>
    <definedName name="F.COGS">'Financial Statements'!$K$13:$O$13</definedName>
    <definedName name="F.delta.working.capital">'DCF Model'!$G$21:$K$21</definedName>
    <definedName name="F.EBIT">'Financial Statements'!$K$28:$O$28</definedName>
    <definedName name="f.equity">'Financial Statements'!$K$82:$O$82</definedName>
    <definedName name="F.FIXED.COSTS">'Financial Statements'!$K$26:$O$26</definedName>
    <definedName name="F.MARGIN">'Financial Statements'!$K$15:$O$15</definedName>
    <definedName name="f.net.income">'Financial Statements'!$K$37:$O$37</definedName>
    <definedName name="F.REV">'Financial Statements'!$K$7:$O$7</definedName>
    <definedName name="goldman.fee">'Transaction Summary'!$G$19</definedName>
    <definedName name="H.Amort.Exp">'Financial Statements'!$G$25:$I$25</definedName>
    <definedName name="H.Capital">'Financial Statements'!$G$84:$I$84</definedName>
    <definedName name="H.Cash">'Financial Statements'!$G$117:$I$117</definedName>
    <definedName name="H.Cash.Financing">'Financial Statements'!$H$113:$I$113</definedName>
    <definedName name="H.Cash.From.Ops">'Financial Statements'!$H$101:$I$101</definedName>
    <definedName name="H.Cash.Investment">'Financial Statements'!$H$106:$I$106</definedName>
    <definedName name="H.COGS">'Financial Statements'!$G$13:$I$13</definedName>
    <definedName name="H.Depr.Exp">'Financial Statements'!$G$24:$I$24</definedName>
    <definedName name="H.EBIT">'Financial Statements'!$G$28:$I$28</definedName>
    <definedName name="H.Fixed.Costs">'Financial Statements'!$G$26:$I$26</definedName>
    <definedName name="H.Gross.Margin">'Financial Statements'!$G$15:$I$15</definedName>
    <definedName name="H.Net.Income">'Financial Statements'!$G$37:$I$37</definedName>
    <definedName name="H.Operating.Income">'Financial Statements'!$G$28:$I$28</definedName>
    <definedName name="H.Revenues">'Financial Statements'!$G$7:$I$7</definedName>
    <definedName name="H.Total.Assets">'Financial Statements'!$G$60:$I$60</definedName>
    <definedName name="hist.amort">'Financial Statements'!$I$25</definedName>
    <definedName name="hist.cash">'Financial Statements'!$I$46</definedName>
    <definedName name="hist.depreciation">'Financial Statements'!$I$24</definedName>
    <definedName name="hist.EBIT">'Financial Statements'!$I$28</definedName>
    <definedName name="LBO.Discount.Factors">'LBO Returns'!$G$19:$K$19</definedName>
    <definedName name="LBO.equity">'Transaction Summary'!$N$7</definedName>
    <definedName name="LBO.Goodwill">'Transaction Summary'!$G$24</definedName>
    <definedName name="LBO.junk">'Transaction Summary'!$N$6</definedName>
    <definedName name="lbo.ltdebt">DebtSchedule!$J$22</definedName>
    <definedName name="LBO.Revolver">'Transaction Summary'!$N$5</definedName>
    <definedName name="LBO.stdebt">DebtSchedule!$J$21</definedName>
    <definedName name="LBO.Unlevered.FCF">'LBO Returns'!$G$31:$K$31</definedName>
    <definedName name="min.cash">'Transaction Summary'!$G$18</definedName>
    <definedName name="p.f.acru.lia">Parms!$J$31:$N$31</definedName>
    <definedName name="P.F.AMORT">Parms!$J$21:$N$21</definedName>
    <definedName name="P.F.BUYBACK">Parms!$J$24:$N$24</definedName>
    <definedName name="p.f.capex">Parms!$J$32:$N$32</definedName>
    <definedName name="P.F.COGS">Parms!$J$11:$N$13</definedName>
    <definedName name="P.F.DEPREC">Parms!$J$20:$N$20</definedName>
    <definedName name="P.F.DIV">Parms!$J$23:$N$23</definedName>
    <definedName name="P.F.FIXED.COST">Parms!$J$15:$N$19</definedName>
    <definedName name="p.f.invent.cogs">Parms!$J$28:$N$28</definedName>
    <definedName name="p.f.payable.days">Parms!$J$30:$N$30</definedName>
    <definedName name="p.f.prepaid">Parms!$J$29:$N$29</definedName>
    <definedName name="p.f.rec.days">Parms!$J$27:$N$27</definedName>
    <definedName name="P.F.REV">Parms!$J$3:$N$5</definedName>
    <definedName name="P.H.Accounts.Pay.Days">Parms!$G$30:$I$30</definedName>
    <definedName name="P.H.Accounts.Rec.Days">Parms!$G$27:$I$27</definedName>
    <definedName name="P.H.Accrued.Liabs">Parms!$G$31:$I$31</definedName>
    <definedName name="P.H.Amortization.Expense">Parms!$G$21:$I$21</definedName>
    <definedName name="P.H.Buybacks">Parms!$G$24:$I$24</definedName>
    <definedName name="P.H.CAPEX">Parms!$G$32:$I$32</definedName>
    <definedName name="P.H.COGS">Parms!$G$11:$I$13</definedName>
    <definedName name="P.H.Depreciation.Expense">Parms!$G$20:$I$20</definedName>
    <definedName name="P.H.Dividends">Parms!$G$23:$I$23</definedName>
    <definedName name="P.H.Fixed.Costs">Parms!$G$15:$I$19</definedName>
    <definedName name="P.H.Inventory.Days">Parms!$G$28:$I$28</definedName>
    <definedName name="P.H.Prepaids">Parms!$G$29:$I$29</definedName>
    <definedName name="P.H.Revenues">Parms!$G$3:$I$5</definedName>
    <definedName name="PNC.fee">'Transaction Summary'!$R$8</definedName>
    <definedName name="rate.revolver">DebtSchedule!$K$15:$O$15</definedName>
    <definedName name="rate.sub.debt">DebtSchedule!$K$16:$O$16</definedName>
    <definedName name="Revolver">DebtSchedule!$K$7:$O$7</definedName>
    <definedName name="shares.outstanding">'DCF Model'!$G$4</definedName>
    <definedName name="Starting.Acc.Dep">Parms!$G$34</definedName>
    <definedName name="starting.cash">Parms!$G$36</definedName>
    <definedName name="starting.goodwill">Parms!$G$35</definedName>
    <definedName name="Starting.PPE">Parms!$G$33</definedName>
    <definedName name="Sub.Debt">DebtSchedule!$K$8:$O$8</definedName>
    <definedName name="table.gordon">'DCF Model'!$I$67:$M$71</definedName>
    <definedName name="table.multiple">'DCF Model'!$I$76:$M$80</definedName>
    <definedName name="tax.rate">Parms!$G$22</definedName>
    <definedName name="Term.Cash">'Financial Statements'!$O$46</definedName>
    <definedName name="Term.EBITDA">'LBO Returns'!$K$22</definedName>
    <definedName name="Term.Revolver">'LBO Returns'!$K$4</definedName>
    <definedName name="Term.Sub.Debt">'LBO Returns'!$K$5</definedName>
    <definedName name="tv.gordon">'DCF Model'!$G$38</definedName>
    <definedName name="tv.multiple">'DCF Model'!$G$48</definedName>
    <definedName name="variable.paydown">DebtSchedule!$K$46:$O$46</definedName>
    <definedName name="wacc">'DCF Model'!$G$12</definedName>
  </definedNames>
  <calcPr calcId="191028" iterate="1" iterateCount="2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4" i="8" l="1" a="1"/>
  <c r="P44" i="8" s="1"/>
  <c r="P45" i="8" a="1"/>
  <c r="P45" i="8" s="1"/>
  <c r="P46" i="8" a="1"/>
  <c r="P46" i="8" s="1"/>
  <c r="P43" i="8" a="1"/>
  <c r="P43" i="8" s="1"/>
  <c r="O44" i="8"/>
  <c r="O45" i="8"/>
  <c r="O46" i="8"/>
  <c r="O43" i="8"/>
  <c r="G41" i="8"/>
  <c r="O42" i="8" a="1"/>
  <c r="O42" i="8" s="1"/>
  <c r="N43" i="8"/>
  <c r="N43" i="8" a="1"/>
  <c r="G43" i="8" a="1"/>
  <c r="G43" i="8" s="1"/>
  <c r="G21" i="8" a="1"/>
  <c r="G21" i="8" s="1"/>
  <c r="H35" i="8" a="1"/>
  <c r="H35" i="8" s="1"/>
  <c r="G35" i="8" a="1"/>
  <c r="G35" i="8" s="1"/>
  <c r="G22" i="8" a="1"/>
  <c r="G22" i="8" s="1"/>
  <c r="I15" i="8"/>
  <c r="J15" i="8"/>
  <c r="K15" i="8"/>
  <c r="H15" i="8"/>
  <c r="G14" i="8" a="1"/>
  <c r="G14" i="8" s="1"/>
  <c r="G13" i="8" a="1"/>
  <c r="G13" i="8" s="1"/>
  <c r="D13" i="8" a="1"/>
  <c r="D13" i="8" s="1"/>
  <c r="D9" i="8" a="1"/>
  <c r="D9" i="8" s="1"/>
  <c r="G5" i="8" a="1"/>
  <c r="G5" i="8" s="1"/>
  <c r="G3" i="8" a="1"/>
  <c r="G3" i="8" s="1"/>
  <c r="L44" i="4"/>
  <c r="M44" i="4"/>
  <c r="N44" i="4"/>
  <c r="O44" i="4"/>
  <c r="K44" i="4"/>
  <c r="L41" i="4"/>
  <c r="M41" i="4"/>
  <c r="N41" i="4"/>
  <c r="O41" i="4"/>
  <c r="K41" i="4"/>
  <c r="K37" i="4" a="1"/>
  <c r="K37" i="4" s="1"/>
  <c r="K36" i="4" a="1"/>
  <c r="K36" i="4" s="1"/>
  <c r="N35" i="4"/>
  <c r="O35" i="4"/>
  <c r="M35" i="4"/>
  <c r="L35" i="4"/>
  <c r="K34" i="4" a="1"/>
  <c r="K34" i="4" s="1"/>
  <c r="K33" i="4" a="1"/>
  <c r="K33" i="4" s="1"/>
  <c r="M32" i="1"/>
  <c r="K32" i="1"/>
  <c r="K89" i="2" a="1"/>
  <c r="K89" i="2" s="1"/>
  <c r="G89" i="2" a="1"/>
  <c r="G89" i="2" s="1"/>
  <c r="K43" i="2" a="1"/>
  <c r="K43" i="2" s="1"/>
  <c r="G43" i="2" a="1"/>
  <c r="G43" i="2" s="1"/>
  <c r="N7" i="7"/>
  <c r="J79" i="2"/>
  <c r="J82" i="2" s="1"/>
  <c r="G111" i="2" a="1"/>
  <c r="G111" i="2" s="1"/>
  <c r="K111" i="2" a="1"/>
  <c r="K111" i="2" s="1"/>
  <c r="K116" i="2"/>
  <c r="J117" i="2"/>
  <c r="K78" i="2"/>
  <c r="K80" i="2"/>
  <c r="J81" i="2"/>
  <c r="L78" i="2"/>
  <c r="M78" i="2"/>
  <c r="N78" i="2"/>
  <c r="O78" i="2"/>
  <c r="J72" i="2"/>
  <c r="J9" i="4"/>
  <c r="K8" i="4"/>
  <c r="J8" i="4"/>
  <c r="J7" i="4"/>
  <c r="L26" i="4"/>
  <c r="M26" i="4"/>
  <c r="N26" i="4"/>
  <c r="O26" i="4"/>
  <c r="P26" i="4"/>
  <c r="K26" i="4"/>
  <c r="L8" i="4"/>
  <c r="M8" i="4"/>
  <c r="N8" i="4"/>
  <c r="O8" i="4"/>
  <c r="P8" i="4"/>
  <c r="P5" i="4"/>
  <c r="L5" i="4"/>
  <c r="M5" i="4"/>
  <c r="N5" i="4"/>
  <c r="O5" i="4"/>
  <c r="K6" i="4"/>
  <c r="K5" i="4"/>
  <c r="J57" i="2"/>
  <c r="K57" i="2" s="1"/>
  <c r="K54" i="2"/>
  <c r="K53" i="2"/>
  <c r="K55" i="2" s="1"/>
  <c r="J55" i="2"/>
  <c r="J54" i="2"/>
  <c r="J53" i="2"/>
  <c r="J46" i="2"/>
  <c r="R6" i="7"/>
  <c r="R8" i="7" s="1"/>
  <c r="N16" i="7" s="1"/>
  <c r="R5" i="7"/>
  <c r="N15" i="7"/>
  <c r="N11" i="7"/>
  <c r="G19" i="7"/>
  <c r="I95" i="6" a="1"/>
  <c r="I95" i="6" s="1"/>
  <c r="I94" i="6"/>
  <c r="I93" i="6"/>
  <c r="G95" i="6" a="1"/>
  <c r="G95" i="6" s="1"/>
  <c r="G94" i="6"/>
  <c r="G93" i="6"/>
  <c r="G85" i="6" a="1"/>
  <c r="G85" i="6" s="1"/>
  <c r="I84" i="6" a="1"/>
  <c r="I84" i="6" s="1"/>
  <c r="I75" i="6" a="1"/>
  <c r="I75" i="6" s="1"/>
  <c r="H76" i="6" a="1"/>
  <c r="H76" i="6" s="1"/>
  <c r="H67" i="6" a="1"/>
  <c r="H67" i="6" s="1"/>
  <c r="K79" i="2" l="1"/>
  <c r="H95" i="6"/>
  <c r="H94" i="6"/>
  <c r="H93" i="6"/>
  <c r="I66" i="6" a="1"/>
  <c r="I66" i="6" s="1"/>
  <c r="G100" i="6" a="1"/>
  <c r="G100" i="6" s="1"/>
  <c r="G14" i="6" a="1"/>
  <c r="G14" i="6" s="1"/>
  <c r="G9" i="6"/>
  <c r="G5" i="6" a="1"/>
  <c r="G5" i="6" s="1"/>
  <c r="G4" i="6" a="1"/>
  <c r="G4" i="6" s="1"/>
  <c r="G3" i="6" a="1"/>
  <c r="G3" i="6" s="1"/>
  <c r="A1" i="6"/>
  <c r="K112" i="2" a="1"/>
  <c r="K112" i="2" s="1"/>
  <c r="K93" i="2" a="1"/>
  <c r="K93" i="2" s="1"/>
  <c r="J29" i="1"/>
  <c r="K29" i="1"/>
  <c r="L29" i="1"/>
  <c r="M29" i="1"/>
  <c r="N29" i="1"/>
  <c r="J30" i="1"/>
  <c r="L30" i="1"/>
  <c r="N30" i="1"/>
  <c r="J31" i="1"/>
  <c r="K31" i="1"/>
  <c r="L31" i="1"/>
  <c r="M31" i="1"/>
  <c r="N31" i="1"/>
  <c r="N32" i="1"/>
  <c r="L6" i="4"/>
  <c r="M6" i="4" s="1"/>
  <c r="N6" i="4" s="1"/>
  <c r="O6" i="4" s="1"/>
  <c r="P6" i="4" s="1"/>
  <c r="L4" i="4"/>
  <c r="M4" i="4" s="1"/>
  <c r="N4" i="4" s="1"/>
  <c r="O4" i="4" s="1"/>
  <c r="P4" i="4" s="1"/>
  <c r="K13" i="4"/>
  <c r="L13" i="4" s="1"/>
  <c r="M13" i="4" s="1"/>
  <c r="N13" i="4" s="1"/>
  <c r="O13" i="4" s="1"/>
  <c r="K14" i="4"/>
  <c r="L14" i="4"/>
  <c r="M14" i="4"/>
  <c r="N14" i="4"/>
  <c r="O14" i="4" s="1"/>
  <c r="K2" i="4" a="1"/>
  <c r="K2" i="4" s="1"/>
  <c r="K24" i="2" a="1"/>
  <c r="K24" i="2" s="1"/>
  <c r="K10" i="2" a="1"/>
  <c r="K10" i="2" s="1"/>
  <c r="K13" i="2" s="1"/>
  <c r="K4" i="2" a="1"/>
  <c r="K4" i="2" s="1"/>
  <c r="K7" i="2" s="1"/>
  <c r="K2" i="2" a="1"/>
  <c r="K2" i="2" s="1"/>
  <c r="K23" i="1"/>
  <c r="L23" i="1" s="1"/>
  <c r="M23" i="1" s="1"/>
  <c r="N23" i="1" s="1"/>
  <c r="K24" i="1"/>
  <c r="L24" i="1"/>
  <c r="M24" i="1"/>
  <c r="N24" i="1"/>
  <c r="K20" i="1"/>
  <c r="L20" i="1" s="1"/>
  <c r="M20" i="1" s="1"/>
  <c r="N20" i="1" s="1"/>
  <c r="J20" i="1"/>
  <c r="J16" i="1"/>
  <c r="K16" i="1" s="1"/>
  <c r="J17" i="1"/>
  <c r="K17" i="1"/>
  <c r="L17" i="1"/>
  <c r="M17" i="1"/>
  <c r="N17" i="1"/>
  <c r="J18" i="1"/>
  <c r="K18" i="1"/>
  <c r="L18" i="1"/>
  <c r="M18" i="1"/>
  <c r="N18" i="1"/>
  <c r="J19" i="1"/>
  <c r="K19" i="1"/>
  <c r="L19" i="1"/>
  <c r="M19" i="1"/>
  <c r="N19" i="1"/>
  <c r="K15" i="1"/>
  <c r="L15" i="1"/>
  <c r="M15" i="1"/>
  <c r="N15" i="1"/>
  <c r="J15" i="1"/>
  <c r="J12" i="1"/>
  <c r="K12" i="1" s="1"/>
  <c r="J13" i="1"/>
  <c r="K13" i="1" s="1"/>
  <c r="K11" i="1"/>
  <c r="L11" i="1"/>
  <c r="M11" i="1" s="1"/>
  <c r="N11" i="1" s="1"/>
  <c r="J11" i="1"/>
  <c r="K3" i="1"/>
  <c r="L3" i="1" s="1"/>
  <c r="M3" i="1" s="1"/>
  <c r="N3" i="1" s="1"/>
  <c r="K4" i="1"/>
  <c r="L4" i="1"/>
  <c r="M4" i="1"/>
  <c r="N4" i="1"/>
  <c r="K5" i="1"/>
  <c r="L5" i="1"/>
  <c r="M5" i="1"/>
  <c r="N5" i="1"/>
  <c r="J4" i="1"/>
  <c r="J5" i="1"/>
  <c r="J3" i="1"/>
  <c r="K7" i="1"/>
  <c r="L7" i="1" s="1"/>
  <c r="K8" i="1"/>
  <c r="L8" i="1" s="1"/>
  <c r="K9" i="1"/>
  <c r="L9" i="1"/>
  <c r="M9" i="1"/>
  <c r="N9" i="1"/>
  <c r="J8" i="1"/>
  <c r="J9" i="1"/>
  <c r="J7" i="1"/>
  <c r="I7" i="1"/>
  <c r="I8" i="1"/>
  <c r="I9" i="1"/>
  <c r="H8" i="1"/>
  <c r="H9" i="1"/>
  <c r="H7" i="1"/>
  <c r="G1" i="1" a="1"/>
  <c r="G1" i="1" s="1"/>
  <c r="H105" i="2"/>
  <c r="I105" i="2" s="1"/>
  <c r="K105" i="2" s="1"/>
  <c r="L105" i="2" s="1"/>
  <c r="M105" i="2" s="1"/>
  <c r="N105" i="2" s="1"/>
  <c r="O105" i="2" s="1"/>
  <c r="H31" i="1"/>
  <c r="I31" i="1" s="1"/>
  <c r="C7" i="1" a="1"/>
  <c r="C7" i="1" s="1"/>
  <c r="G117" i="2"/>
  <c r="H116" i="2" s="1"/>
  <c r="F99" i="2" a="1"/>
  <c r="F99" i="2" s="1"/>
  <c r="F96" i="2" a="1"/>
  <c r="F96" i="2" s="1"/>
  <c r="G80" i="2"/>
  <c r="H24" i="1"/>
  <c r="I24" i="1" s="1"/>
  <c r="H79" i="2"/>
  <c r="I79" i="2" s="1"/>
  <c r="H78" i="2"/>
  <c r="I78" i="2" s="1"/>
  <c r="H72" i="2"/>
  <c r="I72" i="2" s="1"/>
  <c r="K72" i="2" s="1"/>
  <c r="L72" i="2" s="1"/>
  <c r="M72" i="2" s="1"/>
  <c r="G18" i="4"/>
  <c r="H13" i="4"/>
  <c r="I13" i="4" s="1"/>
  <c r="H14" i="4"/>
  <c r="I14" i="4" s="1"/>
  <c r="H15" i="4"/>
  <c r="I15" i="4"/>
  <c r="L15" i="4" s="1"/>
  <c r="M15" i="4" s="1"/>
  <c r="N15" i="4" s="1"/>
  <c r="O15" i="4" s="1"/>
  <c r="H16" i="4"/>
  <c r="I16" i="4"/>
  <c r="L16" i="4" s="1"/>
  <c r="M16" i="4" s="1"/>
  <c r="N16" i="4" s="1"/>
  <c r="O16" i="4" s="1"/>
  <c r="H12" i="4"/>
  <c r="I12" i="4" s="1"/>
  <c r="K12" i="4" s="1"/>
  <c r="L12" i="4" s="1"/>
  <c r="M12" i="4" s="1"/>
  <c r="N12" i="4" s="1"/>
  <c r="O12" i="4" s="1"/>
  <c r="C12" i="4" a="1"/>
  <c r="C12" i="4" s="1"/>
  <c r="G9" i="4"/>
  <c r="H5" i="4"/>
  <c r="I5" i="4" s="1"/>
  <c r="A1" i="4"/>
  <c r="H30" i="1"/>
  <c r="I30" i="1" s="1"/>
  <c r="H57" i="2"/>
  <c r="I57" i="2" s="1"/>
  <c r="L57" i="2" s="1"/>
  <c r="M57" i="2" s="1"/>
  <c r="N57" i="2" s="1"/>
  <c r="O57" i="2" s="1"/>
  <c r="G56" i="2"/>
  <c r="G54" i="2"/>
  <c r="G53" i="2"/>
  <c r="I32" i="1"/>
  <c r="G104" i="2" s="1" a="1"/>
  <c r="H29" i="1"/>
  <c r="I29" i="1" s="1"/>
  <c r="H28" i="1"/>
  <c r="I28" i="1"/>
  <c r="H27" i="1"/>
  <c r="I27" i="1" s="1"/>
  <c r="H23" i="1"/>
  <c r="G23" i="6" l="1" a="1"/>
  <c r="G23" i="6" s="1"/>
  <c r="K104" i="2" a="1"/>
  <c r="K104" i="2" s="1"/>
  <c r="K106" i="2" s="1"/>
  <c r="L79" i="2"/>
  <c r="M79" i="2" s="1"/>
  <c r="N79" i="2" s="1"/>
  <c r="O79" i="2" s="1"/>
  <c r="K39" i="2" a="1"/>
  <c r="K39" i="2" s="1"/>
  <c r="H18" i="4"/>
  <c r="G9" i="7"/>
  <c r="N14" i="7" s="1"/>
  <c r="G56" i="6"/>
  <c r="H56" i="6"/>
  <c r="H58" i="6"/>
  <c r="G58" i="6"/>
  <c r="N7" i="2"/>
  <c r="L7" i="2"/>
  <c r="O7" i="2"/>
  <c r="M7" i="2"/>
  <c r="K49" i="2" a="1"/>
  <c r="K49" i="2" s="1"/>
  <c r="K47" i="2" a="1"/>
  <c r="K66" i="2" a="1"/>
  <c r="K66" i="2" s="1"/>
  <c r="K19" i="2" a="1"/>
  <c r="O13" i="2"/>
  <c r="N13" i="2"/>
  <c r="M13" i="2"/>
  <c r="L13" i="2"/>
  <c r="N72" i="2"/>
  <c r="L16" i="1"/>
  <c r="M16" i="1" s="1"/>
  <c r="N16" i="1" s="1"/>
  <c r="L12" i="1"/>
  <c r="L13" i="1"/>
  <c r="M7" i="1"/>
  <c r="N7" i="1" s="1"/>
  <c r="M8" i="1"/>
  <c r="N8" i="1"/>
  <c r="I23" i="1"/>
  <c r="G39" i="2" s="1" a="1"/>
  <c r="G39" i="2" s="1"/>
  <c r="I18" i="4"/>
  <c r="I9" i="4"/>
  <c r="G31" i="2" a="1"/>
  <c r="G31" i="2" s="1"/>
  <c r="H9" i="4"/>
  <c r="G104" i="2"/>
  <c r="H106" i="2"/>
  <c r="I106" i="2"/>
  <c r="G112" i="2" a="1"/>
  <c r="G112" i="2" s="1"/>
  <c r="G55" i="2"/>
  <c r="G58" i="2" s="1"/>
  <c r="G2" i="4" a="1"/>
  <c r="G2" i="4" s="1"/>
  <c r="H53" i="2"/>
  <c r="I53" i="2" s="1"/>
  <c r="H80" i="2"/>
  <c r="I80" i="2" s="1"/>
  <c r="L80" i="2" s="1"/>
  <c r="M80" i="2" s="1"/>
  <c r="N80" i="2" s="1"/>
  <c r="O80" i="2" s="1"/>
  <c r="G4" i="2" a="1"/>
  <c r="G4" i="2" s="1"/>
  <c r="G7" i="2" s="1"/>
  <c r="H21" i="1"/>
  <c r="H20" i="1"/>
  <c r="I20" i="1" s="1"/>
  <c r="G24" i="2" s="1" a="1"/>
  <c r="G2" i="2" a="1"/>
  <c r="G2" i="2" s="1"/>
  <c r="D4" i="2" a="1"/>
  <c r="D4" i="2" s="1"/>
  <c r="D10" i="2" s="1" a="1"/>
  <c r="D10" i="2" s="1"/>
  <c r="C11" i="1" a="1"/>
  <c r="C11" i="1" s="1"/>
  <c r="A1" i="2"/>
  <c r="L106" i="2" l="1"/>
  <c r="I8" i="6"/>
  <c r="G8" i="7"/>
  <c r="N13" i="7" s="1"/>
  <c r="G8" i="6"/>
  <c r="G55" i="6"/>
  <c r="H55" i="6"/>
  <c r="I109" i="2"/>
  <c r="K15" i="2" a="1"/>
  <c r="K15" i="2" s="1"/>
  <c r="K16" i="2" s="1" a="1"/>
  <c r="K16" i="2" s="1"/>
  <c r="M106" i="2"/>
  <c r="K47" i="2"/>
  <c r="K65" i="2" a="1"/>
  <c r="K48" i="2" a="1"/>
  <c r="O96" i="2" s="1" a="1"/>
  <c r="O96" i="2" s="1"/>
  <c r="K19" i="2"/>
  <c r="L53" i="2"/>
  <c r="O72" i="2"/>
  <c r="M13" i="1"/>
  <c r="N13" i="1" s="1"/>
  <c r="M12" i="1"/>
  <c r="N12" i="1" s="1"/>
  <c r="H109" i="2"/>
  <c r="H113" i="2" s="1"/>
  <c r="H21" i="4"/>
  <c r="H22" i="4" s="1"/>
  <c r="G21" i="4"/>
  <c r="I113" i="2"/>
  <c r="I22" i="4"/>
  <c r="G24" i="2"/>
  <c r="H54" i="2"/>
  <c r="I21" i="1"/>
  <c r="G94" i="2" s="1" a="1"/>
  <c r="G94" i="2" s="1"/>
  <c r="G93" i="2" a="1"/>
  <c r="G93" i="2" s="1"/>
  <c r="G10" i="2" a="1"/>
  <c r="I7" i="2"/>
  <c r="H7" i="2"/>
  <c r="N106" i="2" l="1"/>
  <c r="O106" i="2"/>
  <c r="N96" i="2" a="1"/>
  <c r="N96" i="2" s="1"/>
  <c r="M96" i="2" a="1"/>
  <c r="M96" i="2" s="1"/>
  <c r="N99" i="2" a="1"/>
  <c r="N99" i="2" s="1"/>
  <c r="O99" i="2" a="1"/>
  <c r="O99" i="2" s="1"/>
  <c r="K21" i="6" s="1"/>
  <c r="M99" i="2" a="1"/>
  <c r="M99" i="2" s="1"/>
  <c r="M53" i="2"/>
  <c r="K48" i="2"/>
  <c r="K65" i="2"/>
  <c r="G67" i="2" a="1"/>
  <c r="G67" i="2" s="1"/>
  <c r="G22" i="4"/>
  <c r="G71" i="2" s="1" a="1"/>
  <c r="I54" i="2"/>
  <c r="H55" i="2"/>
  <c r="G25" i="2" a="1"/>
  <c r="G66" i="2" a="1"/>
  <c r="G47" i="2" a="1"/>
  <c r="G49" i="2" a="1"/>
  <c r="J49" i="2" s="1"/>
  <c r="G19" i="2" a="1"/>
  <c r="G10" i="2"/>
  <c r="G13" i="2" s="1"/>
  <c r="H13" i="2"/>
  <c r="I13" i="2"/>
  <c r="G66" i="2" l="1"/>
  <c r="J66" i="2"/>
  <c r="K96" i="2"/>
  <c r="J47" i="2"/>
  <c r="I21" i="6"/>
  <c r="J21" i="6"/>
  <c r="G49" i="2"/>
  <c r="K98" i="2"/>
  <c r="L99" i="2" a="1"/>
  <c r="L99" i="2" s="1"/>
  <c r="L96" i="2" a="1"/>
  <c r="L96" i="2" s="1"/>
  <c r="H21" i="6" s="1"/>
  <c r="I55" i="2"/>
  <c r="N53" i="2"/>
  <c r="G71" i="2"/>
  <c r="G73" i="2" s="1"/>
  <c r="I73" i="2"/>
  <c r="H73" i="2"/>
  <c r="G25" i="2"/>
  <c r="H56" i="2"/>
  <c r="I56" i="2" s="1"/>
  <c r="G65" i="2" a="1"/>
  <c r="G47" i="2"/>
  <c r="G48" i="2" a="1"/>
  <c r="G19" i="2"/>
  <c r="H26" i="2"/>
  <c r="I26" i="2"/>
  <c r="G15" i="2" a="1"/>
  <c r="G15" i="2" s="1"/>
  <c r="G48" i="2" l="1"/>
  <c r="J48" i="2"/>
  <c r="I99" i="2" a="1"/>
  <c r="I99" i="2" s="1"/>
  <c r="J65" i="2"/>
  <c r="J50" i="2"/>
  <c r="G26" i="2"/>
  <c r="G28" i="2" s="1" a="1"/>
  <c r="K97" i="2"/>
  <c r="K99" i="2" a="1"/>
  <c r="K99" i="2" s="1"/>
  <c r="I58" i="2"/>
  <c r="O53" i="2"/>
  <c r="L54" i="2"/>
  <c r="H58" i="2"/>
  <c r="I96" i="2" a="1"/>
  <c r="I96" i="2" s="1"/>
  <c r="H96" i="2" a="1"/>
  <c r="H96" i="2" s="1"/>
  <c r="G65" i="2"/>
  <c r="G68" i="2" s="1"/>
  <c r="H68" i="2"/>
  <c r="I68" i="2"/>
  <c r="G16" i="2" a="1"/>
  <c r="G16" i="2" s="1"/>
  <c r="G28" i="2" l="1"/>
  <c r="G3" i="7"/>
  <c r="G21" i="6"/>
  <c r="M54" i="2"/>
  <c r="L55" i="2"/>
  <c r="H99" i="2" a="1"/>
  <c r="H99" i="2" s="1"/>
  <c r="G75" i="2" a="1"/>
  <c r="G75" i="2" s="1"/>
  <c r="G29" i="2" a="1"/>
  <c r="G29" i="2" s="1"/>
  <c r="G33" i="2" a="1"/>
  <c r="G33" i="2" s="1"/>
  <c r="G5" i="7" l="1"/>
  <c r="G17" i="7"/>
  <c r="N54" i="2"/>
  <c r="M55" i="2"/>
  <c r="G35" i="2" a="1"/>
  <c r="G35" i="2" s="1"/>
  <c r="G37" i="2" s="1" a="1"/>
  <c r="G37" i="2" s="1"/>
  <c r="O54" i="2" l="1"/>
  <c r="O55" i="2" s="1"/>
  <c r="N55" i="2"/>
  <c r="G40" i="2" a="1"/>
  <c r="G40" i="2" s="1"/>
  <c r="G81" i="2" s="1"/>
  <c r="G91" i="2" a="1"/>
  <c r="I101" i="2" s="1"/>
  <c r="G91" i="2" l="1"/>
  <c r="H101" i="2"/>
  <c r="H115" i="2" s="1" a="1"/>
  <c r="H115" i="2" s="1"/>
  <c r="H117" i="2" s="1"/>
  <c r="I116" i="2" s="1"/>
  <c r="H81" i="2"/>
  <c r="G82" i="2"/>
  <c r="I117" i="2" l="1"/>
  <c r="I81" i="2"/>
  <c r="H82" i="2"/>
  <c r="I82" i="2" l="1"/>
  <c r="G46" i="2" a="1"/>
  <c r="G46" i="2" l="1"/>
  <c r="G50" i="2" s="1"/>
  <c r="N4" i="7"/>
  <c r="N8" i="7" s="1"/>
  <c r="G11" i="7"/>
  <c r="G12" i="7" s="1"/>
  <c r="G10" i="6"/>
  <c r="G23" i="7"/>
  <c r="G84" i="2" a="1"/>
  <c r="G84" i="2" s="1"/>
  <c r="G11" i="6"/>
  <c r="H10" i="6" s="1"/>
  <c r="H50" i="2"/>
  <c r="I50" i="2"/>
  <c r="G60" i="2" l="1" a="1"/>
  <c r="G60" i="2" s="1"/>
  <c r="G13" i="7"/>
  <c r="N12" i="7"/>
  <c r="N17" i="7" s="1"/>
  <c r="O11" i="7" s="1" a="1"/>
  <c r="O11" i="7" s="1"/>
  <c r="G22" i="7"/>
  <c r="G24" i="7" s="1"/>
  <c r="P4" i="7" a="1"/>
  <c r="P4" i="7" s="1"/>
  <c r="O4" i="7" a="1"/>
  <c r="O4" i="7" s="1"/>
  <c r="N19" i="7"/>
  <c r="H9" i="6"/>
  <c r="H8" i="6"/>
  <c r="G86" i="2" a="1"/>
  <c r="G86" i="2" s="1"/>
  <c r="G12" i="6" l="1"/>
  <c r="J21" i="1"/>
  <c r="J56" i="2"/>
  <c r="J58" i="2" s="1"/>
  <c r="J60" i="2" s="1"/>
  <c r="G25" i="6" a="1"/>
  <c r="G25" i="6" s="1"/>
  <c r="H25" i="6" a="1"/>
  <c r="H25" i="6" s="1"/>
  <c r="J25" i="6" a="1"/>
  <c r="J25" i="6" s="1"/>
  <c r="K25" i="6" a="1"/>
  <c r="K25" i="6" s="1"/>
  <c r="I25" i="6" a="1"/>
  <c r="I25" i="6" s="1"/>
  <c r="K21" i="1" l="1"/>
  <c r="L21" i="1" s="1"/>
  <c r="M21" i="1" s="1"/>
  <c r="N21" i="1" s="1"/>
  <c r="G16" i="6" a="1"/>
  <c r="G16" i="6" s="1"/>
  <c r="G20" i="6" s="1" a="1"/>
  <c r="G20" i="6" s="1"/>
  <c r="K25" i="2" a="1"/>
  <c r="K25" i="2" l="1"/>
  <c r="N26" i="2"/>
  <c r="L26" i="2"/>
  <c r="O26" i="2"/>
  <c r="M26" i="2"/>
  <c r="K94" i="2" a="1"/>
  <c r="K94" i="2" s="1"/>
  <c r="K56" i="2" l="1"/>
  <c r="K26" i="2"/>
  <c r="K28" i="2" s="1" a="1"/>
  <c r="K28" i="2" l="1"/>
  <c r="K58" i="2"/>
  <c r="L56" i="2"/>
  <c r="M56" i="2" l="1"/>
  <c r="L58" i="2"/>
  <c r="G17" i="6" a="1"/>
  <c r="G17" i="6" s="1"/>
  <c r="G18" i="6" s="1" a="1"/>
  <c r="G18" i="6" s="1"/>
  <c r="G19" i="6" s="1" a="1"/>
  <c r="K29" i="2" a="1"/>
  <c r="K29" i="2" s="1"/>
  <c r="G15" i="6" a="1"/>
  <c r="G15" i="6" l="1"/>
  <c r="H85" i="6" a="1"/>
  <c r="H85" i="6" s="1"/>
  <c r="G43" i="6"/>
  <c r="G45" i="6" s="1"/>
  <c r="G46" i="6" s="1"/>
  <c r="G19" i="6"/>
  <c r="G22" i="6" s="1"/>
  <c r="G24" i="6" s="1"/>
  <c r="H22" i="6"/>
  <c r="H24" i="6" s="1"/>
  <c r="I22" i="6"/>
  <c r="I24" i="6" s="1"/>
  <c r="J22" i="6"/>
  <c r="J24" i="6" s="1"/>
  <c r="K22" i="6"/>
  <c r="K24" i="6" s="1"/>
  <c r="N56" i="2"/>
  <c r="M58" i="2"/>
  <c r="O56" i="2" l="1"/>
  <c r="O58" i="2" s="1"/>
  <c r="N58" i="2"/>
  <c r="G49" i="6"/>
  <c r="G31" i="6"/>
  <c r="G33" i="6" s="1"/>
  <c r="G34" i="6" s="1"/>
  <c r="G36" i="6" s="1"/>
  <c r="G26" i="6" a="1"/>
  <c r="G26" i="6" s="1"/>
  <c r="G27" i="6" s="1"/>
  <c r="G37" i="6" l="1"/>
  <c r="G38" i="6" s="1"/>
  <c r="G47" i="6"/>
  <c r="G48" i="6" s="1"/>
  <c r="H54" i="6" s="1"/>
  <c r="H57" i="6" s="1"/>
  <c r="H59" i="6" s="1"/>
  <c r="H75" i="6" l="1"/>
  <c r="H84" i="6"/>
  <c r="G39" i="6"/>
  <c r="G54" i="6"/>
  <c r="G57" i="6" s="1"/>
  <c r="G59" i="6" s="1"/>
  <c r="G62" i="6" l="1"/>
  <c r="G96" i="6" s="1"/>
  <c r="H96" i="6" s="1"/>
  <c r="I96" i="6" s="1"/>
  <c r="H66" i="6"/>
  <c r="K7" i="4" l="1"/>
  <c r="L7" i="4"/>
  <c r="M7" i="4"/>
  <c r="N7" i="4"/>
  <c r="O7" i="4"/>
  <c r="P7" i="4"/>
  <c r="K9" i="4"/>
  <c r="L9" i="4"/>
  <c r="M9" i="4"/>
  <c r="N9" i="4"/>
  <c r="O9" i="4"/>
  <c r="P9" i="4"/>
  <c r="K18" i="4"/>
  <c r="L18" i="4"/>
  <c r="M18" i="4"/>
  <c r="N18" i="4"/>
  <c r="O18" i="4"/>
  <c r="J21" i="4"/>
  <c r="K21" i="4"/>
  <c r="L21" i="4"/>
  <c r="M21" i="4"/>
  <c r="N21" i="4"/>
  <c r="O21" i="4"/>
  <c r="J22" i="4"/>
  <c r="K22" i="4"/>
  <c r="L22" i="4"/>
  <c r="M22" i="4"/>
  <c r="N22" i="4"/>
  <c r="O22" i="4"/>
  <c r="K27" i="4" a="1"/>
  <c r="K27" i="4"/>
  <c r="K31" i="4" a="1"/>
  <c r="K31" i="4"/>
  <c r="K38" i="4"/>
  <c r="L38" i="4"/>
  <c r="M38" i="4"/>
  <c r="N38" i="4"/>
  <c r="O38" i="4"/>
  <c r="K40" i="4" a="1"/>
  <c r="K40" i="4"/>
  <c r="K42" i="4"/>
  <c r="L42" i="4"/>
  <c r="M42" i="4"/>
  <c r="N42" i="4"/>
  <c r="O42" i="4"/>
  <c r="K43" i="4"/>
  <c r="L43" i="4"/>
  <c r="M43" i="4"/>
  <c r="N43" i="4"/>
  <c r="O43" i="4"/>
  <c r="K45" i="4"/>
  <c r="L45" i="4"/>
  <c r="M45" i="4"/>
  <c r="N45" i="4"/>
  <c r="O45" i="4"/>
  <c r="K46" i="4" a="1"/>
  <c r="K46" i="4"/>
  <c r="K31" i="2" a="1"/>
  <c r="K31" i="2"/>
  <c r="K33" i="2"/>
  <c r="L33" i="2"/>
  <c r="M33" i="2"/>
  <c r="N33" i="2"/>
  <c r="O33" i="2"/>
  <c r="K35" i="2"/>
  <c r="L35" i="2"/>
  <c r="M35" i="2"/>
  <c r="N35" i="2"/>
  <c r="O35" i="2"/>
  <c r="K37" i="2"/>
  <c r="L37" i="2"/>
  <c r="M37" i="2"/>
  <c r="N37" i="2"/>
  <c r="O37" i="2"/>
  <c r="K40" i="2"/>
  <c r="L40" i="2"/>
  <c r="M40" i="2"/>
  <c r="N40" i="2"/>
  <c r="O40" i="2"/>
  <c r="K46" i="2" a="1"/>
  <c r="K46" i="2"/>
  <c r="K50" i="2"/>
  <c r="L50" i="2"/>
  <c r="M50" i="2"/>
  <c r="N50" i="2"/>
  <c r="O50" i="2"/>
  <c r="K60" i="2"/>
  <c r="L60" i="2"/>
  <c r="M60" i="2"/>
  <c r="N60" i="2"/>
  <c r="O60" i="2"/>
  <c r="J67" i="2"/>
  <c r="K67" i="2" a="1"/>
  <c r="K67" i="2"/>
  <c r="J68" i="2"/>
  <c r="K68" i="2"/>
  <c r="L68" i="2"/>
  <c r="M68" i="2"/>
  <c r="N68" i="2"/>
  <c r="O68" i="2"/>
  <c r="J71" i="2"/>
  <c r="K71" i="2" a="1"/>
  <c r="K71" i="2"/>
  <c r="J73" i="2"/>
  <c r="K73" i="2"/>
  <c r="L73" i="2"/>
  <c r="M73" i="2"/>
  <c r="N73" i="2"/>
  <c r="O73" i="2"/>
  <c r="J75" i="2"/>
  <c r="K75" i="2"/>
  <c r="L75" i="2"/>
  <c r="M75" i="2"/>
  <c r="N75" i="2"/>
  <c r="O75" i="2"/>
  <c r="K81" i="2"/>
  <c r="L81" i="2"/>
  <c r="M81" i="2"/>
  <c r="N81" i="2"/>
  <c r="O81" i="2"/>
  <c r="K82" i="2"/>
  <c r="L82" i="2"/>
  <c r="M82" i="2"/>
  <c r="N82" i="2"/>
  <c r="O82" i="2"/>
  <c r="J84" i="2"/>
  <c r="K84" i="2"/>
  <c r="L84" i="2"/>
  <c r="M84" i="2"/>
  <c r="N84" i="2"/>
  <c r="O84" i="2"/>
  <c r="J86" i="2"/>
  <c r="K86" i="2"/>
  <c r="L86" i="2"/>
  <c r="M86" i="2"/>
  <c r="N86" i="2"/>
  <c r="O86" i="2"/>
  <c r="K91" i="2" a="1"/>
  <c r="K91" i="2"/>
  <c r="K101" i="2"/>
  <c r="L101" i="2"/>
  <c r="M101" i="2"/>
  <c r="N101" i="2"/>
  <c r="O101" i="2"/>
  <c r="K109" i="2"/>
  <c r="L109" i="2"/>
  <c r="M109" i="2"/>
  <c r="N109" i="2"/>
  <c r="O109" i="2"/>
  <c r="K113" i="2"/>
  <c r="L113" i="2"/>
  <c r="M113" i="2"/>
  <c r="N113" i="2"/>
  <c r="O113" i="2"/>
  <c r="K115" i="2" a="1"/>
  <c r="K115" i="2"/>
  <c r="L116" i="2"/>
  <c r="M116" i="2"/>
  <c r="N116" i="2"/>
  <c r="O116" i="2"/>
  <c r="K117" i="2"/>
  <c r="L117" i="2"/>
  <c r="M117" i="2"/>
  <c r="N117" i="2"/>
  <c r="O117" i="2"/>
  <c r="G4" i="8" a="1"/>
  <c r="G4" i="8"/>
  <c r="G6" i="8" a="1"/>
  <c r="G6" i="8"/>
  <c r="G7" i="8"/>
  <c r="H7" i="8"/>
  <c r="I7" i="8"/>
  <c r="J7" i="8"/>
  <c r="K7" i="8"/>
  <c r="G9" i="8" a="1"/>
  <c r="G9" i="8"/>
  <c r="G16" i="8"/>
  <c r="H16" i="8"/>
  <c r="I16" i="8"/>
  <c r="J16" i="8"/>
  <c r="K16" i="8"/>
  <c r="G18" i="8"/>
  <c r="H18" i="8"/>
  <c r="I18" i="8"/>
  <c r="J18" i="8"/>
  <c r="K18" i="8"/>
  <c r="G19" i="8"/>
  <c r="H19" i="8"/>
  <c r="I19" i="8"/>
  <c r="J19" i="8"/>
  <c r="K19" i="8"/>
  <c r="I35" i="8"/>
  <c r="J35" i="8"/>
  <c r="K35" i="8" a="1"/>
  <c r="K35" i="8"/>
  <c r="I36" i="8"/>
  <c r="J36" i="8"/>
  <c r="I37" i="8"/>
  <c r="J37" i="8"/>
  <c r="I38" i="8"/>
  <c r="J38" i="8"/>
  <c r="H43" i="8"/>
  <c r="I43" i="8" a="1"/>
  <c r="I43" i="8"/>
  <c r="T43" i="8" a="1"/>
  <c r="T43" i="8"/>
  <c r="H44" i="8"/>
  <c r="H45" i="8"/>
  <c r="H46" i="8"/>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2"/>
        </ext>
      </extLst>
    </bk>
  </futureMetadata>
  <cellMetadata count="1">
    <bk>
      <rc t="1" v="0"/>
    </bk>
  </cellMetadata>
  <valueMetadata count="1">
    <bk>
      <rc t="2" v="0"/>
    </bk>
  </valueMetadata>
</metadata>
</file>

<file path=xl/sharedStrings.xml><?xml version="1.0" encoding="utf-8"?>
<sst xmlns="http://schemas.openxmlformats.org/spreadsheetml/2006/main" count="308" uniqueCount="243">
  <si>
    <t>Legends Inc.</t>
  </si>
  <si>
    <t>Revenues</t>
  </si>
  <si>
    <t>Foot Solutions</t>
  </si>
  <si>
    <t>Greeting Fulfillments</t>
  </si>
  <si>
    <t>Legendwear</t>
  </si>
  <si>
    <t>% Change</t>
  </si>
  <si>
    <t>Cost of Goods Sold</t>
  </si>
  <si>
    <t>Operating Expenses (aka fixed costs)</t>
  </si>
  <si>
    <t>Rent</t>
  </si>
  <si>
    <t>Utilities</t>
  </si>
  <si>
    <t>Phone</t>
  </si>
  <si>
    <t>Advertising</t>
  </si>
  <si>
    <t>Salaries</t>
  </si>
  <si>
    <t>Depreciation Expense</t>
  </si>
  <si>
    <t>Amortization Expense</t>
  </si>
  <si>
    <t>Tax Rate</t>
  </si>
  <si>
    <t>Cash Dividends</t>
  </si>
  <si>
    <t>Stock Buybacks</t>
  </si>
  <si>
    <t>Balance Sheet</t>
  </si>
  <si>
    <t>Working Capital</t>
  </si>
  <si>
    <t>Accounts Receivable (days of Sales)</t>
  </si>
  <si>
    <t>Inventory (days of COGS)</t>
  </si>
  <si>
    <t>Prepaid Expenses</t>
  </si>
  <si>
    <t>Accounts Payable (days COGS)</t>
  </si>
  <si>
    <t>Accrued Liabilities</t>
  </si>
  <si>
    <t>Capital Expenditure (CAPEX)</t>
  </si>
  <si>
    <t>Starting Gross PP&amp;E</t>
  </si>
  <si>
    <t>Starting Accumulated Depreciation</t>
  </si>
  <si>
    <t>Starting.Goodwill</t>
  </si>
  <si>
    <t>Starting Cash</t>
  </si>
  <si>
    <t>Income Statement</t>
  </si>
  <si>
    <t>Total Revenues</t>
  </si>
  <si>
    <t>Total Cost of Goods Sold</t>
  </si>
  <si>
    <t>Gross Margin</t>
  </si>
  <si>
    <t>% Revenues</t>
  </si>
  <si>
    <t>Total SG&amp;A Expenses</t>
  </si>
  <si>
    <t>Earnings Before Interest and Taxes (EBIT)</t>
  </si>
  <si>
    <t>Interest Expense</t>
  </si>
  <si>
    <t>Earnings Before Taxes (EBT)</t>
  </si>
  <si>
    <t>Income Tax Expense</t>
  </si>
  <si>
    <t>Net Income</t>
  </si>
  <si>
    <t>Less: Cash Dividends</t>
  </si>
  <si>
    <t>Change in Retained Earnings</t>
  </si>
  <si>
    <t>Assets</t>
  </si>
  <si>
    <t>Short Term Assets</t>
  </si>
  <si>
    <t>Cash</t>
  </si>
  <si>
    <t>Accounts Receivable</t>
  </si>
  <si>
    <t>Inventory</t>
  </si>
  <si>
    <t>Total Short Term Assets</t>
  </si>
  <si>
    <t>Long Term Assets</t>
  </si>
  <si>
    <t>Gross Property, Plant &amp; Equipment</t>
  </si>
  <si>
    <t>less: Accumulated Depreciation</t>
  </si>
  <si>
    <t>Net PP&amp;E</t>
  </si>
  <si>
    <t>Goodwill</t>
  </si>
  <si>
    <t>Intellectual Property (IP)</t>
  </si>
  <si>
    <t>Total Long Term Assets</t>
  </si>
  <si>
    <t>Total Assets</t>
  </si>
  <si>
    <t>Capital (Liabilities and Shareholder Equity)</t>
  </si>
  <si>
    <t>Liabilities</t>
  </si>
  <si>
    <t>Short Term Liabilities</t>
  </si>
  <si>
    <t>Accounts Payable</t>
  </si>
  <si>
    <t>Short Term Portion of LT Debt</t>
  </si>
  <si>
    <t>Total Short Term Liabilities</t>
  </si>
  <si>
    <t>Long Term Liabilities</t>
  </si>
  <si>
    <t>Long Term Debt</t>
  </si>
  <si>
    <t>Capitalized Leases</t>
  </si>
  <si>
    <t>Total Long Term Liabilities</t>
  </si>
  <si>
    <t>Total Liabililities</t>
  </si>
  <si>
    <t>Shareholder Equity</t>
  </si>
  <si>
    <t>Preferred Stock</t>
  </si>
  <si>
    <t>Common Stock</t>
  </si>
  <si>
    <t>Treasury Stock</t>
  </si>
  <si>
    <t>Retained Earnings</t>
  </si>
  <si>
    <t>Total Shareholders Equity</t>
  </si>
  <si>
    <t>Total Liabilities &amp; Equity</t>
  </si>
  <si>
    <t>Checksum</t>
  </si>
  <si>
    <t>Statement of Changes in Cash</t>
  </si>
  <si>
    <t>Cash from Operations</t>
  </si>
  <si>
    <t>Add Back Non Cash Items</t>
  </si>
  <si>
    <t>Change in Working Capital</t>
  </si>
  <si>
    <t>Total Cash from Operations</t>
  </si>
  <si>
    <t>Cash from Investment</t>
  </si>
  <si>
    <t>CAPEX</t>
  </si>
  <si>
    <t>Loss/Gain on Disposal of Assets</t>
  </si>
  <si>
    <t>Total Cash from Investment</t>
  </si>
  <si>
    <t>Cash from Financing</t>
  </si>
  <si>
    <t>Borrowing/(repayment) of debt</t>
  </si>
  <si>
    <t>Issuance of Shares</t>
  </si>
  <si>
    <t>Cash Dividend</t>
  </si>
  <si>
    <t>Total Cash From Financing</t>
  </si>
  <si>
    <t>Net Change in Cash</t>
  </si>
  <si>
    <t>Starting Cash Balance</t>
  </si>
  <si>
    <t>Ending Cash Balance</t>
  </si>
  <si>
    <t>Debt</t>
  </si>
  <si>
    <t>Huntington</t>
  </si>
  <si>
    <t>PNC</t>
  </si>
  <si>
    <t>Keybank</t>
  </si>
  <si>
    <t>Total Debt</t>
  </si>
  <si>
    <t>DCF.Debt</t>
  </si>
  <si>
    <t>Interest Rate</t>
  </si>
  <si>
    <t>Current Portion</t>
  </si>
  <si>
    <t>General Assumptions</t>
  </si>
  <si>
    <t>Share Price</t>
  </si>
  <si>
    <t>Shares Outstanding</t>
  </si>
  <si>
    <t>Market Capitalization</t>
  </si>
  <si>
    <t>Weighted Average Cost of Capital</t>
  </si>
  <si>
    <t>Preffered Stock</t>
  </si>
  <si>
    <t>WACC</t>
  </si>
  <si>
    <t>Free Cash Flow Buildup</t>
  </si>
  <si>
    <t>EBITDA</t>
  </si>
  <si>
    <t>Less: Depreciation and Amort</t>
  </si>
  <si>
    <t>EBIT</t>
  </si>
  <si>
    <t>Less: Income Tax</t>
  </si>
  <si>
    <t>EBIAT</t>
  </si>
  <si>
    <t>Add back: Depr &amp; Amort</t>
  </si>
  <si>
    <t>Unlevered Cash from Operations</t>
  </si>
  <si>
    <t>Less: CAPEX</t>
  </si>
  <si>
    <t>Unlevered Free Cash Flow</t>
  </si>
  <si>
    <t>Discount Factor</t>
  </si>
  <si>
    <t>Discounted Free Cash Flow</t>
  </si>
  <si>
    <t>Net Present Value</t>
  </si>
  <si>
    <t>Terminal Enterprise Valuations</t>
  </si>
  <si>
    <t>Perpetuity Approach</t>
  </si>
  <si>
    <t>Unlevered FCF Year 5</t>
  </si>
  <si>
    <t>Long Term Growth Rate</t>
  </si>
  <si>
    <t>Forecast Year 6 FCF</t>
  </si>
  <si>
    <t>Terminal Enterprise Value</t>
  </si>
  <si>
    <t>NPV Calculation</t>
  </si>
  <si>
    <t>PV of the Terminal Value</t>
  </si>
  <si>
    <t>PV of the Free Cash Flows</t>
  </si>
  <si>
    <t>Total Enterprise Value</t>
  </si>
  <si>
    <t>Implied Terminal Value Exit Multiplier</t>
  </si>
  <si>
    <t>Exit EBITDA Multiple Approach</t>
  </si>
  <si>
    <t>Terminal Value</t>
  </si>
  <si>
    <t>EBITDA Year 5</t>
  </si>
  <si>
    <t>Expected Exit Multiplier</t>
  </si>
  <si>
    <t>Implied Perpetual Growth Rate</t>
  </si>
  <si>
    <t>Fair Value Per Share</t>
  </si>
  <si>
    <t>Approach</t>
  </si>
  <si>
    <t>Perpetuity</t>
  </si>
  <si>
    <t>Multiple</t>
  </si>
  <si>
    <t>Valuation</t>
  </si>
  <si>
    <t>Enterprise Value</t>
  </si>
  <si>
    <t>less: Debt</t>
  </si>
  <si>
    <t>less: Pref Shares</t>
  </si>
  <si>
    <t>Net Residual Value</t>
  </si>
  <si>
    <t>Diluted Shares</t>
  </si>
  <si>
    <t>Equity Value / Share</t>
  </si>
  <si>
    <t>GF Hybrid Integrated Model</t>
  </si>
  <si>
    <t>Weight Based on Simulation AI Model</t>
  </si>
  <si>
    <t>GFHIM Valuation</t>
  </si>
  <si>
    <t>Equity Value Per Share</t>
  </si>
  <si>
    <t>Long-Term Growth Rate</t>
  </si>
  <si>
    <t>EBITDA Multiple</t>
  </si>
  <si>
    <t>EBITDA % of Forecast</t>
  </si>
  <si>
    <t>DCF Value 8X - 12X Multiplier</t>
  </si>
  <si>
    <t>DCF Value 2%-6% Growth Rate</t>
  </si>
  <si>
    <t>52 Week Market High/Low</t>
  </si>
  <si>
    <t>Low</t>
  </si>
  <si>
    <t>Difference</t>
  </si>
  <si>
    <t>High</t>
  </si>
  <si>
    <t>Football Field Calculation</t>
  </si>
  <si>
    <t>Transaction Summary for Leveraged Buyout</t>
  </si>
  <si>
    <t>Market Multiple</t>
  </si>
  <si>
    <t>Capitalization</t>
  </si>
  <si>
    <t>Net Offer Value to Share Holders</t>
  </si>
  <si>
    <t>Offer Per Share</t>
  </si>
  <si>
    <t>Other Assumptions</t>
  </si>
  <si>
    <t>Revolver EBITDA Borrowing Base Multiplier</t>
  </si>
  <si>
    <t>Less:</t>
  </si>
  <si>
    <t>Add:</t>
  </si>
  <si>
    <t>Revolver Availability @ Close</t>
  </si>
  <si>
    <t>Minimum Cash Balance</t>
  </si>
  <si>
    <t>Fee: Mergers &amp; Acquisition</t>
  </si>
  <si>
    <t>Goodwill Calculation</t>
  </si>
  <si>
    <t xml:space="preserve">Purchase of Equity </t>
  </si>
  <si>
    <t>Less: Book Value of Assets</t>
  </si>
  <si>
    <t>Sources and Uses of Deal Cash</t>
  </si>
  <si>
    <t>Sources</t>
  </si>
  <si>
    <t>Balance Sheet Cash</t>
  </si>
  <si>
    <t>Revolver (Senior Debt)</t>
  </si>
  <si>
    <t>Subordinated (Junk Bonds)</t>
  </si>
  <si>
    <t>Sponsor Equity (Gecko Fund)</t>
  </si>
  <si>
    <t>xEBITDA</t>
  </si>
  <si>
    <t>Fee %</t>
  </si>
  <si>
    <t>Fee $</t>
  </si>
  <si>
    <t>%</t>
  </si>
  <si>
    <t>$</t>
  </si>
  <si>
    <t>Total Sources</t>
  </si>
  <si>
    <t>Uses</t>
  </si>
  <si>
    <t>Purchase of Equity</t>
  </si>
  <si>
    <t>Retire Preferred Shares</t>
  </si>
  <si>
    <t>M&amp;A Fee</t>
  </si>
  <si>
    <t>Retire Debt</t>
  </si>
  <si>
    <t>Debt Placement Fee</t>
  </si>
  <si>
    <t>Total Uses</t>
  </si>
  <si>
    <t>Revolver</t>
  </si>
  <si>
    <t>Subordinated Debt</t>
  </si>
  <si>
    <t>Revolver Paydown</t>
  </si>
  <si>
    <t>Paydown Amounts</t>
  </si>
  <si>
    <t>Mandatory</t>
  </si>
  <si>
    <t>Variable</t>
  </si>
  <si>
    <t>Selling, General and Administrative Expenses</t>
  </si>
  <si>
    <t>BUYOUT</t>
  </si>
  <si>
    <t>Calc Current Portion of LT Debt</t>
  </si>
  <si>
    <t>Operating Forecast &amp; Free Cash Flow Assumptions</t>
  </si>
  <si>
    <t>Revolver Discretionary Paydown Calculation</t>
  </si>
  <si>
    <t>Levered Free Cash Flow</t>
  </si>
  <si>
    <t>Add Back</t>
  </si>
  <si>
    <t>Depreciation</t>
  </si>
  <si>
    <t>Amortization</t>
  </si>
  <si>
    <t>Non-Cash Interest (PIK Debt)</t>
  </si>
  <si>
    <t>Beginning Cash Balance</t>
  </si>
  <si>
    <t>Less: Minimum Cash Balance</t>
  </si>
  <si>
    <t>Plus: Levered Free Cash Flow</t>
  </si>
  <si>
    <t>Net Levered Free Cash Flow</t>
  </si>
  <si>
    <t>LFCF Before Scheduled Paydown</t>
  </si>
  <si>
    <t>Less: Scheduled Paydown</t>
  </si>
  <si>
    <t>LFCF After Scheduled Paydown</t>
  </si>
  <si>
    <t>Less: Variable Paydown</t>
  </si>
  <si>
    <t>LBO Returns Calculation</t>
  </si>
  <si>
    <t>Capital Stack</t>
  </si>
  <si>
    <t>Gecko Fund Equity</t>
  </si>
  <si>
    <t>Total Capital</t>
  </si>
  <si>
    <t>Weights</t>
  </si>
  <si>
    <t>After-Tax Cost of Each Capital Source</t>
  </si>
  <si>
    <t>Amount</t>
  </si>
  <si>
    <t>Weight</t>
  </si>
  <si>
    <t>Cost</t>
  </si>
  <si>
    <t>Discount Factors</t>
  </si>
  <si>
    <t>1-Year Factors</t>
  </si>
  <si>
    <t>Cumulative Discount</t>
  </si>
  <si>
    <t>Equity Calculations</t>
  </si>
  <si>
    <t>Exit Multiplier</t>
  </si>
  <si>
    <t>Plus: Cash</t>
  </si>
  <si>
    <t>Less: Debt</t>
  </si>
  <si>
    <t>Residual Value</t>
  </si>
  <si>
    <t>Terminal Values</t>
  </si>
  <si>
    <t>Gecko's Performance</t>
  </si>
  <si>
    <t>Gecko Fund III Initial Investment</t>
  </si>
  <si>
    <t>NPV</t>
  </si>
  <si>
    <t>IRR</t>
  </si>
  <si>
    <t>Undiscounted FCF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</si>
</sst>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1" formatCode="_(* #,##0_);_(* \(#,##0\);_(* &quot;-&quot;_);_(@_)"/>
    <numFmt numFmtId="44" formatCode="_(&quot;$&quot;* #,##0.00_);_(&quot;$&quot;* \(#,##0.00\);_(&quot;$&quot;* &quot;-&quot;??_);_(@_)"/>
    <numFmt numFmtId="43" formatCode="_(* #,##0.00_);_(* \(#,##0.00\);_(* &quot;-&quot;??_);_(@_)"/>
    <numFmt numFmtId="164" formatCode="0&quot;H&quot;"/>
    <numFmt numFmtId="165" formatCode="_(* #,##0_);_(* \(#,##0\);_(* &quot;-&quot;??_);_(@_)"/>
    <numFmt numFmtId="166" formatCode="0.0%"/>
    <numFmt numFmtId="167" formatCode="_(&quot;$&quot;* #,##0_);_(&quot;$&quot;* \(#,##0\);_(&quot;$&quot;* &quot;-&quot;??_);_(@_)"/>
    <numFmt numFmtId="168" formatCode="0&quot;F&quot;"/>
    <numFmt numFmtId="169" formatCode="_([$$-409]* #,##0.00_);_([$$-409]* \(#,##0.00\);_([$$-409]* &quot;-&quot;??_);_(@_)"/>
    <numFmt numFmtId="170" formatCode="0.0&quot;mm&quot;"/>
    <numFmt numFmtId="171" formatCode="&quot;$&quot;#,##0.0&quot;bio&quot;"/>
    <numFmt numFmtId="172" formatCode="&quot;$&quot;#,##0"/>
    <numFmt numFmtId="173" formatCode="0.0&quot;X&quot;"/>
    <numFmt numFmtId="174" formatCode="_([$$-409]* #,##0_);_([$$-409]* \(#,##0\);_([$$-409]* &quot;-&quot;??_);_(@_)"/>
    <numFmt numFmtId="175" formatCode="&quot;Y&quot;0"/>
  </numFmts>
  <fonts count="10" x14ac:knownFonts="1">
    <font>
      <sz val="11"/>
      <color theme="1"/>
      <name val="Calibri"/>
      <family val="2"/>
      <scheme val="minor"/>
    </font>
    <font>
      <sz val="11"/>
      <color theme="1"/>
      <name val="Calibri"/>
      <family val="2"/>
      <scheme val="minor"/>
    </font>
    <font>
      <sz val="18"/>
      <color theme="3"/>
      <name val="Calibri Light"/>
      <family val="2"/>
      <scheme val="major"/>
    </font>
    <font>
      <i/>
      <sz val="10"/>
      <color theme="1"/>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sz val="8"/>
      <color theme="1"/>
      <name val="Calibri"/>
      <family val="2"/>
      <scheme val="minor"/>
    </font>
    <font>
      <b/>
      <sz val="18"/>
      <color theme="3"/>
      <name val="Calibri Light"/>
      <family val="2"/>
      <scheme val="major"/>
    </font>
    <font>
      <b/>
      <sz val="14"/>
      <color theme="1"/>
      <name val="Calibri"/>
      <family val="2"/>
      <scheme val="minor"/>
    </font>
  </fonts>
  <fills count="22">
    <fill>
      <patternFill patternType="none"/>
    </fill>
    <fill>
      <patternFill patternType="gray125"/>
    </fill>
    <fill>
      <patternFill patternType="solid">
        <fgColor theme="9"/>
        <bgColor indexed="64"/>
      </patternFill>
    </fill>
    <fill>
      <patternFill patternType="solid">
        <fgColor theme="7" tint="0.39997558519241921"/>
        <bgColor indexed="64"/>
      </patternFill>
    </fill>
    <fill>
      <patternFill patternType="solid">
        <fgColor theme="0"/>
        <bgColor indexed="64"/>
      </patternFill>
    </fill>
    <fill>
      <patternFill patternType="solid">
        <fgColor theme="7" tint="-0.24994659260841701"/>
        <bgColor indexed="64"/>
      </patternFill>
    </fill>
    <fill>
      <patternFill patternType="solid">
        <fgColor theme="4"/>
      </patternFill>
    </fill>
    <fill>
      <patternFill patternType="solid">
        <fgColor theme="7"/>
      </patternFill>
    </fill>
    <fill>
      <patternFill patternType="solid">
        <fgColor theme="8"/>
      </patternFill>
    </fill>
    <fill>
      <patternFill patternType="solid">
        <fgColor theme="9"/>
      </patternFill>
    </fill>
    <fill>
      <patternFill patternType="solid">
        <fgColor theme="1"/>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8"/>
        <bgColor indexed="64"/>
      </patternFill>
    </fill>
    <fill>
      <patternFill patternType="solid">
        <fgColor theme="8" tint="0.79998168889431442"/>
        <bgColor indexed="64"/>
      </patternFill>
    </fill>
    <fill>
      <patternFill patternType="solid">
        <fgColor theme="2"/>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7" tint="0.79998168889431442"/>
        <bgColor indexed="64"/>
      </patternFill>
    </fill>
  </fills>
  <borders count="49">
    <border>
      <left/>
      <right/>
      <top/>
      <bottom/>
      <diagonal/>
    </border>
    <border>
      <left/>
      <right/>
      <top style="thin">
        <color indexed="64"/>
      </top>
      <bottom/>
      <diagonal/>
    </border>
    <border>
      <left/>
      <right/>
      <top/>
      <bottom style="thin">
        <color indexed="64"/>
      </bottom>
      <diagonal/>
    </border>
    <border>
      <left/>
      <right/>
      <top/>
      <bottom style="double">
        <color indexed="64"/>
      </bottom>
      <diagonal/>
    </border>
    <border>
      <left/>
      <right/>
      <top style="thin">
        <color indexed="64"/>
      </top>
      <bottom style="double">
        <color indexed="64"/>
      </bottom>
      <diagonal/>
    </border>
    <border>
      <left/>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style="medium">
        <color indexed="64"/>
      </right>
      <top/>
      <bottom style="thin">
        <color indexed="64"/>
      </bottom>
      <diagonal/>
    </border>
    <border>
      <left/>
      <right style="medium">
        <color indexed="64"/>
      </right>
      <top/>
      <bottom style="double">
        <color indexed="64"/>
      </bottom>
      <diagonal/>
    </border>
    <border>
      <left/>
      <right style="medium">
        <color indexed="64"/>
      </right>
      <top style="thin">
        <color indexed="64"/>
      </top>
      <bottom style="double">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s>
  <cellStyleXfs count="13">
    <xf numFmtId="0" fontId="0" fillId="0" borderId="0"/>
    <xf numFmtId="0" fontId="2" fillId="0" borderId="0" applyNumberFormat="0" applyFill="0" applyBorder="0" applyAlignment="0" applyProtection="0"/>
    <xf numFmtId="164" fontId="1" fillId="2"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168" fontId="1" fillId="3" borderId="0"/>
    <xf numFmtId="168" fontId="1" fillId="5" borderId="0"/>
    <xf numFmtId="41" fontId="1" fillId="0" borderId="0" applyFont="0" applyFill="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cellStyleXfs>
  <cellXfs count="240">
    <xf numFmtId="0" fontId="0" fillId="0" borderId="0" xfId="0"/>
    <xf numFmtId="165" fontId="0" fillId="0" borderId="0" xfId="3" applyNumberFormat="1" applyFont="1"/>
    <xf numFmtId="9" fontId="0" fillId="0" borderId="0" xfId="4" applyFont="1"/>
    <xf numFmtId="165" fontId="0" fillId="0" borderId="1" xfId="3" applyNumberFormat="1" applyFont="1" applyBorder="1"/>
    <xf numFmtId="165" fontId="0" fillId="0" borderId="0" xfId="3" applyNumberFormat="1" applyFont="1" applyBorder="1"/>
    <xf numFmtId="165" fontId="0" fillId="0" borderId="2" xfId="3" applyNumberFormat="1" applyFont="1" applyBorder="1"/>
    <xf numFmtId="165" fontId="0" fillId="0" borderId="4" xfId="3" applyNumberFormat="1" applyFont="1" applyBorder="1"/>
    <xf numFmtId="165" fontId="0" fillId="4" borderId="1" xfId="3" applyNumberFormat="1" applyFont="1" applyFill="1" applyBorder="1"/>
    <xf numFmtId="165" fontId="0" fillId="0" borderId="2" xfId="0" applyNumberFormat="1" applyBorder="1"/>
    <xf numFmtId="0" fontId="0" fillId="0" borderId="2" xfId="0" applyBorder="1"/>
    <xf numFmtId="165" fontId="0" fillId="0" borderId="3" xfId="3" applyNumberFormat="1" applyFont="1" applyBorder="1"/>
    <xf numFmtId="165" fontId="0" fillId="0" borderId="5" xfId="3" applyNumberFormat="1" applyFont="1" applyBorder="1"/>
    <xf numFmtId="165" fontId="0" fillId="0" borderId="2" xfId="3" applyNumberFormat="1" applyFont="1" applyFill="1" applyBorder="1"/>
    <xf numFmtId="165" fontId="0" fillId="0" borderId="1" xfId="3" applyNumberFormat="1" applyFont="1" applyFill="1" applyBorder="1"/>
    <xf numFmtId="9" fontId="0" fillId="0" borderId="0" xfId="4" applyFont="1" applyBorder="1"/>
    <xf numFmtId="10" fontId="0" fillId="0" borderId="0" xfId="4" applyNumberFormat="1" applyFont="1" applyBorder="1"/>
    <xf numFmtId="43" fontId="0" fillId="0" borderId="0" xfId="3" applyFont="1"/>
    <xf numFmtId="165" fontId="0" fillId="0" borderId="6" xfId="3" applyNumberFormat="1" applyFont="1" applyBorder="1"/>
    <xf numFmtId="165" fontId="0" fillId="11" borderId="9" xfId="3" applyNumberFormat="1" applyFont="1" applyFill="1" applyBorder="1"/>
    <xf numFmtId="165" fontId="0" fillId="4" borderId="0" xfId="3" applyNumberFormat="1" applyFont="1" applyFill="1" applyBorder="1"/>
    <xf numFmtId="174" fontId="0" fillId="0" borderId="17" xfId="0" applyNumberFormat="1" applyBorder="1"/>
    <xf numFmtId="173" fontId="0" fillId="0" borderId="17" xfId="0" applyNumberFormat="1" applyBorder="1"/>
    <xf numFmtId="165" fontId="0" fillId="0" borderId="18" xfId="3" applyNumberFormat="1" applyFont="1" applyBorder="1"/>
    <xf numFmtId="165" fontId="0" fillId="0" borderId="17" xfId="3" applyNumberFormat="1" applyFont="1" applyBorder="1"/>
    <xf numFmtId="169" fontId="0" fillId="14" borderId="23" xfId="3" applyNumberFormat="1" applyFont="1" applyFill="1" applyBorder="1"/>
    <xf numFmtId="174" fontId="0" fillId="0" borderId="22" xfId="3" applyNumberFormat="1" applyFont="1" applyBorder="1"/>
    <xf numFmtId="173" fontId="0" fillId="0" borderId="15" xfId="0" applyNumberFormat="1" applyBorder="1"/>
    <xf numFmtId="165" fontId="0" fillId="0" borderId="23" xfId="3" applyNumberFormat="1" applyFont="1" applyBorder="1"/>
    <xf numFmtId="165" fontId="0" fillId="0" borderId="24" xfId="3" applyNumberFormat="1" applyFont="1" applyBorder="1"/>
    <xf numFmtId="165" fontId="0" fillId="14" borderId="23" xfId="3" applyNumberFormat="1" applyFont="1" applyFill="1" applyBorder="1"/>
    <xf numFmtId="0" fontId="0" fillId="15" borderId="13" xfId="0" applyFill="1" applyBorder="1"/>
    <xf numFmtId="0" fontId="0" fillId="15" borderId="14" xfId="0" applyFill="1" applyBorder="1"/>
    <xf numFmtId="0" fontId="0" fillId="15" borderId="15" xfId="0" applyFill="1" applyBorder="1"/>
    <xf numFmtId="0" fontId="0" fillId="15" borderId="16" xfId="0" applyFill="1" applyBorder="1"/>
    <xf numFmtId="0" fontId="0" fillId="15" borderId="0" xfId="0" applyFill="1"/>
    <xf numFmtId="0" fontId="0" fillId="15" borderId="17" xfId="0" applyFill="1" applyBorder="1"/>
    <xf numFmtId="0" fontId="0" fillId="15" borderId="19" xfId="0" applyFill="1" applyBorder="1"/>
    <xf numFmtId="0" fontId="0" fillId="15" borderId="20" xfId="0" applyFill="1" applyBorder="1"/>
    <xf numFmtId="0" fontId="6" fillId="15" borderId="20" xfId="0" applyFont="1" applyFill="1" applyBorder="1"/>
    <xf numFmtId="0" fontId="0" fillId="15" borderId="23" xfId="0" applyFill="1" applyBorder="1"/>
    <xf numFmtId="0" fontId="7" fillId="15" borderId="14" xfId="0" applyFont="1" applyFill="1" applyBorder="1"/>
    <xf numFmtId="0" fontId="0" fillId="0" borderId="17" xfId="0" applyBorder="1" applyAlignment="1">
      <alignment horizontal="right"/>
    </xf>
    <xf numFmtId="165" fontId="0" fillId="0" borderId="17" xfId="3" applyNumberFormat="1" applyFont="1" applyBorder="1" applyAlignment="1"/>
    <xf numFmtId="0" fontId="0" fillId="0" borderId="17" xfId="0" applyBorder="1"/>
    <xf numFmtId="165" fontId="0" fillId="0" borderId="0" xfId="0" applyNumberFormat="1"/>
    <xf numFmtId="0" fontId="0" fillId="0" borderId="23" xfId="0" applyBorder="1"/>
    <xf numFmtId="169" fontId="0" fillId="0" borderId="25" xfId="0" applyNumberFormat="1" applyBorder="1" applyAlignment="1">
      <alignment horizontal="right"/>
    </xf>
    <xf numFmtId="165" fontId="0" fillId="0" borderId="26" xfId="3" applyNumberFormat="1" applyFont="1" applyBorder="1"/>
    <xf numFmtId="165" fontId="0" fillId="0" borderId="27" xfId="3" applyNumberFormat="1" applyFont="1" applyBorder="1"/>
    <xf numFmtId="9" fontId="0" fillId="0" borderId="25" xfId="4" applyFont="1" applyBorder="1" applyAlignment="1">
      <alignment horizontal="right"/>
    </xf>
    <xf numFmtId="9" fontId="0" fillId="0" borderId="26" xfId="4" applyFont="1" applyBorder="1"/>
    <xf numFmtId="0" fontId="0" fillId="0" borderId="26" xfId="0" applyBorder="1"/>
    <xf numFmtId="0" fontId="0" fillId="0" borderId="28" xfId="0" applyBorder="1"/>
    <xf numFmtId="0" fontId="0" fillId="0" borderId="25" xfId="0" applyBorder="1" applyAlignment="1">
      <alignment horizontal="right"/>
    </xf>
    <xf numFmtId="173" fontId="0" fillId="0" borderId="26" xfId="0" applyNumberFormat="1" applyBorder="1"/>
    <xf numFmtId="9" fontId="0" fillId="0" borderId="26" xfId="0" applyNumberFormat="1" applyBorder="1"/>
    <xf numFmtId="165" fontId="0" fillId="0" borderId="26" xfId="0" applyNumberFormat="1" applyBorder="1"/>
    <xf numFmtId="0" fontId="0" fillId="17" borderId="0" xfId="0" applyFill="1"/>
    <xf numFmtId="165" fontId="0" fillId="17" borderId="0" xfId="3" applyNumberFormat="1" applyFont="1" applyFill="1" applyBorder="1"/>
    <xf numFmtId="165" fontId="0" fillId="17" borderId="1" xfId="3" applyNumberFormat="1" applyFont="1" applyFill="1" applyBorder="1"/>
    <xf numFmtId="165" fontId="0" fillId="17" borderId="2" xfId="3" applyNumberFormat="1" applyFont="1" applyFill="1" applyBorder="1"/>
    <xf numFmtId="165" fontId="0" fillId="17" borderId="3" xfId="3" applyNumberFormat="1" applyFont="1" applyFill="1" applyBorder="1"/>
    <xf numFmtId="165" fontId="0" fillId="17" borderId="4" xfId="3" applyNumberFormat="1" applyFont="1" applyFill="1" applyBorder="1"/>
    <xf numFmtId="165" fontId="0" fillId="17" borderId="5" xfId="3" applyNumberFormat="1" applyFont="1" applyFill="1" applyBorder="1"/>
    <xf numFmtId="0" fontId="0" fillId="0" borderId="28" xfId="3" applyNumberFormat="1" applyFont="1" applyBorder="1"/>
    <xf numFmtId="165" fontId="0" fillId="0" borderId="17" xfId="0" applyNumberFormat="1" applyBorder="1"/>
    <xf numFmtId="9" fontId="0" fillId="17" borderId="0" xfId="4" applyFont="1" applyFill="1" applyBorder="1"/>
    <xf numFmtId="9" fontId="0" fillId="0" borderId="17" xfId="4" applyFont="1" applyBorder="1"/>
    <xf numFmtId="165" fontId="0" fillId="0" borderId="29" xfId="0" applyNumberFormat="1" applyBorder="1"/>
    <xf numFmtId="165" fontId="0" fillId="0" borderId="29" xfId="3" applyNumberFormat="1" applyFont="1" applyBorder="1"/>
    <xf numFmtId="165" fontId="0" fillId="0" borderId="30" xfId="3" applyNumberFormat="1" applyFont="1" applyBorder="1"/>
    <xf numFmtId="167" fontId="0" fillId="0" borderId="0" xfId="5" applyNumberFormat="1" applyFont="1" applyBorder="1"/>
    <xf numFmtId="167" fontId="0" fillId="17" borderId="0" xfId="5" applyNumberFormat="1" applyFont="1" applyFill="1" applyBorder="1"/>
    <xf numFmtId="0" fontId="0" fillId="0" borderId="29" xfId="0" applyBorder="1"/>
    <xf numFmtId="165" fontId="0" fillId="0" borderId="31" xfId="3" applyNumberFormat="1" applyFont="1" applyBorder="1"/>
    <xf numFmtId="1" fontId="0" fillId="0" borderId="0" xfId="0" applyNumberFormat="1"/>
    <xf numFmtId="1" fontId="0" fillId="0" borderId="17" xfId="0" applyNumberFormat="1" applyBorder="1"/>
    <xf numFmtId="165" fontId="0" fillId="4" borderId="17" xfId="3" applyNumberFormat="1" applyFont="1" applyFill="1" applyBorder="1"/>
    <xf numFmtId="165" fontId="0" fillId="4" borderId="18" xfId="3" applyNumberFormat="1" applyFont="1" applyFill="1" applyBorder="1"/>
    <xf numFmtId="165" fontId="0" fillId="0" borderId="32" xfId="3" applyNumberFormat="1" applyFont="1" applyBorder="1"/>
    <xf numFmtId="165" fontId="0" fillId="0" borderId="18" xfId="3" applyNumberFormat="1" applyFont="1" applyFill="1" applyBorder="1"/>
    <xf numFmtId="165" fontId="0" fillId="4" borderId="5" xfId="3" applyNumberFormat="1" applyFont="1" applyFill="1" applyBorder="1"/>
    <xf numFmtId="165" fontId="0" fillId="0" borderId="33" xfId="3" applyNumberFormat="1" applyFont="1" applyBorder="1"/>
    <xf numFmtId="165" fontId="0" fillId="0" borderId="34" xfId="3" applyNumberFormat="1" applyFont="1" applyBorder="1"/>
    <xf numFmtId="164" fontId="4" fillId="2" borderId="11" xfId="2" applyFont="1" applyBorder="1"/>
    <xf numFmtId="164" fontId="4" fillId="2" borderId="12" xfId="2" applyFont="1" applyBorder="1"/>
    <xf numFmtId="168" fontId="4" fillId="5" borderId="12" xfId="7" applyFont="1" applyBorder="1"/>
    <xf numFmtId="168" fontId="4" fillId="5" borderId="21" xfId="7" applyFont="1" applyBorder="1"/>
    <xf numFmtId="164" fontId="4" fillId="16" borderId="12" xfId="2" applyFont="1" applyFill="1" applyBorder="1" applyAlignment="1">
      <alignment horizontal="center"/>
    </xf>
    <xf numFmtId="0" fontId="8" fillId="0" borderId="0" xfId="1" applyFont="1"/>
    <xf numFmtId="0" fontId="0" fillId="0" borderId="16" xfId="0" applyBorder="1"/>
    <xf numFmtId="0" fontId="0" fillId="0" borderId="20" xfId="0" applyBorder="1"/>
    <xf numFmtId="166" fontId="0" fillId="4" borderId="0" xfId="4" applyNumberFormat="1" applyFont="1" applyFill="1" applyBorder="1"/>
    <xf numFmtId="166" fontId="0" fillId="0" borderId="0" xfId="4" applyNumberFormat="1" applyFont="1" applyBorder="1"/>
    <xf numFmtId="166" fontId="0" fillId="0" borderId="17" xfId="4" applyNumberFormat="1" applyFont="1" applyBorder="1"/>
    <xf numFmtId="9" fontId="0" fillId="4" borderId="0" xfId="4" applyFont="1" applyFill="1" applyBorder="1"/>
    <xf numFmtId="165" fontId="0" fillId="0" borderId="20" xfId="3" applyNumberFormat="1" applyFont="1" applyBorder="1"/>
    <xf numFmtId="164" fontId="4" fillId="2" borderId="11" xfId="0" applyNumberFormat="1" applyFont="1" applyFill="1" applyBorder="1"/>
    <xf numFmtId="164" fontId="4" fillId="2" borderId="12" xfId="0" applyNumberFormat="1" applyFont="1" applyFill="1" applyBorder="1"/>
    <xf numFmtId="168" fontId="4" fillId="5" borderId="12" xfId="0" applyNumberFormat="1" applyFont="1" applyFill="1" applyBorder="1"/>
    <xf numFmtId="168" fontId="4" fillId="5" borderId="21" xfId="0" applyNumberFormat="1" applyFont="1" applyFill="1" applyBorder="1"/>
    <xf numFmtId="0" fontId="0" fillId="18" borderId="16" xfId="0" applyFill="1" applyBorder="1"/>
    <xf numFmtId="0" fontId="0" fillId="18" borderId="0" xfId="0" applyFill="1"/>
    <xf numFmtId="0" fontId="0" fillId="18" borderId="17" xfId="0" applyFill="1" applyBorder="1"/>
    <xf numFmtId="0" fontId="0" fillId="18" borderId="19" xfId="0" applyFill="1" applyBorder="1"/>
    <xf numFmtId="0" fontId="0" fillId="18" borderId="20" xfId="0" applyFill="1" applyBorder="1"/>
    <xf numFmtId="0" fontId="0" fillId="18" borderId="23" xfId="0" applyFill="1" applyBorder="1"/>
    <xf numFmtId="0" fontId="0" fillId="18" borderId="0" xfId="0" applyFill="1" applyAlignment="1">
      <alignment horizontal="left" indent="1"/>
    </xf>
    <xf numFmtId="0" fontId="0" fillId="18" borderId="0" xfId="0" applyFill="1" applyAlignment="1">
      <alignment horizontal="left"/>
    </xf>
    <xf numFmtId="0" fontId="3" fillId="18" borderId="0" xfId="0" applyFont="1" applyFill="1"/>
    <xf numFmtId="0" fontId="0" fillId="10" borderId="0" xfId="0" applyFill="1"/>
    <xf numFmtId="0" fontId="0" fillId="0" borderId="14" xfId="0" applyBorder="1"/>
    <xf numFmtId="0" fontId="0" fillId="0" borderId="15" xfId="0" applyBorder="1"/>
    <xf numFmtId="165" fontId="0" fillId="0" borderId="16" xfId="3" applyNumberFormat="1" applyFont="1" applyBorder="1"/>
    <xf numFmtId="9" fontId="0" fillId="0" borderId="16" xfId="4" applyFont="1" applyBorder="1"/>
    <xf numFmtId="172" fontId="0" fillId="0" borderId="16" xfId="5" applyNumberFormat="1" applyFont="1" applyBorder="1"/>
    <xf numFmtId="10" fontId="0" fillId="0" borderId="33" xfId="4" applyNumberFormat="1" applyFont="1" applyBorder="1"/>
    <xf numFmtId="173" fontId="0" fillId="0" borderId="16" xfId="3" applyNumberFormat="1" applyFont="1" applyBorder="1"/>
    <xf numFmtId="173" fontId="0" fillId="0" borderId="0" xfId="3" applyNumberFormat="1" applyFont="1" applyBorder="1"/>
    <xf numFmtId="166" fontId="0" fillId="0" borderId="19" xfId="4" applyNumberFormat="1" applyFont="1" applyBorder="1"/>
    <xf numFmtId="0" fontId="0" fillId="10" borderId="13" xfId="0" applyFill="1" applyBorder="1"/>
    <xf numFmtId="0" fontId="0" fillId="10" borderId="14" xfId="0" applyFill="1" applyBorder="1"/>
    <xf numFmtId="0" fontId="8" fillId="0" borderId="0" xfId="1" applyFont="1" applyBorder="1"/>
    <xf numFmtId="0" fontId="0" fillId="18" borderId="13" xfId="0" applyFill="1" applyBorder="1"/>
    <xf numFmtId="0" fontId="0" fillId="18" borderId="14" xfId="0" applyFill="1" applyBorder="1"/>
    <xf numFmtId="0" fontId="0" fillId="18" borderId="15" xfId="0" applyFill="1" applyBorder="1"/>
    <xf numFmtId="0" fontId="4" fillId="18" borderId="0" xfId="0" applyFont="1" applyFill="1"/>
    <xf numFmtId="165" fontId="1" fillId="7" borderId="37" xfId="10" applyNumberFormat="1" applyFont="1" applyBorder="1" applyAlignment="1">
      <alignment horizontal="center"/>
    </xf>
    <xf numFmtId="165" fontId="1" fillId="6" borderId="38" xfId="9" applyNumberFormat="1" applyFont="1" applyBorder="1" applyAlignment="1">
      <alignment horizontal="center"/>
    </xf>
    <xf numFmtId="170" fontId="0" fillId="0" borderId="16" xfId="0" applyNumberFormat="1" applyBorder="1"/>
    <xf numFmtId="170" fontId="0" fillId="0" borderId="17" xfId="0" applyNumberFormat="1" applyBorder="1"/>
    <xf numFmtId="169" fontId="0" fillId="0" borderId="16" xfId="3" applyNumberFormat="1" applyFont="1" applyBorder="1"/>
    <xf numFmtId="169" fontId="0" fillId="0" borderId="17" xfId="3" applyNumberFormat="1" applyFont="1" applyBorder="1"/>
    <xf numFmtId="166" fontId="0" fillId="0" borderId="16" xfId="4" applyNumberFormat="1" applyFont="1" applyBorder="1"/>
    <xf numFmtId="169" fontId="0" fillId="3" borderId="19" xfId="3" applyNumberFormat="1" applyFont="1" applyFill="1" applyBorder="1"/>
    <xf numFmtId="166" fontId="0" fillId="11" borderId="7" xfId="4" applyNumberFormat="1" applyFont="1" applyFill="1" applyBorder="1"/>
    <xf numFmtId="165" fontId="0" fillId="10" borderId="0" xfId="3" applyNumberFormat="1" applyFont="1" applyFill="1" applyBorder="1"/>
    <xf numFmtId="9" fontId="0" fillId="11" borderId="39" xfId="4" applyFont="1" applyFill="1" applyBorder="1"/>
    <xf numFmtId="9" fontId="0" fillId="11" borderId="40" xfId="4" applyFont="1" applyFill="1" applyBorder="1"/>
    <xf numFmtId="165" fontId="0" fillId="11" borderId="41" xfId="3" applyNumberFormat="1" applyFont="1" applyFill="1" applyBorder="1"/>
    <xf numFmtId="165" fontId="0" fillId="0" borderId="42" xfId="3" applyNumberFormat="1" applyFont="1" applyBorder="1"/>
    <xf numFmtId="165" fontId="0" fillId="10" borderId="16" xfId="3" applyNumberFormat="1" applyFont="1" applyFill="1" applyBorder="1"/>
    <xf numFmtId="9" fontId="1" fillId="8" borderId="8" xfId="11" applyNumberFormat="1" applyFont="1" applyBorder="1"/>
    <xf numFmtId="166" fontId="0" fillId="11" borderId="44" xfId="4" applyNumberFormat="1" applyFont="1" applyFill="1" applyBorder="1"/>
    <xf numFmtId="165" fontId="0" fillId="0" borderId="45" xfId="3" applyNumberFormat="1" applyFont="1" applyBorder="1"/>
    <xf numFmtId="165" fontId="0" fillId="0" borderId="14" xfId="3" applyNumberFormat="1" applyFont="1" applyBorder="1"/>
    <xf numFmtId="165" fontId="0" fillId="0" borderId="15" xfId="3" applyNumberFormat="1" applyFont="1" applyBorder="1"/>
    <xf numFmtId="166" fontId="0" fillId="11" borderId="43" xfId="4" applyNumberFormat="1" applyFont="1" applyFill="1" applyBorder="1"/>
    <xf numFmtId="173" fontId="1" fillId="8" borderId="8" xfId="11" applyNumberFormat="1" applyFont="1" applyBorder="1"/>
    <xf numFmtId="9" fontId="0" fillId="11" borderId="46" xfId="4" applyFont="1" applyFill="1" applyBorder="1"/>
    <xf numFmtId="165" fontId="0" fillId="11" borderId="47" xfId="3" applyNumberFormat="1" applyFont="1" applyFill="1" applyBorder="1"/>
    <xf numFmtId="10" fontId="0" fillId="4" borderId="0" xfId="4" applyNumberFormat="1" applyFont="1" applyFill="1" applyBorder="1"/>
    <xf numFmtId="10" fontId="0" fillId="17" borderId="0" xfId="4" applyNumberFormat="1" applyFont="1" applyFill="1" applyBorder="1"/>
    <xf numFmtId="10" fontId="0" fillId="4" borderId="17" xfId="4" applyNumberFormat="1" applyFont="1" applyFill="1" applyBorder="1"/>
    <xf numFmtId="165" fontId="0" fillId="4" borderId="0" xfId="3" applyNumberFormat="1" applyFont="1" applyFill="1" applyBorder="1" applyAlignment="1">
      <alignment shrinkToFit="1"/>
    </xf>
    <xf numFmtId="165" fontId="0" fillId="17" borderId="0" xfId="3" applyNumberFormat="1" applyFont="1" applyFill="1" applyBorder="1" applyAlignment="1">
      <alignment shrinkToFit="1"/>
    </xf>
    <xf numFmtId="165" fontId="0" fillId="17" borderId="20" xfId="3" applyNumberFormat="1" applyFont="1" applyFill="1" applyBorder="1"/>
    <xf numFmtId="0" fontId="0" fillId="10" borderId="21" xfId="0" applyFill="1" applyBorder="1"/>
    <xf numFmtId="168" fontId="4" fillId="5" borderId="11" xfId="7" applyFont="1" applyBorder="1"/>
    <xf numFmtId="169" fontId="0" fillId="0" borderId="16" xfId="0" applyNumberFormat="1" applyBorder="1"/>
    <xf numFmtId="171" fontId="0" fillId="0" borderId="16" xfId="0" applyNumberFormat="1" applyBorder="1"/>
    <xf numFmtId="41" fontId="0" fillId="0" borderId="16" xfId="8" applyFont="1" applyBorder="1"/>
    <xf numFmtId="10" fontId="0" fillId="3" borderId="16" xfId="4" applyNumberFormat="1" applyFont="1" applyFill="1" applyBorder="1"/>
    <xf numFmtId="0" fontId="4" fillId="12" borderId="11" xfId="0" applyFont="1" applyFill="1" applyBorder="1" applyAlignment="1">
      <alignment horizontal="left"/>
    </xf>
    <xf numFmtId="0" fontId="4" fillId="12" borderId="12" xfId="0" applyFont="1" applyFill="1" applyBorder="1" applyAlignment="1">
      <alignment horizontal="left"/>
    </xf>
    <xf numFmtId="0" fontId="4" fillId="12" borderId="21" xfId="0" applyFont="1" applyFill="1" applyBorder="1" applyAlignment="1">
      <alignment horizontal="left"/>
    </xf>
    <xf numFmtId="9" fontId="0" fillId="4" borderId="20" xfId="4" applyFont="1" applyFill="1" applyBorder="1"/>
    <xf numFmtId="165" fontId="0" fillId="4" borderId="20" xfId="3" applyNumberFormat="1" applyFont="1" applyFill="1" applyBorder="1"/>
    <xf numFmtId="0" fontId="0" fillId="10" borderId="15" xfId="0" applyFill="1" applyBorder="1"/>
    <xf numFmtId="0" fontId="0" fillId="4" borderId="0" xfId="0" applyFill="1"/>
    <xf numFmtId="0" fontId="5" fillId="4" borderId="0" xfId="0" applyFont="1" applyFill="1"/>
    <xf numFmtId="165" fontId="5" fillId="4" borderId="0" xfId="3" applyNumberFormat="1" applyFont="1" applyFill="1" applyAlignment="1">
      <alignment horizontal="center"/>
    </xf>
    <xf numFmtId="165" fontId="5" fillId="4" borderId="0" xfId="3" applyNumberFormat="1" applyFont="1" applyFill="1"/>
    <xf numFmtId="0" fontId="5" fillId="4" borderId="0" xfId="0" applyFont="1" applyFill="1" applyAlignment="1">
      <alignment horizontal="right"/>
    </xf>
    <xf numFmtId="0" fontId="4" fillId="12" borderId="12" xfId="0" applyFont="1" applyFill="1" applyBorder="1" applyAlignment="1">
      <alignment horizontal="right"/>
    </xf>
    <xf numFmtId="0" fontId="4" fillId="12" borderId="48" xfId="0" applyFont="1" applyFill="1" applyBorder="1" applyAlignment="1">
      <alignment horizontal="left"/>
    </xf>
    <xf numFmtId="165" fontId="0" fillId="10" borderId="48" xfId="3" applyNumberFormat="1" applyFont="1" applyFill="1" applyBorder="1"/>
    <xf numFmtId="165" fontId="0" fillId="19" borderId="48" xfId="3" applyNumberFormat="1" applyFont="1" applyFill="1" applyBorder="1" applyAlignment="1">
      <alignment horizontal="center" vertical="center" wrapText="1"/>
    </xf>
    <xf numFmtId="165" fontId="0" fillId="14" borderId="11" xfId="3" applyNumberFormat="1" applyFont="1" applyFill="1" applyBorder="1" applyAlignment="1">
      <alignment horizontal="center" wrapText="1"/>
    </xf>
    <xf numFmtId="165" fontId="0" fillId="20" borderId="48" xfId="3" applyNumberFormat="1" applyFont="1" applyFill="1" applyBorder="1" applyAlignment="1">
      <alignment horizontal="center" wrapText="1"/>
    </xf>
    <xf numFmtId="10" fontId="0" fillId="0" borderId="17" xfId="4" applyNumberFormat="1" applyFont="1" applyBorder="1"/>
    <xf numFmtId="0" fontId="0" fillId="12" borderId="12" xfId="0" applyFill="1" applyBorder="1"/>
    <xf numFmtId="0" fontId="0" fillId="12" borderId="21" xfId="0" applyFill="1" applyBorder="1"/>
    <xf numFmtId="165" fontId="0" fillId="0" borderId="13" xfId="3" applyNumberFormat="1" applyFont="1" applyBorder="1"/>
    <xf numFmtId="165" fontId="0" fillId="0" borderId="19" xfId="3" applyNumberFormat="1" applyFont="1" applyBorder="1"/>
    <xf numFmtId="173" fontId="0" fillId="0" borderId="25" xfId="3" applyNumberFormat="1" applyFont="1" applyBorder="1"/>
    <xf numFmtId="173" fontId="0" fillId="0" borderId="26" xfId="3" applyNumberFormat="1" applyFont="1" applyBorder="1"/>
    <xf numFmtId="173" fontId="0" fillId="0" borderId="28" xfId="3" applyNumberFormat="1" applyFont="1" applyBorder="1"/>
    <xf numFmtId="165" fontId="0" fillId="0" borderId="25" xfId="3" applyNumberFormat="1" applyFont="1" applyBorder="1"/>
    <xf numFmtId="165" fontId="0" fillId="0" borderId="28" xfId="3" applyNumberFormat="1" applyFont="1" applyBorder="1"/>
    <xf numFmtId="165" fontId="0" fillId="14" borderId="48" xfId="3" applyNumberFormat="1" applyFont="1" applyFill="1" applyBorder="1" applyAlignment="1">
      <alignment horizontal="center" vertical="center" wrapText="1"/>
    </xf>
    <xf numFmtId="0" fontId="4" fillId="12" borderId="11" xfId="0" applyFont="1" applyFill="1" applyBorder="1"/>
    <xf numFmtId="165" fontId="0" fillId="10" borderId="20" xfId="3" applyNumberFormat="1" applyFont="1" applyFill="1" applyBorder="1"/>
    <xf numFmtId="165" fontId="0" fillId="10" borderId="23" xfId="3" applyNumberFormat="1" applyFont="1" applyFill="1" applyBorder="1"/>
    <xf numFmtId="165" fontId="0" fillId="19" borderId="21" xfId="3" applyNumberFormat="1" applyFont="1" applyFill="1" applyBorder="1" applyAlignment="1">
      <alignment horizontal="center" vertical="center" wrapText="1"/>
    </xf>
    <xf numFmtId="173" fontId="0" fillId="0" borderId="15" xfId="3" applyNumberFormat="1" applyFont="1" applyBorder="1"/>
    <xf numFmtId="173" fontId="0" fillId="0" borderId="17" xfId="3" applyNumberFormat="1" applyFont="1" applyBorder="1"/>
    <xf numFmtId="173" fontId="0" fillId="0" borderId="23" xfId="3" applyNumberFormat="1" applyFont="1" applyBorder="1"/>
    <xf numFmtId="165" fontId="0" fillId="12" borderId="12" xfId="3" applyNumberFormat="1" applyFont="1" applyFill="1" applyBorder="1"/>
    <xf numFmtId="165" fontId="0" fillId="12" borderId="21" xfId="3" applyNumberFormat="1" applyFont="1" applyFill="1" applyBorder="1"/>
    <xf numFmtId="165" fontId="0" fillId="10" borderId="17" xfId="3" applyNumberFormat="1" applyFont="1" applyFill="1" applyBorder="1"/>
    <xf numFmtId="175" fontId="0" fillId="14" borderId="48" xfId="0" applyNumberFormat="1" applyFill="1" applyBorder="1" applyAlignment="1">
      <alignment horizontal="center" vertical="center" wrapText="1"/>
    </xf>
    <xf numFmtId="174" fontId="0" fillId="0" borderId="25" xfId="0" applyNumberFormat="1" applyBorder="1"/>
    <xf numFmtId="174" fontId="0" fillId="0" borderId="26" xfId="0" applyNumberFormat="1" applyBorder="1"/>
    <xf numFmtId="174" fontId="0" fillId="0" borderId="28" xfId="0" applyNumberFormat="1" applyBorder="1"/>
    <xf numFmtId="0" fontId="0" fillId="10" borderId="11" xfId="0" applyFill="1" applyBorder="1"/>
    <xf numFmtId="9" fontId="0" fillId="0" borderId="25" xfId="4" applyFont="1" applyBorder="1"/>
    <xf numFmtId="9" fontId="0" fillId="0" borderId="28" xfId="4" applyFont="1" applyBorder="1"/>
    <xf numFmtId="174" fontId="0" fillId="0" borderId="14" xfId="3" applyNumberFormat="1" applyFont="1" applyBorder="1"/>
    <xf numFmtId="165" fontId="0" fillId="10" borderId="11" xfId="3" applyNumberFormat="1" applyFont="1" applyFill="1" applyBorder="1"/>
    <xf numFmtId="165" fontId="0" fillId="10" borderId="21" xfId="3" applyNumberFormat="1" applyFont="1" applyFill="1" applyBorder="1"/>
    <xf numFmtId="165" fontId="0" fillId="0" borderId="13" xfId="0" applyNumberFormat="1" applyBorder="1"/>
    <xf numFmtId="165" fontId="0" fillId="0" borderId="14" xfId="0" applyNumberFormat="1" applyBorder="1"/>
    <xf numFmtId="165" fontId="0" fillId="0" borderId="15" xfId="0" applyNumberFormat="1" applyBorder="1"/>
    <xf numFmtId="165" fontId="0" fillId="0" borderId="16" xfId="0" applyNumberFormat="1" applyBorder="1"/>
    <xf numFmtId="165" fontId="0" fillId="0" borderId="19" xfId="0" applyNumberFormat="1" applyBorder="1"/>
    <xf numFmtId="165" fontId="0" fillId="0" borderId="20" xfId="0" applyNumberFormat="1" applyBorder="1"/>
    <xf numFmtId="165" fontId="0" fillId="0" borderId="23" xfId="0" applyNumberFormat="1" applyBorder="1"/>
    <xf numFmtId="0" fontId="4" fillId="12" borderId="11" xfId="0" applyFont="1" applyFill="1" applyBorder="1" applyAlignment="1">
      <alignment horizontal="left"/>
    </xf>
    <xf numFmtId="0" fontId="4" fillId="12" borderId="12" xfId="0" applyFont="1" applyFill="1" applyBorder="1" applyAlignment="1">
      <alignment horizontal="left"/>
    </xf>
    <xf numFmtId="0" fontId="4" fillId="12" borderId="21" xfId="0" applyFont="1" applyFill="1" applyBorder="1" applyAlignment="1">
      <alignment horizontal="left"/>
    </xf>
    <xf numFmtId="0" fontId="4" fillId="13" borderId="11" xfId="0" applyFont="1" applyFill="1" applyBorder="1" applyAlignment="1">
      <alignment horizontal="left"/>
    </xf>
    <xf numFmtId="0" fontId="4" fillId="13" borderId="12" xfId="0" applyFont="1" applyFill="1" applyBorder="1" applyAlignment="1">
      <alignment horizontal="left"/>
    </xf>
    <xf numFmtId="0" fontId="4" fillId="13" borderId="21" xfId="0" applyFont="1" applyFill="1" applyBorder="1" applyAlignment="1">
      <alignment horizontal="left"/>
    </xf>
    <xf numFmtId="165" fontId="4" fillId="21" borderId="11" xfId="3" applyNumberFormat="1" applyFont="1" applyFill="1" applyBorder="1" applyAlignment="1">
      <alignment horizontal="center"/>
    </xf>
    <xf numFmtId="165" fontId="4" fillId="21" borderId="12" xfId="3" applyNumberFormat="1" applyFont="1" applyFill="1" applyBorder="1" applyAlignment="1">
      <alignment horizontal="center"/>
    </xf>
    <xf numFmtId="165" fontId="4" fillId="21" borderId="21" xfId="3" applyNumberFormat="1" applyFont="1" applyFill="1" applyBorder="1" applyAlignment="1">
      <alignment horizontal="center"/>
    </xf>
    <xf numFmtId="0" fontId="4" fillId="21" borderId="11" xfId="0" applyFont="1" applyFill="1" applyBorder="1" applyAlignment="1">
      <alignment horizontal="left"/>
    </xf>
    <xf numFmtId="0" fontId="4" fillId="21" borderId="12" xfId="0" applyFont="1" applyFill="1" applyBorder="1" applyAlignment="1">
      <alignment horizontal="left"/>
    </xf>
    <xf numFmtId="0" fontId="4" fillId="21" borderId="21" xfId="0" applyFont="1" applyFill="1" applyBorder="1" applyAlignment="1">
      <alignment horizontal="left"/>
    </xf>
    <xf numFmtId="165" fontId="1" fillId="7" borderId="10" xfId="10" applyNumberFormat="1" applyFont="1" applyBorder="1" applyAlignment="1">
      <alignment horizontal="center"/>
    </xf>
    <xf numFmtId="165" fontId="0" fillId="12" borderId="39" xfId="3" applyNumberFormat="1" applyFont="1" applyFill="1" applyBorder="1" applyAlignment="1">
      <alignment horizontal="center" wrapText="1"/>
    </xf>
    <xf numFmtId="165" fontId="4" fillId="9" borderId="11" xfId="12" applyNumberFormat="1" applyFont="1" applyBorder="1" applyAlignment="1">
      <alignment horizontal="center"/>
    </xf>
    <xf numFmtId="165" fontId="4" fillId="9" borderId="12" xfId="12" applyNumberFormat="1" applyFont="1" applyBorder="1" applyAlignment="1">
      <alignment horizontal="center"/>
    </xf>
    <xf numFmtId="165" fontId="4" fillId="9" borderId="21" xfId="12" applyNumberFormat="1" applyFont="1" applyBorder="1" applyAlignment="1">
      <alignment horizontal="center"/>
    </xf>
    <xf numFmtId="165" fontId="9" fillId="18" borderId="25" xfId="3" quotePrefix="1" applyNumberFormat="1" applyFont="1" applyFill="1" applyBorder="1" applyAlignment="1">
      <alignment horizontal="center" textRotation="255"/>
    </xf>
    <xf numFmtId="165" fontId="9" fillId="18" borderId="26" xfId="3" applyNumberFormat="1" applyFont="1" applyFill="1" applyBorder="1" applyAlignment="1">
      <alignment horizontal="center" textRotation="255"/>
    </xf>
    <xf numFmtId="165" fontId="9" fillId="18" borderId="28" xfId="3" applyNumberFormat="1" applyFont="1" applyFill="1" applyBorder="1" applyAlignment="1">
      <alignment horizontal="center" textRotation="255"/>
    </xf>
    <xf numFmtId="165" fontId="1" fillId="9" borderId="35" xfId="12" applyNumberFormat="1" applyFont="1" applyBorder="1" applyAlignment="1">
      <alignment horizontal="center"/>
    </xf>
    <xf numFmtId="165" fontId="1" fillId="9" borderId="36" xfId="12" applyNumberFormat="1" applyFont="1" applyBorder="1" applyAlignment="1">
      <alignment horizontal="center"/>
    </xf>
  </cellXfs>
  <cellStyles count="13">
    <cellStyle name="Accent1" xfId="9" builtinId="29"/>
    <cellStyle name="Accent4" xfId="10" builtinId="41"/>
    <cellStyle name="Accent5" xfId="11" builtinId="45"/>
    <cellStyle name="Accent6" xfId="12" builtinId="49"/>
    <cellStyle name="Comma" xfId="3" builtinId="3"/>
    <cellStyle name="Comma [0]" xfId="8" builtinId="6"/>
    <cellStyle name="Currency" xfId="5" builtinId="4"/>
    <cellStyle name="dates forecast" xfId="7" xr:uid="{11799D7C-5BB3-4F40-BAE6-6BBFB633B47E}"/>
    <cellStyle name="Forecast Date" xfId="6" xr:uid="{15CCEE28-55A2-4B85-B759-0008FD4C071B}"/>
    <cellStyle name="HIstorical Date" xfId="2" xr:uid="{A8B7A028-4366-421A-9323-2353892AC2FD}"/>
    <cellStyle name="Normal" xfId="0" builtinId="0"/>
    <cellStyle name="Percent" xfId="4" builtinId="5"/>
    <cellStyle name="Title" xfId="1" builtinId="15"/>
  </cellStyles>
  <dxfs count="6">
    <dxf>
      <fill>
        <patternFill>
          <bgColor theme="9" tint="0.79998168889431442"/>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ichStyles" Target="richData/rich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06/relationships/rdRichValue" Target="richData/rdrichvalue.xml"/><Relationship Id="rId5" Type="http://schemas.openxmlformats.org/officeDocument/2006/relationships/worksheet" Target="worksheets/sheet5.xml"/><Relationship Id="rId15" Type="http://schemas.microsoft.com/office/2017/06/relationships/rdSupportingPropertyBag" Target="richData/rdsupportingpropertybag.xml"/><Relationship Id="rId10" Type="http://schemas.openxmlformats.org/officeDocument/2006/relationships/sheetMetadata" Target="metadata.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SupportingPropertyBagStructure" Target="richData/rdsupportingpropertybag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Football</a:t>
            </a:r>
            <a:r>
              <a:rPr lang="en-US" baseline="0"/>
              <a:t> Field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'DCF Model'!$G$92</c:f>
              <c:strCache>
                <c:ptCount val="1"/>
                <c:pt idx="0">
                  <c:v> Low </c:v>
                </c:pt>
              </c:strCache>
            </c:strRef>
          </c:tx>
          <c:spPr>
            <a:noFill/>
            <a:ln>
              <a:noFill/>
            </a:ln>
            <a:effectLst/>
          </c:spPr>
          <c:invertIfNegative val="0"/>
          <c:cat>
            <c:strRef>
              <c:f>'DCF Model'!$F$93:$F$95</c:f>
              <c:strCache>
                <c:ptCount val="3"/>
                <c:pt idx="0">
                  <c:v>DCF Value 8X - 12X Multiplier</c:v>
                </c:pt>
                <c:pt idx="1">
                  <c:v>DCF Value 2%-6% Growth Rate</c:v>
                </c:pt>
                <c:pt idx="2">
                  <c:v>52 Week Market High/Low</c:v>
                </c:pt>
              </c:strCache>
            </c:strRef>
          </c:cat>
          <c:val>
            <c:numRef>
              <c:f>'DCF Model'!$G$93:$G$95</c:f>
              <c:numCache>
                <c:formatCode>_(* #,##0_);_(* \(#,##0\);_(* "-"??_);_(@_)</c:formatCode>
                <c:ptCount val="3"/>
                <c:pt idx="0">
                  <c:v>31.651390725942573</c:v>
                </c:pt>
                <c:pt idx="1">
                  <c:v>20.358543688225922</c:v>
                </c:pt>
                <c:pt idx="2">
                  <c:v>23.6</c:v>
                </c:pt>
              </c:numCache>
            </c:numRef>
          </c:val>
          <c:extLst>
            <c:ext xmlns:c16="http://schemas.microsoft.com/office/drawing/2014/chart" uri="{C3380CC4-5D6E-409C-BE32-E72D297353CC}">
              <c16:uniqueId val="{00000000-7A36-432D-9B4B-01320E2866FD}"/>
            </c:ext>
          </c:extLst>
        </c:ser>
        <c:ser>
          <c:idx val="1"/>
          <c:order val="1"/>
          <c:tx>
            <c:strRef>
              <c:f>'DCF Model'!$H$92</c:f>
              <c:strCache>
                <c:ptCount val="1"/>
                <c:pt idx="0">
                  <c:v> Difference </c:v>
                </c:pt>
              </c:strCache>
            </c:strRef>
          </c:tx>
          <c:spPr>
            <a:solidFill>
              <a:schemeClr val="accent2"/>
            </a:solidFill>
            <a:ln>
              <a:noFill/>
            </a:ln>
            <a:effectLst/>
          </c:spPr>
          <c:invertIfNegative val="0"/>
          <c:cat>
            <c:strRef>
              <c:f>'DCF Model'!$F$93:$F$95</c:f>
              <c:strCache>
                <c:ptCount val="3"/>
                <c:pt idx="0">
                  <c:v>DCF Value 8X - 12X Multiplier</c:v>
                </c:pt>
                <c:pt idx="1">
                  <c:v>DCF Value 2%-6% Growth Rate</c:v>
                </c:pt>
                <c:pt idx="2">
                  <c:v>52 Week Market High/Low</c:v>
                </c:pt>
              </c:strCache>
            </c:strRef>
          </c:cat>
          <c:val>
            <c:numRef>
              <c:f>'DCF Model'!$H$93:$H$95</c:f>
              <c:numCache>
                <c:formatCode>_(* #,##0_);_(* \(#,##0\);_(* "-"??_);_(@_)</c:formatCode>
                <c:ptCount val="3"/>
                <c:pt idx="0">
                  <c:v>29.450368745279594</c:v>
                </c:pt>
                <c:pt idx="1">
                  <c:v>48.226639560267287</c:v>
                </c:pt>
                <c:pt idx="2">
                  <c:v>9.75</c:v>
                </c:pt>
              </c:numCache>
            </c:numRef>
          </c:val>
          <c:extLst>
            <c:ext xmlns:c16="http://schemas.microsoft.com/office/drawing/2014/chart" uri="{C3380CC4-5D6E-409C-BE32-E72D297353CC}">
              <c16:uniqueId val="{00000001-7A36-432D-9B4B-01320E2866FD}"/>
            </c:ext>
          </c:extLst>
        </c:ser>
        <c:ser>
          <c:idx val="2"/>
          <c:order val="2"/>
          <c:tx>
            <c:strRef>
              <c:f>'DCF Model'!$I$92</c:f>
              <c:strCache>
                <c:ptCount val="1"/>
                <c:pt idx="0">
                  <c:v> High </c:v>
                </c:pt>
              </c:strCache>
            </c:strRef>
          </c:tx>
          <c:spPr>
            <a:noFill/>
            <a:ln>
              <a:noFill/>
            </a:ln>
            <a:effectLst/>
          </c:spPr>
          <c:invertIfNegative val="0"/>
          <c:cat>
            <c:strRef>
              <c:f>'DCF Model'!$F$93:$F$95</c:f>
              <c:strCache>
                <c:ptCount val="3"/>
                <c:pt idx="0">
                  <c:v>DCF Value 8X - 12X Multiplier</c:v>
                </c:pt>
                <c:pt idx="1">
                  <c:v>DCF Value 2%-6% Growth Rate</c:v>
                </c:pt>
                <c:pt idx="2">
                  <c:v>52 Week Market High/Low</c:v>
                </c:pt>
              </c:strCache>
            </c:strRef>
          </c:cat>
          <c:val>
            <c:numRef>
              <c:f>'DCF Model'!$I$93:$I$95</c:f>
              <c:numCache>
                <c:formatCode>_(* #,##0_);_(* \(#,##0\);_(* "-"??_);_(@_)</c:formatCode>
                <c:ptCount val="3"/>
                <c:pt idx="0">
                  <c:v>61.101759471222167</c:v>
                </c:pt>
                <c:pt idx="1">
                  <c:v>68.585183248493209</c:v>
                </c:pt>
                <c:pt idx="2">
                  <c:v>33.35</c:v>
                </c:pt>
              </c:numCache>
            </c:numRef>
          </c:val>
          <c:extLst>
            <c:ext xmlns:c16="http://schemas.microsoft.com/office/drawing/2014/chart" uri="{C3380CC4-5D6E-409C-BE32-E72D297353CC}">
              <c16:uniqueId val="{00000002-7A36-432D-9B4B-01320E2866FD}"/>
            </c:ext>
          </c:extLst>
        </c:ser>
        <c:dLbls>
          <c:showLegendKey val="0"/>
          <c:showVal val="0"/>
          <c:showCatName val="0"/>
          <c:showSerName val="0"/>
          <c:showPercent val="0"/>
          <c:showBubbleSize val="0"/>
        </c:dLbls>
        <c:gapWidth val="150"/>
        <c:overlap val="100"/>
        <c:axId val="1386337424"/>
        <c:axId val="1386338864"/>
      </c:barChart>
      <c:lineChart>
        <c:grouping val="standard"/>
        <c:varyColors val="0"/>
        <c:ser>
          <c:idx val="3"/>
          <c:order val="3"/>
          <c:tx>
            <c:strRef>
              <c:f>'DCF Model'!$F$96</c:f>
              <c:strCache>
                <c:ptCount val="1"/>
                <c:pt idx="0">
                  <c:v>GFHIM Valuation</c:v>
                </c:pt>
              </c:strCache>
            </c:strRef>
          </c:tx>
          <c:spPr>
            <a:ln w="28575" cap="rnd">
              <a:solidFill>
                <a:schemeClr val="tx1"/>
              </a:solidFill>
              <a:prstDash val="dash"/>
              <a:round/>
            </a:ln>
            <a:effectLst/>
          </c:spPr>
          <c:marker>
            <c:symbol val="none"/>
          </c:marker>
          <c:val>
            <c:numRef>
              <c:f>'DCF Model'!$G$96:$I$96</c:f>
              <c:numCache>
                <c:formatCode>_(* #,##0_);_(* \(#,##0\);_(* "-"??_);_(@_)</c:formatCode>
                <c:ptCount val="3"/>
                <c:pt idx="0">
                  <c:v>39.996244853820073</c:v>
                </c:pt>
                <c:pt idx="1">
                  <c:v>39.996244853820073</c:v>
                </c:pt>
                <c:pt idx="2">
                  <c:v>39.996244853820073</c:v>
                </c:pt>
              </c:numCache>
            </c:numRef>
          </c:val>
          <c:smooth val="0"/>
          <c:extLst>
            <c:ext xmlns:c16="http://schemas.microsoft.com/office/drawing/2014/chart" uri="{C3380CC4-5D6E-409C-BE32-E72D297353CC}">
              <c16:uniqueId val="{00000003-7A36-432D-9B4B-01320E2866FD}"/>
            </c:ext>
          </c:extLst>
        </c:ser>
        <c:dLbls>
          <c:showLegendKey val="0"/>
          <c:showVal val="0"/>
          <c:showCatName val="0"/>
          <c:showSerName val="0"/>
          <c:showPercent val="0"/>
          <c:showBubbleSize val="0"/>
        </c:dLbls>
        <c:marker val="1"/>
        <c:smooth val="0"/>
        <c:axId val="1386337424"/>
        <c:axId val="1386338864"/>
      </c:lineChart>
      <c:catAx>
        <c:axId val="138633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338864"/>
        <c:crosses val="autoZero"/>
        <c:auto val="1"/>
        <c:lblAlgn val="ctr"/>
        <c:lblOffset val="100"/>
        <c:noMultiLvlLbl val="0"/>
      </c:catAx>
      <c:valAx>
        <c:axId val="1386338864"/>
        <c:scaling>
          <c:orientation val="minMax"/>
          <c:max val="80"/>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337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0</xdr:colOff>
      <xdr:row>63</xdr:row>
      <xdr:rowOff>0</xdr:rowOff>
    </xdr:from>
    <xdr:to>
      <xdr:col>21</xdr:col>
      <xdr:colOff>0</xdr:colOff>
      <xdr:row>89</xdr:row>
      <xdr:rowOff>0</xdr:rowOff>
    </xdr:to>
    <xdr:graphicFrame macro="">
      <xdr:nvGraphicFramePr>
        <xdr:cNvPr id="4" name="Chart 3">
          <a:extLst>
            <a:ext uri="{FF2B5EF4-FFF2-40B4-BE49-F238E27FC236}">
              <a16:creationId xmlns:a16="http://schemas.microsoft.com/office/drawing/2014/main" id="{404B035F-DAD0-329C-16C5-CC73602254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https://www.bing.com/financeapi/forcetrigger?t=a1wi77&amp;q=XNAS%3aKHC&amp;form=skydnc</v>
    <v>Learn more on Bing</v>
  </rv>
  <rv s="1">
    <v>en-US</v>
    <v>a1wi77</v>
    <v>268435456</v>
    <v>1</v>
    <v>Powered by Refinitiv</v>
    <v>0</v>
    <v>THE KRAFT HEINZ COMPANY (XNAS:KHC)</v>
    <v>2</v>
    <v>3</v>
    <v>Finance</v>
    <v>4</v>
    <v>33.35</v>
    <v>23.6</v>
    <v>6.0199999999999997E-2</v>
    <v>0.12</v>
    <v>1.6489999999999999E-3</v>
    <v>4.973E-3</v>
    <v>0.04</v>
    <v>USD</v>
    <v>The Kraft Heinz Company manufactures and markets food and beverage products around the world through its eight consumer-driven product platforms: Taste Elevation, Easy Ready Meals, Substantial Snacking, Desserts, Hydration, Cheese, Coffee, and Meats. The Company has two reportable segments defined by geographic region: North America and International Developed Markets. Its other segments, consisting of West and East Emerging Markets (WEEM) and Asia Emerging Markets (AEM), are combined and disclosed as Emerging Markets. It manufactures its products from a wide variety of raw materials. Its brands include Kraft, Oscar Mayer, Heinz, Philadelphia, Lunchables, Velveeta, Ore-Ida, Capri Sun, Maxwell Apartment, Kool-Aid, Jell-O, Heinz, Golden Circle, Wattie’s, Plasmon, Heinz, ABC, Master, Quero, Kraft, and Pudliszki, among others. The Company’s products are sold through its own sales organizations and through independent brokers, agents, and distributors.</v>
    <v>36000</v>
    <v>Nasdaq Stock Market</v>
    <v>XNAS</v>
    <v>XNAS</v>
    <v>One Ppg Place, PITTSBURGH, PA, 15222 US</v>
    <v>24.46</v>
    <v>Food &amp; Tobacco</v>
    <v>Stock</v>
    <v>46021.041333089845</v>
    <v>0</v>
    <v>24.105</v>
    <v>28703658000</v>
    <v>THE KRAFT HEINZ COMPANY</v>
    <v>THE KRAFT HEINZ COMPANY</v>
    <v>24.15</v>
    <v>0</v>
    <v>24.13</v>
    <v>24.25</v>
    <v>24.29</v>
    <v>1183656000</v>
    <v>KHC</v>
    <v>THE KRAFT HEINZ COMPANY (XNAS:KHC)</v>
    <v>15485710</v>
    <v>12851754</v>
    <v>2013</v>
  </rv>
  <rv s="2">
    <v>1</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v>1</v>
      <v>1</v>
      <v>5</v>
    </spb>
    <spb s="4">
      <v>at close</v>
      <v>from previous close</v>
      <v>from previous close</v>
      <v>Source: Nasdaq</v>
      <v>GMT</v>
      <v>Delayed 15 minutes</v>
      <v>from close</v>
      <v>from close</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EF0B7-1592-4C72-8B6F-57A175261C1C}">
  <sheetPr>
    <tabColor theme="1"/>
  </sheetPr>
  <dimension ref="A1:N177"/>
  <sheetViews>
    <sheetView showGridLines="0" zoomScale="120" zoomScaleNormal="120" workbookViewId="0">
      <pane xSplit="6" ySplit="1" topLeftCell="G2" activePane="bottomRight" state="frozen"/>
      <selection pane="topRight" activeCell="G1" sqref="G1"/>
      <selection pane="bottomLeft" activeCell="A2" sqref="A2"/>
      <selection pane="bottomRight" activeCell="H1" sqref="H1"/>
    </sheetView>
  </sheetViews>
  <sheetFormatPr defaultRowHeight="15" x14ac:dyDescent="0.25"/>
  <cols>
    <col min="1" max="5" width="2" customWidth="1"/>
    <col min="6" max="6" width="27.7109375" customWidth="1"/>
    <col min="7" max="9" width="7" bestFit="1" customWidth="1"/>
    <col min="10" max="10" width="8.85546875" customWidth="1"/>
  </cols>
  <sheetData>
    <row r="1" spans="1:14" ht="15.75" thickBot="1" x14ac:dyDescent="0.3">
      <c r="A1" s="218" t="s">
        <v>0</v>
      </c>
      <c r="B1" s="219"/>
      <c r="C1" s="219"/>
      <c r="D1" s="219"/>
      <c r="E1" s="219"/>
      <c r="F1" s="220"/>
      <c r="G1" s="97" cm="1">
        <f t="array" ref="G1:N1">_xlfn.SEQUENCE(1,8,2022,1)</f>
        <v>2022</v>
      </c>
      <c r="H1" s="98">
        <v>2023</v>
      </c>
      <c r="I1" s="98">
        <v>2024</v>
      </c>
      <c r="J1" s="99">
        <v>2025</v>
      </c>
      <c r="K1" s="99">
        <v>2026</v>
      </c>
      <c r="L1" s="99">
        <v>2027</v>
      </c>
      <c r="M1" s="99">
        <v>2028</v>
      </c>
      <c r="N1" s="100">
        <v>2029</v>
      </c>
    </row>
    <row r="2" spans="1:14" x14ac:dyDescent="0.25">
      <c r="A2" s="101"/>
      <c r="B2" s="102" t="s">
        <v>1</v>
      </c>
      <c r="C2" s="102"/>
      <c r="D2" s="102"/>
      <c r="E2" s="102"/>
      <c r="F2" s="103"/>
      <c r="N2" s="43"/>
    </row>
    <row r="3" spans="1:14" x14ac:dyDescent="0.25">
      <c r="A3" s="101"/>
      <c r="B3" s="102"/>
      <c r="C3" s="102" t="s">
        <v>2</v>
      </c>
      <c r="D3" s="102"/>
      <c r="E3" s="102"/>
      <c r="F3" s="103"/>
      <c r="G3" s="4">
        <v>8399</v>
      </c>
      <c r="H3" s="19">
        <v>8791</v>
      </c>
      <c r="I3" s="19">
        <v>9200</v>
      </c>
      <c r="J3" s="4">
        <f>I3*(1+J7)</f>
        <v>9628.7065581053193</v>
      </c>
      <c r="K3" s="4">
        <f t="shared" ref="K3:N3" si="0">J3*(1+K7)</f>
        <v>10077.035474835175</v>
      </c>
      <c r="L3" s="4">
        <f t="shared" si="0"/>
        <v>10546.4249756851</v>
      </c>
      <c r="M3" s="4">
        <f t="shared" si="0"/>
        <v>11037.581557048488</v>
      </c>
      <c r="N3" s="23">
        <f t="shared" si="0"/>
        <v>11551.662576895307</v>
      </c>
    </row>
    <row r="4" spans="1:14" x14ac:dyDescent="0.25">
      <c r="A4" s="101"/>
      <c r="B4" s="102"/>
      <c r="C4" s="102" t="s">
        <v>3</v>
      </c>
      <c r="D4" s="102"/>
      <c r="E4" s="102"/>
      <c r="F4" s="103"/>
      <c r="G4" s="4">
        <v>8696</v>
      </c>
      <c r="H4" s="19">
        <v>8800</v>
      </c>
      <c r="I4" s="19">
        <v>8850</v>
      </c>
      <c r="J4" s="4">
        <f t="shared" ref="J4:N5" si="1">I4*(1+J8)</f>
        <v>8928.0629286192179</v>
      </c>
      <c r="K4" s="4">
        <f t="shared" si="1"/>
        <v>8992.8024917293569</v>
      </c>
      <c r="L4" s="4">
        <f t="shared" si="1"/>
        <v>9065.0682655999044</v>
      </c>
      <c r="M4" s="4">
        <f t="shared" si="1"/>
        <v>9134.3580259815844</v>
      </c>
      <c r="N4" s="23">
        <f t="shared" si="1"/>
        <v>9205.9693718225717</v>
      </c>
    </row>
    <row r="5" spans="1:14" x14ac:dyDescent="0.25">
      <c r="A5" s="101"/>
      <c r="B5" s="102"/>
      <c r="C5" s="102" t="s">
        <v>4</v>
      </c>
      <c r="D5" s="102"/>
      <c r="E5" s="102"/>
      <c r="F5" s="103"/>
      <c r="G5" s="4">
        <v>8366</v>
      </c>
      <c r="H5" s="19">
        <v>8657</v>
      </c>
      <c r="I5" s="19">
        <v>8900</v>
      </c>
      <c r="J5" s="4">
        <f t="shared" si="1"/>
        <v>9179.6977111131309</v>
      </c>
      <c r="K5" s="4">
        <f t="shared" si="1"/>
        <v>9452.7775582719223</v>
      </c>
      <c r="L5" s="4">
        <f t="shared" si="1"/>
        <v>9741.9141495365948</v>
      </c>
      <c r="M5" s="4">
        <f t="shared" si="1"/>
        <v>10035.806822449875</v>
      </c>
      <c r="N5" s="23">
        <f t="shared" si="1"/>
        <v>10340.671206939653</v>
      </c>
    </row>
    <row r="6" spans="1:14" x14ac:dyDescent="0.25">
      <c r="A6" s="101"/>
      <c r="B6" s="102" t="s">
        <v>5</v>
      </c>
      <c r="C6" s="102"/>
      <c r="D6" s="102"/>
      <c r="E6" s="102"/>
      <c r="F6" s="103"/>
      <c r="G6" s="4"/>
      <c r="H6" s="19"/>
      <c r="I6" s="19"/>
      <c r="J6" s="4"/>
      <c r="K6" s="4"/>
      <c r="L6" s="4"/>
      <c r="N6" s="43"/>
    </row>
    <row r="7" spans="1:14" x14ac:dyDescent="0.25">
      <c r="A7" s="101"/>
      <c r="B7" s="102"/>
      <c r="C7" s="102" t="str" cm="1">
        <f t="array" ref="C7:C9">+C3:C5</f>
        <v>Foot Solutions</v>
      </c>
      <c r="D7" s="102"/>
      <c r="E7" s="102"/>
      <c r="F7" s="103"/>
      <c r="G7" s="4"/>
      <c r="H7" s="92">
        <f>+H3/G3-1</f>
        <v>4.6672222883676673E-2</v>
      </c>
      <c r="I7" s="92">
        <f>+I3/H3-1</f>
        <v>4.6524854965305451E-2</v>
      </c>
      <c r="J7" s="93">
        <f>AVERAGE(H7:I7)</f>
        <v>4.6598538924491062E-2</v>
      </c>
      <c r="K7" s="93">
        <f t="shared" ref="K7:N9" si="2">AVERAGE(I7:J7)</f>
        <v>4.6561696944898257E-2</v>
      </c>
      <c r="L7" s="93">
        <f t="shared" si="2"/>
        <v>4.6580117934694659E-2</v>
      </c>
      <c r="M7" s="93">
        <f t="shared" si="2"/>
        <v>4.6570907439796458E-2</v>
      </c>
      <c r="N7" s="94">
        <f t="shared" si="2"/>
        <v>4.6575512687245559E-2</v>
      </c>
    </row>
    <row r="8" spans="1:14" x14ac:dyDescent="0.25">
      <c r="A8" s="101"/>
      <c r="B8" s="102"/>
      <c r="C8" s="102" t="str">
        <v>Greeting Fulfillments</v>
      </c>
      <c r="D8" s="102"/>
      <c r="E8" s="102"/>
      <c r="F8" s="103"/>
      <c r="G8" s="4"/>
      <c r="H8" s="92">
        <f t="shared" ref="H8:I9" si="3">+H4/G4-1</f>
        <v>1.1959521619135272E-2</v>
      </c>
      <c r="I8" s="92">
        <f t="shared" si="3"/>
        <v>5.6818181818181213E-3</v>
      </c>
      <c r="J8" s="93">
        <f t="shared" ref="J8:J9" si="4">AVERAGE(H8:I8)</f>
        <v>8.8206699004766964E-3</v>
      </c>
      <c r="K8" s="93">
        <f t="shared" si="2"/>
        <v>7.2512440411474088E-3</v>
      </c>
      <c r="L8" s="93">
        <f t="shared" si="2"/>
        <v>8.0359569708120526E-3</v>
      </c>
      <c r="M8" s="93">
        <f t="shared" si="2"/>
        <v>7.6436005059797307E-3</v>
      </c>
      <c r="N8" s="94">
        <f t="shared" si="2"/>
        <v>7.8397787383958917E-3</v>
      </c>
    </row>
    <row r="9" spans="1:14" x14ac:dyDescent="0.25">
      <c r="A9" s="101"/>
      <c r="B9" s="102"/>
      <c r="C9" s="102" t="str">
        <v>Legendwear</v>
      </c>
      <c r="D9" s="102"/>
      <c r="E9" s="102"/>
      <c r="F9" s="103"/>
      <c r="G9" s="4"/>
      <c r="H9" s="92">
        <f t="shared" si="3"/>
        <v>3.4783648099450115E-2</v>
      </c>
      <c r="I9" s="92">
        <f t="shared" si="3"/>
        <v>2.8069770128219984E-2</v>
      </c>
      <c r="J9" s="93">
        <f t="shared" si="4"/>
        <v>3.142670911383505E-2</v>
      </c>
      <c r="K9" s="93">
        <f t="shared" si="2"/>
        <v>2.9748239621027517E-2</v>
      </c>
      <c r="L9" s="93">
        <f t="shared" si="2"/>
        <v>3.0587474367431283E-2</v>
      </c>
      <c r="M9" s="93">
        <f t="shared" si="2"/>
        <v>3.01678569942294E-2</v>
      </c>
      <c r="N9" s="94">
        <f t="shared" si="2"/>
        <v>3.0377665680830342E-2</v>
      </c>
    </row>
    <row r="10" spans="1:14" x14ac:dyDescent="0.25">
      <c r="A10" s="101"/>
      <c r="B10" s="102" t="s">
        <v>6</v>
      </c>
      <c r="C10" s="102"/>
      <c r="D10" s="102"/>
      <c r="E10" s="102"/>
      <c r="F10" s="103"/>
      <c r="G10" s="4"/>
      <c r="H10" s="19"/>
      <c r="I10" s="19"/>
      <c r="J10" s="4"/>
      <c r="K10" s="4"/>
      <c r="L10" s="4"/>
      <c r="N10" s="43"/>
    </row>
    <row r="11" spans="1:14" x14ac:dyDescent="0.25">
      <c r="A11" s="101"/>
      <c r="B11" s="102"/>
      <c r="C11" s="102" t="str" cm="1">
        <f t="array" ref="C11:C13">+C3:C5</f>
        <v>Foot Solutions</v>
      </c>
      <c r="D11" s="102"/>
      <c r="E11" s="102"/>
      <c r="F11" s="103"/>
      <c r="G11" s="14">
        <v>0.52854836417072271</v>
      </c>
      <c r="H11" s="95">
        <v>0.5194553187608536</v>
      </c>
      <c r="I11" s="95">
        <v>0.52962561139759468</v>
      </c>
      <c r="J11" s="93">
        <f>AVERAGE(G11:I11)</f>
        <v>0.52587643144305696</v>
      </c>
      <c r="K11" s="93">
        <f t="shared" ref="K11:N11" si="5">AVERAGE(H11:J11)</f>
        <v>0.52498578720050171</v>
      </c>
      <c r="L11" s="93">
        <f t="shared" si="5"/>
        <v>0.52682927668038448</v>
      </c>
      <c r="M11" s="93">
        <f t="shared" si="5"/>
        <v>0.52589716510798112</v>
      </c>
      <c r="N11" s="94">
        <f t="shared" si="5"/>
        <v>0.52590407632962244</v>
      </c>
    </row>
    <row r="12" spans="1:14" x14ac:dyDescent="0.25">
      <c r="A12" s="101"/>
      <c r="B12" s="102"/>
      <c r="C12" s="102" t="str">
        <v>Greeting Fulfillments</v>
      </c>
      <c r="D12" s="102"/>
      <c r="E12" s="102"/>
      <c r="F12" s="103"/>
      <c r="G12" s="14">
        <v>0.54951211586347426</v>
      </c>
      <c r="H12" s="95">
        <v>0.50621254781209779</v>
      </c>
      <c r="I12" s="95">
        <v>0.54249378241668467</v>
      </c>
      <c r="J12" s="93">
        <f t="shared" ref="J12:J13" si="6">AVERAGE(G12:I12)</f>
        <v>0.53273948203075217</v>
      </c>
      <c r="K12" s="93">
        <f t="shared" ref="K12:K13" si="7">AVERAGE(H12:J12)</f>
        <v>0.52714860408651154</v>
      </c>
      <c r="L12" s="93">
        <f t="shared" ref="L12:L13" si="8">AVERAGE(I12:K12)</f>
        <v>0.53412728951131605</v>
      </c>
      <c r="M12" s="93">
        <f t="shared" ref="M12:M13" si="9">AVERAGE(J12:L12)</f>
        <v>0.53133845854285988</v>
      </c>
      <c r="N12" s="94">
        <f t="shared" ref="N12:N13" si="10">AVERAGE(K12:M12)</f>
        <v>0.53087145071356245</v>
      </c>
    </row>
    <row r="13" spans="1:14" x14ac:dyDescent="0.25">
      <c r="A13" s="101"/>
      <c r="B13" s="102"/>
      <c r="C13" s="102" t="str">
        <v>Legendwear</v>
      </c>
      <c r="D13" s="102"/>
      <c r="E13" s="102"/>
      <c r="F13" s="103"/>
      <c r="G13" s="14">
        <v>0.50169647794478178</v>
      </c>
      <c r="H13" s="95">
        <v>0.51854695978673515</v>
      </c>
      <c r="I13" s="95">
        <v>0.53504035458789467</v>
      </c>
      <c r="J13" s="93">
        <f t="shared" si="6"/>
        <v>0.5184279307731372</v>
      </c>
      <c r="K13" s="93">
        <f t="shared" si="7"/>
        <v>0.52400508171592231</v>
      </c>
      <c r="L13" s="93">
        <f t="shared" si="8"/>
        <v>0.52582445569231806</v>
      </c>
      <c r="M13" s="93">
        <f t="shared" si="9"/>
        <v>0.5227524893937926</v>
      </c>
      <c r="N13" s="94">
        <f t="shared" si="10"/>
        <v>0.52419400893401102</v>
      </c>
    </row>
    <row r="14" spans="1:14" x14ac:dyDescent="0.25">
      <c r="A14" s="101"/>
      <c r="B14" s="102" t="s">
        <v>7</v>
      </c>
      <c r="C14" s="102"/>
      <c r="D14" s="102"/>
      <c r="E14" s="102"/>
      <c r="F14" s="103"/>
      <c r="G14" s="4"/>
      <c r="H14" s="19"/>
      <c r="I14" s="19"/>
      <c r="J14" s="4"/>
      <c r="K14" s="4"/>
      <c r="L14" s="4"/>
      <c r="N14" s="43"/>
    </row>
    <row r="15" spans="1:14" x14ac:dyDescent="0.25">
      <c r="A15" s="101"/>
      <c r="B15" s="102"/>
      <c r="C15" s="102" t="s">
        <v>8</v>
      </c>
      <c r="D15" s="102"/>
      <c r="E15" s="102"/>
      <c r="F15" s="103"/>
      <c r="G15" s="93">
        <v>4.5201409593245243E-2</v>
      </c>
      <c r="H15" s="92">
        <v>4.1519681992051187E-2</v>
      </c>
      <c r="I15" s="92">
        <v>4.1485585113035905E-2</v>
      </c>
      <c r="J15" s="93">
        <f>AVERAGE(G15:I15)</f>
        <v>4.2735558899444109E-2</v>
      </c>
      <c r="K15" s="93">
        <f t="shared" ref="K15:N15" si="11">AVERAGE(H15:J15)</f>
        <v>4.1913608668177067E-2</v>
      </c>
      <c r="L15" s="93">
        <f t="shared" si="11"/>
        <v>4.2044917560219025E-2</v>
      </c>
      <c r="M15" s="93">
        <f t="shared" si="11"/>
        <v>4.2231361709280067E-2</v>
      </c>
      <c r="N15" s="94">
        <f t="shared" si="11"/>
        <v>4.2063295979225389E-2</v>
      </c>
    </row>
    <row r="16" spans="1:14" x14ac:dyDescent="0.25">
      <c r="A16" s="101"/>
      <c r="B16" s="102"/>
      <c r="C16" s="102" t="s">
        <v>9</v>
      </c>
      <c r="D16" s="102"/>
      <c r="E16" s="102"/>
      <c r="F16" s="103"/>
      <c r="G16" s="93">
        <v>3.9664352979264857E-2</v>
      </c>
      <c r="H16" s="92">
        <v>4.8252510269861749E-2</v>
      </c>
      <c r="I16" s="92">
        <v>4.2862899628605206E-2</v>
      </c>
      <c r="J16" s="93">
        <f t="shared" ref="J16:J19" si="12">AVERAGE(G16:I16)</f>
        <v>4.3593254292577266E-2</v>
      </c>
      <c r="K16" s="93">
        <f t="shared" ref="K16:K19" si="13">AVERAGE(H16:J16)</f>
        <v>4.4902888063681402E-2</v>
      </c>
      <c r="L16" s="93">
        <f t="shared" ref="L16:L19" si="14">AVERAGE(I16:K16)</f>
        <v>4.3786347328287956E-2</v>
      </c>
      <c r="M16" s="93">
        <f t="shared" ref="M16:M19" si="15">AVERAGE(J16:L16)</f>
        <v>4.4094163228182208E-2</v>
      </c>
      <c r="N16" s="94">
        <f t="shared" ref="N16:N19" si="16">AVERAGE(K16:M16)</f>
        <v>4.4261132873383853E-2</v>
      </c>
    </row>
    <row r="17" spans="1:14" x14ac:dyDescent="0.25">
      <c r="A17" s="101"/>
      <c r="B17" s="102"/>
      <c r="C17" s="102" t="s">
        <v>10</v>
      </c>
      <c r="D17" s="102"/>
      <c r="E17" s="102"/>
      <c r="F17" s="103"/>
      <c r="G17" s="93">
        <v>3.0733282245427887E-2</v>
      </c>
      <c r="H17" s="92">
        <v>3.7306793650625385E-2</v>
      </c>
      <c r="I17" s="92">
        <v>4.1556613459003598E-2</v>
      </c>
      <c r="J17" s="93">
        <f t="shared" si="12"/>
        <v>3.6532229785018959E-2</v>
      </c>
      <c r="K17" s="93">
        <f t="shared" si="13"/>
        <v>3.8465212298215978E-2</v>
      </c>
      <c r="L17" s="93">
        <f t="shared" si="14"/>
        <v>3.8851351847412847E-2</v>
      </c>
      <c r="M17" s="93">
        <f t="shared" si="15"/>
        <v>3.7949597976882597E-2</v>
      </c>
      <c r="N17" s="94">
        <f t="shared" si="16"/>
        <v>3.8422054040837143E-2</v>
      </c>
    </row>
    <row r="18" spans="1:14" x14ac:dyDescent="0.25">
      <c r="A18" s="101"/>
      <c r="B18" s="102"/>
      <c r="C18" s="102" t="s">
        <v>11</v>
      </c>
      <c r="D18" s="102"/>
      <c r="E18" s="102"/>
      <c r="F18" s="103"/>
      <c r="G18" s="93">
        <v>3.1545545518032389E-2</v>
      </c>
      <c r="H18" s="92">
        <v>3.7579353363473476E-2</v>
      </c>
      <c r="I18" s="92">
        <v>3.6485053409750758E-2</v>
      </c>
      <c r="J18" s="93">
        <f t="shared" si="12"/>
        <v>3.5203317430418872E-2</v>
      </c>
      <c r="K18" s="93">
        <f t="shared" si="13"/>
        <v>3.6422574734547707E-2</v>
      </c>
      <c r="L18" s="93">
        <f t="shared" si="14"/>
        <v>3.6036981858239114E-2</v>
      </c>
      <c r="M18" s="93">
        <f t="shared" si="15"/>
        <v>3.5887624674401895E-2</v>
      </c>
      <c r="N18" s="94">
        <f t="shared" si="16"/>
        <v>3.611572708906291E-2</v>
      </c>
    </row>
    <row r="19" spans="1:14" x14ac:dyDescent="0.25">
      <c r="A19" s="101"/>
      <c r="B19" s="102"/>
      <c r="C19" s="102" t="s">
        <v>12</v>
      </c>
      <c r="D19" s="102"/>
      <c r="E19" s="102"/>
      <c r="F19" s="103"/>
      <c r="G19" s="93">
        <v>3.7692894294469433E-2</v>
      </c>
      <c r="H19" s="92">
        <v>4.6375124233892735E-2</v>
      </c>
      <c r="I19" s="92">
        <v>3.367032862835715E-2</v>
      </c>
      <c r="J19" s="93">
        <f t="shared" si="12"/>
        <v>3.9246115718906439E-2</v>
      </c>
      <c r="K19" s="93">
        <f t="shared" si="13"/>
        <v>3.9763856193718777E-2</v>
      </c>
      <c r="L19" s="93">
        <f t="shared" si="14"/>
        <v>3.7560100180327453E-2</v>
      </c>
      <c r="M19" s="93">
        <f t="shared" si="15"/>
        <v>3.8856690697650888E-2</v>
      </c>
      <c r="N19" s="94">
        <f t="shared" si="16"/>
        <v>3.8726882357232373E-2</v>
      </c>
    </row>
    <row r="20" spans="1:14" x14ac:dyDescent="0.25">
      <c r="A20" s="101"/>
      <c r="B20" s="102"/>
      <c r="C20" s="102" t="s">
        <v>13</v>
      </c>
      <c r="D20" s="102"/>
      <c r="E20" s="102"/>
      <c r="F20" s="103"/>
      <c r="G20" s="4">
        <v>1000</v>
      </c>
      <c r="H20" s="4">
        <f t="shared" ref="H20:J21" si="17">+G20</f>
        <v>1000</v>
      </c>
      <c r="I20" s="4">
        <f t="shared" si="17"/>
        <v>1000</v>
      </c>
      <c r="J20" s="4">
        <f t="shared" si="17"/>
        <v>1000</v>
      </c>
      <c r="K20" s="4">
        <f t="shared" ref="K20:N20" si="18">+J20</f>
        <v>1000</v>
      </c>
      <c r="L20" s="4">
        <f t="shared" si="18"/>
        <v>1000</v>
      </c>
      <c r="M20" s="4">
        <f t="shared" si="18"/>
        <v>1000</v>
      </c>
      <c r="N20" s="23">
        <f t="shared" si="18"/>
        <v>1000</v>
      </c>
    </row>
    <row r="21" spans="1:14" x14ac:dyDescent="0.25">
      <c r="A21" s="101"/>
      <c r="B21" s="102"/>
      <c r="C21" s="102" t="s">
        <v>14</v>
      </c>
      <c r="D21" s="102"/>
      <c r="E21" s="102"/>
      <c r="F21" s="103"/>
      <c r="G21" s="4">
        <v>250</v>
      </c>
      <c r="H21" s="4">
        <f t="shared" si="17"/>
        <v>250</v>
      </c>
      <c r="I21" s="4">
        <f t="shared" si="17"/>
        <v>250</v>
      </c>
      <c r="J21" s="4">
        <f>I21+LBO.Goodwill/20</f>
        <v>2476.6996626755363</v>
      </c>
      <c r="K21" s="4">
        <f t="shared" ref="K21:N21" si="19">+J21</f>
        <v>2476.6996626755363</v>
      </c>
      <c r="L21" s="4">
        <f t="shared" si="19"/>
        <v>2476.6996626755363</v>
      </c>
      <c r="M21" s="4">
        <f t="shared" si="19"/>
        <v>2476.6996626755363</v>
      </c>
      <c r="N21" s="23">
        <f t="shared" si="19"/>
        <v>2476.6996626755363</v>
      </c>
    </row>
    <row r="22" spans="1:14" x14ac:dyDescent="0.25">
      <c r="A22" s="101"/>
      <c r="B22" s="102" t="s">
        <v>15</v>
      </c>
      <c r="C22" s="102"/>
      <c r="D22" s="102"/>
      <c r="E22" s="102"/>
      <c r="F22" s="103"/>
      <c r="G22" s="14">
        <v>0.21</v>
      </c>
      <c r="H22" s="4"/>
      <c r="I22" s="4"/>
      <c r="J22" s="4"/>
      <c r="K22" s="4"/>
      <c r="L22" s="4"/>
      <c r="N22" s="43"/>
    </row>
    <row r="23" spans="1:14" x14ac:dyDescent="0.25">
      <c r="A23" s="101"/>
      <c r="B23" s="102" t="s">
        <v>16</v>
      </c>
      <c r="C23" s="102"/>
      <c r="D23" s="102"/>
      <c r="E23" s="102"/>
      <c r="F23" s="103"/>
      <c r="G23" s="4">
        <v>1500</v>
      </c>
      <c r="H23" s="4">
        <f t="shared" ref="H23:I24" si="20">+G23</f>
        <v>1500</v>
      </c>
      <c r="I23" s="4">
        <f t="shared" si="20"/>
        <v>1500</v>
      </c>
      <c r="J23" s="4">
        <v>0</v>
      </c>
      <c r="K23" s="4">
        <f t="shared" ref="K23:N23" si="21">+J23</f>
        <v>0</v>
      </c>
      <c r="L23" s="4">
        <f t="shared" si="21"/>
        <v>0</v>
      </c>
      <c r="M23" s="4">
        <f t="shared" si="21"/>
        <v>0</v>
      </c>
      <c r="N23" s="23">
        <f t="shared" si="21"/>
        <v>0</v>
      </c>
    </row>
    <row r="24" spans="1:14" x14ac:dyDescent="0.25">
      <c r="A24" s="101"/>
      <c r="B24" s="102" t="s">
        <v>17</v>
      </c>
      <c r="C24" s="102"/>
      <c r="D24" s="102"/>
      <c r="E24" s="102"/>
      <c r="F24" s="103"/>
      <c r="G24" s="4">
        <v>500</v>
      </c>
      <c r="H24" s="4">
        <f t="shared" si="20"/>
        <v>500</v>
      </c>
      <c r="I24" s="4">
        <f t="shared" si="20"/>
        <v>500</v>
      </c>
      <c r="J24" s="4">
        <v>0</v>
      </c>
      <c r="K24" s="4">
        <f t="shared" ref="K24:N24" si="22">+J24</f>
        <v>0</v>
      </c>
      <c r="L24" s="4">
        <f t="shared" si="22"/>
        <v>0</v>
      </c>
      <c r="M24" s="4">
        <f t="shared" si="22"/>
        <v>0</v>
      </c>
      <c r="N24" s="23">
        <f t="shared" si="22"/>
        <v>0</v>
      </c>
    </row>
    <row r="25" spans="1:14" x14ac:dyDescent="0.25">
      <c r="A25" s="101"/>
      <c r="B25" s="102" t="s">
        <v>18</v>
      </c>
      <c r="C25" s="102"/>
      <c r="D25" s="102"/>
      <c r="E25" s="102"/>
      <c r="F25" s="103"/>
      <c r="G25" s="4"/>
      <c r="H25" s="4"/>
      <c r="I25" s="4"/>
      <c r="J25" s="4"/>
      <c r="K25" s="4"/>
      <c r="L25" s="4"/>
      <c r="N25" s="43"/>
    </row>
    <row r="26" spans="1:14" x14ac:dyDescent="0.25">
      <c r="A26" s="101"/>
      <c r="B26" s="102"/>
      <c r="C26" s="102" t="s">
        <v>19</v>
      </c>
      <c r="D26" s="102"/>
      <c r="E26" s="102"/>
      <c r="F26" s="103"/>
      <c r="G26" s="4"/>
      <c r="H26" s="4"/>
      <c r="I26" s="4"/>
      <c r="J26" s="4"/>
      <c r="K26" s="4"/>
      <c r="L26" s="4"/>
      <c r="N26" s="43"/>
    </row>
    <row r="27" spans="1:14" x14ac:dyDescent="0.25">
      <c r="A27" s="101"/>
      <c r="B27" s="102"/>
      <c r="C27" s="102"/>
      <c r="D27" s="102" t="s">
        <v>20</v>
      </c>
      <c r="E27" s="102"/>
      <c r="F27" s="103"/>
      <c r="G27" s="4">
        <v>60</v>
      </c>
      <c r="H27" s="4">
        <f t="shared" ref="H27:I29" si="23">+G27</f>
        <v>60</v>
      </c>
      <c r="I27" s="4">
        <f t="shared" si="23"/>
        <v>60</v>
      </c>
      <c r="J27" s="4">
        <v>58</v>
      </c>
      <c r="K27" s="4">
        <v>58</v>
      </c>
      <c r="L27" s="4">
        <v>56</v>
      </c>
      <c r="M27" s="4">
        <v>56</v>
      </c>
      <c r="N27" s="23">
        <v>54</v>
      </c>
    </row>
    <row r="28" spans="1:14" x14ac:dyDescent="0.25">
      <c r="A28" s="101"/>
      <c r="B28" s="102"/>
      <c r="C28" s="102"/>
      <c r="D28" s="102" t="s">
        <v>21</v>
      </c>
      <c r="E28" s="102"/>
      <c r="F28" s="103"/>
      <c r="G28" s="4">
        <v>32</v>
      </c>
      <c r="H28" s="4">
        <f t="shared" si="23"/>
        <v>32</v>
      </c>
      <c r="I28" s="4">
        <f t="shared" si="23"/>
        <v>32</v>
      </c>
      <c r="J28" s="4">
        <v>30</v>
      </c>
      <c r="K28" s="4">
        <v>30</v>
      </c>
      <c r="L28" s="4">
        <v>28</v>
      </c>
      <c r="M28" s="4">
        <v>28</v>
      </c>
      <c r="N28" s="23">
        <v>26</v>
      </c>
    </row>
    <row r="29" spans="1:14" x14ac:dyDescent="0.25">
      <c r="A29" s="101"/>
      <c r="B29" s="102"/>
      <c r="C29" s="102"/>
      <c r="D29" s="102" t="s">
        <v>22</v>
      </c>
      <c r="E29" s="102"/>
      <c r="F29" s="103"/>
      <c r="G29" s="14">
        <v>0.03</v>
      </c>
      <c r="H29" s="14">
        <f t="shared" si="23"/>
        <v>0.03</v>
      </c>
      <c r="I29" s="14">
        <f t="shared" si="23"/>
        <v>0.03</v>
      </c>
      <c r="J29" s="14">
        <f t="shared" ref="J29:N29" si="24">+I29</f>
        <v>0.03</v>
      </c>
      <c r="K29" s="14">
        <f t="shared" si="24"/>
        <v>0.03</v>
      </c>
      <c r="L29" s="14">
        <f t="shared" si="24"/>
        <v>0.03</v>
      </c>
      <c r="M29" s="14">
        <f t="shared" si="24"/>
        <v>0.03</v>
      </c>
      <c r="N29" s="67">
        <f t="shared" si="24"/>
        <v>0.03</v>
      </c>
    </row>
    <row r="30" spans="1:14" x14ac:dyDescent="0.25">
      <c r="A30" s="101"/>
      <c r="B30" s="102"/>
      <c r="C30" s="102"/>
      <c r="D30" s="102" t="s">
        <v>23</v>
      </c>
      <c r="E30" s="102"/>
      <c r="F30" s="103"/>
      <c r="G30" s="4">
        <v>35</v>
      </c>
      <c r="H30" s="4">
        <f t="shared" ref="H30" si="25">+G30</f>
        <v>35</v>
      </c>
      <c r="I30" s="4">
        <f t="shared" ref="I30:I31" si="26">+H30</f>
        <v>35</v>
      </c>
      <c r="J30" s="4">
        <f t="shared" ref="J30:N30" si="27">+I30</f>
        <v>35</v>
      </c>
      <c r="K30" s="4">
        <v>37</v>
      </c>
      <c r="L30" s="4">
        <f t="shared" si="27"/>
        <v>37</v>
      </c>
      <c r="M30" s="4">
        <v>39</v>
      </c>
      <c r="N30" s="23">
        <f t="shared" si="27"/>
        <v>39</v>
      </c>
    </row>
    <row r="31" spans="1:14" x14ac:dyDescent="0.25">
      <c r="A31" s="101"/>
      <c r="B31" s="102"/>
      <c r="C31" s="102"/>
      <c r="D31" s="102" t="s">
        <v>24</v>
      </c>
      <c r="E31" s="102"/>
      <c r="F31" s="103"/>
      <c r="G31" s="14">
        <v>0.03</v>
      </c>
      <c r="H31" s="14">
        <f>+G31</f>
        <v>0.03</v>
      </c>
      <c r="I31" s="14">
        <f t="shared" si="26"/>
        <v>0.03</v>
      </c>
      <c r="J31" s="14">
        <f t="shared" ref="J31:N31" si="28">+I31</f>
        <v>0.03</v>
      </c>
      <c r="K31" s="14">
        <f t="shared" si="28"/>
        <v>0.03</v>
      </c>
      <c r="L31" s="14">
        <f t="shared" si="28"/>
        <v>0.03</v>
      </c>
      <c r="M31" s="14">
        <f t="shared" si="28"/>
        <v>0.03</v>
      </c>
      <c r="N31" s="67">
        <f t="shared" si="28"/>
        <v>0.03</v>
      </c>
    </row>
    <row r="32" spans="1:14" x14ac:dyDescent="0.25">
      <c r="A32" s="101"/>
      <c r="B32" s="102"/>
      <c r="C32" s="102" t="s">
        <v>25</v>
      </c>
      <c r="D32" s="102"/>
      <c r="E32" s="102"/>
      <c r="F32" s="103"/>
      <c r="G32" s="4"/>
      <c r="H32" s="4">
        <v>2500</v>
      </c>
      <c r="I32" s="4">
        <f>+H32</f>
        <v>2500</v>
      </c>
      <c r="J32" s="4">
        <v>1750</v>
      </c>
      <c r="K32" s="4">
        <f>J32</f>
        <v>1750</v>
      </c>
      <c r="L32" s="4">
        <v>1500</v>
      </c>
      <c r="M32" s="4">
        <f>L32</f>
        <v>1500</v>
      </c>
      <c r="N32" s="23">
        <f t="shared" ref="N32" si="29">+M32</f>
        <v>1500</v>
      </c>
    </row>
    <row r="33" spans="1:14" x14ac:dyDescent="0.25">
      <c r="A33" s="101"/>
      <c r="B33" s="102"/>
      <c r="C33" s="102" t="s">
        <v>26</v>
      </c>
      <c r="D33" s="102"/>
      <c r="E33" s="102"/>
      <c r="F33" s="103"/>
      <c r="G33" s="4">
        <v>6000</v>
      </c>
      <c r="H33" s="4"/>
      <c r="I33" s="4"/>
      <c r="J33" s="4"/>
      <c r="K33" s="4"/>
      <c r="L33" s="4"/>
      <c r="N33" s="43"/>
    </row>
    <row r="34" spans="1:14" x14ac:dyDescent="0.25">
      <c r="A34" s="101"/>
      <c r="B34" s="102"/>
      <c r="C34" s="102" t="s">
        <v>27</v>
      </c>
      <c r="D34" s="102"/>
      <c r="E34" s="102"/>
      <c r="F34" s="103"/>
      <c r="G34" s="4">
        <v>1500</v>
      </c>
      <c r="H34" s="4"/>
      <c r="I34" s="4"/>
      <c r="J34" s="4"/>
      <c r="K34" s="4"/>
      <c r="L34" s="4"/>
      <c r="N34" s="43"/>
    </row>
    <row r="35" spans="1:14" x14ac:dyDescent="0.25">
      <c r="A35" s="101"/>
      <c r="B35" s="102"/>
      <c r="C35" s="102" t="s">
        <v>28</v>
      </c>
      <c r="D35" s="102"/>
      <c r="E35" s="102"/>
      <c r="F35" s="103"/>
      <c r="G35" s="4">
        <v>2000</v>
      </c>
      <c r="H35" s="4"/>
      <c r="I35" s="4"/>
      <c r="J35" s="4"/>
      <c r="K35" s="4"/>
      <c r="L35" s="4"/>
      <c r="N35" s="43"/>
    </row>
    <row r="36" spans="1:14" ht="15.75" thickBot="1" x14ac:dyDescent="0.3">
      <c r="A36" s="104"/>
      <c r="B36" s="105"/>
      <c r="C36" s="105" t="s">
        <v>29</v>
      </c>
      <c r="D36" s="105"/>
      <c r="E36" s="105"/>
      <c r="F36" s="106"/>
      <c r="G36" s="96">
        <v>4500</v>
      </c>
      <c r="H36" s="96"/>
      <c r="I36" s="96"/>
      <c r="J36" s="96"/>
      <c r="K36" s="96"/>
      <c r="L36" s="96"/>
      <c r="M36" s="91"/>
      <c r="N36" s="45"/>
    </row>
    <row r="37" spans="1:14" x14ac:dyDescent="0.25">
      <c r="G37" s="1"/>
      <c r="H37" s="1"/>
      <c r="I37" s="1"/>
      <c r="J37" s="1"/>
      <c r="K37" s="1"/>
      <c r="L37" s="1"/>
    </row>
    <row r="38" spans="1:14" x14ac:dyDescent="0.25">
      <c r="G38" s="1"/>
      <c r="H38" s="1"/>
      <c r="I38" s="1"/>
      <c r="J38" s="1"/>
      <c r="K38" s="1"/>
      <c r="L38" s="1"/>
    </row>
    <row r="39" spans="1:14" x14ac:dyDescent="0.25">
      <c r="G39" s="1"/>
      <c r="H39" s="1"/>
      <c r="I39" s="1"/>
      <c r="J39" s="1"/>
      <c r="K39" s="1"/>
      <c r="L39" s="1"/>
    </row>
    <row r="40" spans="1:14" x14ac:dyDescent="0.25">
      <c r="G40" s="1"/>
      <c r="H40" s="1"/>
      <c r="I40" s="1"/>
      <c r="J40" s="1"/>
      <c r="K40" s="1"/>
      <c r="L40" s="1"/>
    </row>
    <row r="41" spans="1:14" x14ac:dyDescent="0.25">
      <c r="G41" s="1"/>
      <c r="H41" s="1"/>
      <c r="I41" s="1"/>
      <c r="J41" s="1"/>
      <c r="K41" s="1"/>
      <c r="L41" s="1"/>
    </row>
    <row r="42" spans="1:14" x14ac:dyDescent="0.25">
      <c r="G42" s="1"/>
      <c r="H42" s="1"/>
      <c r="I42" s="1"/>
      <c r="J42" s="1"/>
      <c r="K42" s="1"/>
      <c r="L42" s="1"/>
    </row>
    <row r="43" spans="1:14" x14ac:dyDescent="0.25">
      <c r="G43" s="1"/>
      <c r="H43" s="1"/>
      <c r="I43" s="1"/>
      <c r="J43" s="1"/>
      <c r="K43" s="1"/>
      <c r="L43" s="1"/>
    </row>
    <row r="44" spans="1:14" x14ac:dyDescent="0.25">
      <c r="G44" s="1"/>
      <c r="H44" s="1"/>
      <c r="I44" s="1"/>
      <c r="J44" s="1"/>
      <c r="K44" s="1"/>
      <c r="L44" s="1"/>
    </row>
    <row r="45" spans="1:14" x14ac:dyDescent="0.25">
      <c r="G45" s="1"/>
      <c r="H45" s="1"/>
      <c r="I45" s="1"/>
      <c r="J45" s="1"/>
      <c r="K45" s="1"/>
      <c r="L45" s="1"/>
    </row>
    <row r="46" spans="1:14" x14ac:dyDescent="0.25">
      <c r="G46" s="1"/>
      <c r="H46" s="1"/>
      <c r="I46" s="1"/>
      <c r="J46" s="1"/>
      <c r="K46" s="1"/>
      <c r="L46" s="1"/>
    </row>
    <row r="47" spans="1:14" x14ac:dyDescent="0.25">
      <c r="G47" s="1"/>
      <c r="H47" s="1"/>
      <c r="I47" s="1"/>
      <c r="J47" s="1"/>
      <c r="K47" s="1"/>
      <c r="L47" s="1"/>
    </row>
    <row r="48" spans="1:14" x14ac:dyDescent="0.25">
      <c r="G48" s="1"/>
      <c r="H48" s="1"/>
      <c r="I48" s="1"/>
      <c r="J48" s="1"/>
      <c r="K48" s="1"/>
      <c r="L48" s="1"/>
    </row>
    <row r="49" spans="7:12" x14ac:dyDescent="0.25">
      <c r="G49" s="1"/>
      <c r="H49" s="1"/>
      <c r="I49" s="1"/>
      <c r="J49" s="1"/>
      <c r="K49" s="1"/>
      <c r="L49" s="1"/>
    </row>
    <row r="50" spans="7:12" x14ac:dyDescent="0.25">
      <c r="G50" s="1"/>
      <c r="H50" s="1"/>
      <c r="I50" s="1"/>
      <c r="J50" s="1"/>
      <c r="K50" s="1"/>
      <c r="L50" s="1"/>
    </row>
    <row r="51" spans="7:12" x14ac:dyDescent="0.25">
      <c r="G51" s="1"/>
      <c r="H51" s="1"/>
      <c r="I51" s="1"/>
      <c r="J51" s="1"/>
      <c r="K51" s="1"/>
      <c r="L51" s="1"/>
    </row>
    <row r="52" spans="7:12" x14ac:dyDescent="0.25">
      <c r="G52" s="1"/>
      <c r="H52" s="1"/>
      <c r="I52" s="1"/>
      <c r="J52" s="1"/>
      <c r="K52" s="1"/>
      <c r="L52" s="1"/>
    </row>
    <row r="53" spans="7:12" x14ac:dyDescent="0.25">
      <c r="G53" s="1"/>
      <c r="H53" s="1"/>
      <c r="I53" s="1"/>
      <c r="J53" s="1"/>
      <c r="K53" s="1"/>
      <c r="L53" s="1"/>
    </row>
    <row r="54" spans="7:12" x14ac:dyDescent="0.25">
      <c r="G54" s="1"/>
      <c r="H54" s="1"/>
      <c r="I54" s="1"/>
      <c r="J54" s="1"/>
      <c r="K54" s="1"/>
      <c r="L54" s="1"/>
    </row>
    <row r="55" spans="7:12" x14ac:dyDescent="0.25">
      <c r="G55" s="1"/>
      <c r="H55" s="1"/>
      <c r="I55" s="1"/>
      <c r="J55" s="1"/>
      <c r="K55" s="1"/>
      <c r="L55" s="1"/>
    </row>
    <row r="56" spans="7:12" x14ac:dyDescent="0.25">
      <c r="G56" s="1"/>
      <c r="H56" s="1"/>
      <c r="I56" s="1"/>
      <c r="J56" s="1"/>
      <c r="K56" s="1"/>
      <c r="L56" s="1"/>
    </row>
    <row r="57" spans="7:12" x14ac:dyDescent="0.25">
      <c r="G57" s="1"/>
      <c r="H57" s="1"/>
      <c r="I57" s="1"/>
      <c r="J57" s="1"/>
      <c r="K57" s="1"/>
      <c r="L57" s="1"/>
    </row>
    <row r="58" spans="7:12" x14ac:dyDescent="0.25">
      <c r="G58" s="1"/>
      <c r="H58" s="1"/>
      <c r="I58" s="1"/>
      <c r="J58" s="1"/>
      <c r="K58" s="1"/>
      <c r="L58" s="1"/>
    </row>
    <row r="59" spans="7:12" x14ac:dyDescent="0.25">
      <c r="G59" s="1"/>
      <c r="H59" s="1"/>
      <c r="I59" s="1"/>
      <c r="J59" s="1"/>
      <c r="K59" s="1"/>
      <c r="L59" s="1"/>
    </row>
    <row r="60" spans="7:12" x14ac:dyDescent="0.25">
      <c r="G60" s="1"/>
      <c r="H60" s="1"/>
      <c r="I60" s="1"/>
      <c r="J60" s="1"/>
      <c r="K60" s="1"/>
      <c r="L60" s="1"/>
    </row>
    <row r="61" spans="7:12" x14ac:dyDescent="0.25">
      <c r="G61" s="1"/>
      <c r="H61" s="1"/>
      <c r="I61" s="1"/>
      <c r="J61" s="1"/>
      <c r="K61" s="1"/>
      <c r="L61" s="1"/>
    </row>
    <row r="62" spans="7:12" x14ac:dyDescent="0.25">
      <c r="G62" s="1"/>
      <c r="H62" s="1"/>
      <c r="I62" s="1"/>
      <c r="J62" s="1"/>
      <c r="K62" s="1"/>
      <c r="L62" s="1"/>
    </row>
    <row r="63" spans="7:12" x14ac:dyDescent="0.25">
      <c r="G63" s="1"/>
      <c r="H63" s="1"/>
      <c r="I63" s="1"/>
      <c r="J63" s="1"/>
      <c r="K63" s="1"/>
      <c r="L63" s="1"/>
    </row>
    <row r="64" spans="7:12" x14ac:dyDescent="0.25">
      <c r="G64" s="1"/>
      <c r="H64" s="1"/>
      <c r="I64" s="1"/>
      <c r="J64" s="1"/>
      <c r="K64" s="1"/>
      <c r="L64" s="1"/>
    </row>
    <row r="65" spans="7:12" x14ac:dyDescent="0.25">
      <c r="G65" s="1"/>
      <c r="H65" s="1"/>
      <c r="I65" s="1"/>
      <c r="J65" s="1"/>
      <c r="K65" s="1"/>
      <c r="L65" s="1"/>
    </row>
    <row r="66" spans="7:12" x14ac:dyDescent="0.25">
      <c r="G66" s="1"/>
      <c r="H66" s="1"/>
      <c r="I66" s="1"/>
      <c r="J66" s="1"/>
      <c r="K66" s="1"/>
      <c r="L66" s="1"/>
    </row>
    <row r="67" spans="7:12" x14ac:dyDescent="0.25">
      <c r="G67" s="1"/>
      <c r="H67" s="1"/>
      <c r="I67" s="1"/>
      <c r="J67" s="1"/>
      <c r="K67" s="1"/>
      <c r="L67" s="1"/>
    </row>
    <row r="68" spans="7:12" x14ac:dyDescent="0.25">
      <c r="G68" s="1"/>
      <c r="H68" s="1"/>
      <c r="I68" s="1"/>
      <c r="J68" s="1"/>
      <c r="K68" s="1"/>
      <c r="L68" s="1"/>
    </row>
    <row r="69" spans="7:12" x14ac:dyDescent="0.25">
      <c r="G69" s="1"/>
      <c r="H69" s="1"/>
      <c r="I69" s="1"/>
      <c r="J69" s="1"/>
      <c r="K69" s="1"/>
      <c r="L69" s="1"/>
    </row>
    <row r="70" spans="7:12" x14ac:dyDescent="0.25">
      <c r="G70" s="1"/>
      <c r="H70" s="1"/>
      <c r="I70" s="1"/>
      <c r="J70" s="1"/>
      <c r="K70" s="1"/>
      <c r="L70" s="1"/>
    </row>
    <row r="71" spans="7:12" x14ac:dyDescent="0.25">
      <c r="G71" s="1"/>
      <c r="H71" s="1"/>
      <c r="I71" s="1"/>
      <c r="J71" s="1"/>
      <c r="K71" s="1"/>
      <c r="L71" s="1"/>
    </row>
    <row r="72" spans="7:12" x14ac:dyDescent="0.25">
      <c r="G72" s="1"/>
      <c r="H72" s="1"/>
      <c r="I72" s="1"/>
      <c r="J72" s="1"/>
      <c r="K72" s="1"/>
      <c r="L72" s="1"/>
    </row>
    <row r="73" spans="7:12" x14ac:dyDescent="0.25">
      <c r="G73" s="1"/>
      <c r="H73" s="1"/>
      <c r="I73" s="1"/>
      <c r="J73" s="1"/>
      <c r="K73" s="1"/>
      <c r="L73" s="1"/>
    </row>
    <row r="74" spans="7:12" x14ac:dyDescent="0.25">
      <c r="G74" s="1"/>
      <c r="H74" s="1"/>
      <c r="I74" s="1"/>
      <c r="J74" s="1"/>
      <c r="K74" s="1"/>
      <c r="L74" s="1"/>
    </row>
    <row r="75" spans="7:12" x14ac:dyDescent="0.25">
      <c r="G75" s="1"/>
      <c r="H75" s="1"/>
      <c r="I75" s="1"/>
      <c r="J75" s="1"/>
      <c r="K75" s="1"/>
      <c r="L75" s="1"/>
    </row>
    <row r="76" spans="7:12" x14ac:dyDescent="0.25">
      <c r="G76" s="1"/>
      <c r="H76" s="1"/>
      <c r="I76" s="1"/>
      <c r="J76" s="1"/>
      <c r="K76" s="1"/>
      <c r="L76" s="1"/>
    </row>
    <row r="77" spans="7:12" x14ac:dyDescent="0.25">
      <c r="G77" s="1"/>
      <c r="H77" s="1"/>
      <c r="I77" s="1"/>
      <c r="J77" s="1"/>
      <c r="K77" s="1"/>
      <c r="L77" s="1"/>
    </row>
    <row r="78" spans="7:12" x14ac:dyDescent="0.25">
      <c r="G78" s="1"/>
      <c r="H78" s="1"/>
      <c r="I78" s="1"/>
      <c r="J78" s="1"/>
      <c r="K78" s="1"/>
      <c r="L78" s="1"/>
    </row>
    <row r="79" spans="7:12" x14ac:dyDescent="0.25">
      <c r="G79" s="1"/>
      <c r="H79" s="1"/>
      <c r="I79" s="1"/>
      <c r="J79" s="1"/>
      <c r="K79" s="1"/>
      <c r="L79" s="1"/>
    </row>
    <row r="80" spans="7:12" x14ac:dyDescent="0.25">
      <c r="G80" s="1"/>
      <c r="H80" s="1"/>
      <c r="I80" s="1"/>
      <c r="J80" s="1"/>
      <c r="K80" s="1"/>
      <c r="L80" s="1"/>
    </row>
    <row r="81" spans="7:12" x14ac:dyDescent="0.25">
      <c r="G81" s="1"/>
      <c r="H81" s="1"/>
      <c r="I81" s="1"/>
      <c r="J81" s="1"/>
      <c r="K81" s="1"/>
      <c r="L81" s="1"/>
    </row>
    <row r="82" spans="7:12" x14ac:dyDescent="0.25">
      <c r="G82" s="1"/>
      <c r="H82" s="1"/>
      <c r="I82" s="1"/>
      <c r="J82" s="1"/>
      <c r="K82" s="1"/>
      <c r="L82" s="1"/>
    </row>
    <row r="83" spans="7:12" x14ac:dyDescent="0.25">
      <c r="G83" s="1"/>
      <c r="H83" s="1"/>
      <c r="I83" s="1"/>
      <c r="J83" s="1"/>
      <c r="K83" s="1"/>
      <c r="L83" s="1"/>
    </row>
    <row r="84" spans="7:12" x14ac:dyDescent="0.25">
      <c r="G84" s="1"/>
      <c r="H84" s="1"/>
      <c r="I84" s="1"/>
      <c r="J84" s="1"/>
      <c r="K84" s="1"/>
      <c r="L84" s="1"/>
    </row>
    <row r="85" spans="7:12" x14ac:dyDescent="0.25">
      <c r="G85" s="1"/>
      <c r="H85" s="1"/>
      <c r="I85" s="1"/>
      <c r="J85" s="1"/>
      <c r="K85" s="1"/>
      <c r="L85" s="1"/>
    </row>
    <row r="86" spans="7:12" x14ac:dyDescent="0.25">
      <c r="G86" s="1"/>
      <c r="H86" s="1"/>
      <c r="I86" s="1"/>
      <c r="J86" s="1"/>
      <c r="K86" s="1"/>
      <c r="L86" s="1"/>
    </row>
    <row r="87" spans="7:12" x14ac:dyDescent="0.25">
      <c r="G87" s="1"/>
      <c r="H87" s="1"/>
      <c r="I87" s="1"/>
      <c r="J87" s="1"/>
      <c r="K87" s="1"/>
      <c r="L87" s="1"/>
    </row>
    <row r="88" spans="7:12" x14ac:dyDescent="0.25">
      <c r="G88" s="1"/>
      <c r="H88" s="1"/>
      <c r="I88" s="1"/>
      <c r="J88" s="1"/>
      <c r="K88" s="1"/>
      <c r="L88" s="1"/>
    </row>
    <row r="89" spans="7:12" x14ac:dyDescent="0.25">
      <c r="G89" s="1"/>
      <c r="H89" s="1"/>
      <c r="I89" s="1"/>
      <c r="J89" s="1"/>
      <c r="K89" s="1"/>
      <c r="L89" s="1"/>
    </row>
    <row r="90" spans="7:12" x14ac:dyDescent="0.25">
      <c r="G90" s="1"/>
      <c r="H90" s="1"/>
      <c r="I90" s="1"/>
      <c r="J90" s="1"/>
      <c r="K90" s="1"/>
      <c r="L90" s="1"/>
    </row>
    <row r="91" spans="7:12" x14ac:dyDescent="0.25">
      <c r="G91" s="1"/>
      <c r="H91" s="1"/>
      <c r="I91" s="1"/>
      <c r="J91" s="1"/>
      <c r="K91" s="1"/>
      <c r="L91" s="1"/>
    </row>
    <row r="92" spans="7:12" x14ac:dyDescent="0.25">
      <c r="G92" s="1"/>
      <c r="H92" s="1"/>
      <c r="I92" s="1"/>
      <c r="J92" s="1"/>
      <c r="K92" s="1"/>
      <c r="L92" s="1"/>
    </row>
    <row r="93" spans="7:12" x14ac:dyDescent="0.25">
      <c r="G93" s="1"/>
      <c r="H93" s="1"/>
      <c r="I93" s="1"/>
      <c r="J93" s="1"/>
      <c r="K93" s="1"/>
      <c r="L93" s="1"/>
    </row>
    <row r="94" spans="7:12" x14ac:dyDescent="0.25">
      <c r="G94" s="1"/>
      <c r="H94" s="1"/>
      <c r="I94" s="1"/>
      <c r="J94" s="1"/>
      <c r="K94" s="1"/>
      <c r="L94" s="1"/>
    </row>
    <row r="95" spans="7:12" x14ac:dyDescent="0.25">
      <c r="G95" s="1"/>
      <c r="H95" s="1"/>
      <c r="I95" s="1"/>
      <c r="J95" s="1"/>
      <c r="K95" s="1"/>
      <c r="L95" s="1"/>
    </row>
    <row r="96" spans="7:12" x14ac:dyDescent="0.25">
      <c r="G96" s="1"/>
      <c r="H96" s="1"/>
      <c r="I96" s="1"/>
      <c r="J96" s="1"/>
      <c r="K96" s="1"/>
      <c r="L96" s="1"/>
    </row>
    <row r="97" spans="7:12" x14ac:dyDescent="0.25">
      <c r="G97" s="1"/>
      <c r="H97" s="1"/>
      <c r="I97" s="1"/>
      <c r="J97" s="1"/>
      <c r="K97" s="1"/>
      <c r="L97" s="1"/>
    </row>
    <row r="98" spans="7:12" x14ac:dyDescent="0.25">
      <c r="G98" s="1"/>
      <c r="H98" s="1"/>
      <c r="I98" s="1"/>
      <c r="J98" s="1"/>
      <c r="K98" s="1"/>
      <c r="L98" s="1"/>
    </row>
    <row r="99" spans="7:12" x14ac:dyDescent="0.25">
      <c r="G99" s="1"/>
      <c r="H99" s="1"/>
      <c r="I99" s="1"/>
      <c r="J99" s="1"/>
      <c r="K99" s="1"/>
      <c r="L99" s="1"/>
    </row>
    <row r="100" spans="7:12" x14ac:dyDescent="0.25">
      <c r="G100" s="1"/>
      <c r="H100" s="1"/>
      <c r="I100" s="1"/>
      <c r="J100" s="1"/>
      <c r="K100" s="1"/>
      <c r="L100" s="1"/>
    </row>
    <row r="101" spans="7:12" x14ac:dyDescent="0.25">
      <c r="G101" s="1"/>
      <c r="H101" s="1"/>
      <c r="I101" s="1"/>
      <c r="J101" s="1"/>
      <c r="K101" s="1"/>
      <c r="L101" s="1"/>
    </row>
    <row r="102" spans="7:12" x14ac:dyDescent="0.25">
      <c r="G102" s="1"/>
      <c r="H102" s="1"/>
      <c r="I102" s="1"/>
      <c r="J102" s="1"/>
      <c r="K102" s="1"/>
      <c r="L102" s="1"/>
    </row>
    <row r="103" spans="7:12" x14ac:dyDescent="0.25">
      <c r="G103" s="1"/>
      <c r="H103" s="1"/>
      <c r="I103" s="1"/>
      <c r="J103" s="1"/>
      <c r="K103" s="1"/>
      <c r="L103" s="1"/>
    </row>
    <row r="104" spans="7:12" x14ac:dyDescent="0.25">
      <c r="G104" s="1"/>
      <c r="H104" s="1"/>
      <c r="I104" s="1"/>
      <c r="J104" s="1"/>
      <c r="K104" s="1"/>
      <c r="L104" s="1"/>
    </row>
    <row r="105" spans="7:12" x14ac:dyDescent="0.25">
      <c r="G105" s="1"/>
      <c r="H105" s="1"/>
      <c r="I105" s="1"/>
      <c r="J105" s="1"/>
      <c r="K105" s="1"/>
      <c r="L105" s="1"/>
    </row>
    <row r="106" spans="7:12" x14ac:dyDescent="0.25">
      <c r="G106" s="1"/>
      <c r="H106" s="1"/>
      <c r="I106" s="1"/>
      <c r="J106" s="1"/>
      <c r="K106" s="1"/>
      <c r="L106" s="1"/>
    </row>
    <row r="107" spans="7:12" x14ac:dyDescent="0.25">
      <c r="G107" s="1"/>
      <c r="H107" s="1"/>
      <c r="I107" s="1"/>
      <c r="J107" s="1"/>
      <c r="K107" s="1"/>
      <c r="L107" s="1"/>
    </row>
    <row r="108" spans="7:12" x14ac:dyDescent="0.25">
      <c r="G108" s="1"/>
      <c r="H108" s="1"/>
      <c r="I108" s="1"/>
      <c r="J108" s="1"/>
      <c r="K108" s="1"/>
      <c r="L108" s="1"/>
    </row>
    <row r="109" spans="7:12" x14ac:dyDescent="0.25">
      <c r="G109" s="1"/>
      <c r="H109" s="1"/>
      <c r="I109" s="1"/>
      <c r="J109" s="1"/>
      <c r="K109" s="1"/>
      <c r="L109" s="1"/>
    </row>
    <row r="110" spans="7:12" x14ac:dyDescent="0.25">
      <c r="G110" s="1"/>
      <c r="H110" s="1"/>
      <c r="I110" s="1"/>
      <c r="J110" s="1"/>
      <c r="K110" s="1"/>
      <c r="L110" s="1"/>
    </row>
    <row r="111" spans="7:12" x14ac:dyDescent="0.25">
      <c r="G111" s="1"/>
      <c r="H111" s="1"/>
      <c r="I111" s="1"/>
      <c r="J111" s="1"/>
      <c r="K111" s="1"/>
      <c r="L111" s="1"/>
    </row>
    <row r="112" spans="7:12" x14ac:dyDescent="0.25">
      <c r="G112" s="1"/>
      <c r="H112" s="1"/>
      <c r="I112" s="1"/>
      <c r="J112" s="1"/>
      <c r="K112" s="1"/>
      <c r="L112" s="1"/>
    </row>
    <row r="113" spans="7:12" x14ac:dyDescent="0.25">
      <c r="G113" s="1"/>
      <c r="H113" s="1"/>
      <c r="I113" s="1"/>
      <c r="J113" s="1"/>
      <c r="K113" s="1"/>
      <c r="L113" s="1"/>
    </row>
    <row r="114" spans="7:12" x14ac:dyDescent="0.25">
      <c r="G114" s="1"/>
      <c r="H114" s="1"/>
      <c r="I114" s="1"/>
      <c r="J114" s="1"/>
      <c r="K114" s="1"/>
      <c r="L114" s="1"/>
    </row>
    <row r="115" spans="7:12" x14ac:dyDescent="0.25">
      <c r="G115" s="1"/>
      <c r="H115" s="1"/>
      <c r="I115" s="1"/>
      <c r="J115" s="1"/>
      <c r="K115" s="1"/>
      <c r="L115" s="1"/>
    </row>
    <row r="116" spans="7:12" x14ac:dyDescent="0.25">
      <c r="G116" s="1"/>
      <c r="H116" s="1"/>
      <c r="I116" s="1"/>
      <c r="J116" s="1"/>
      <c r="K116" s="1"/>
      <c r="L116" s="1"/>
    </row>
    <row r="117" spans="7:12" x14ac:dyDescent="0.25">
      <c r="G117" s="1"/>
      <c r="H117" s="1"/>
      <c r="I117" s="1"/>
      <c r="J117" s="1"/>
      <c r="K117" s="1"/>
      <c r="L117" s="1"/>
    </row>
    <row r="118" spans="7:12" x14ac:dyDescent="0.25">
      <c r="G118" s="1"/>
      <c r="H118" s="1"/>
      <c r="I118" s="1"/>
      <c r="J118" s="1"/>
      <c r="K118" s="1"/>
      <c r="L118" s="1"/>
    </row>
    <row r="119" spans="7:12" x14ac:dyDescent="0.25">
      <c r="G119" s="1"/>
      <c r="H119" s="1"/>
      <c r="I119" s="1"/>
      <c r="J119" s="1"/>
      <c r="K119" s="1"/>
      <c r="L119" s="1"/>
    </row>
    <row r="120" spans="7:12" x14ac:dyDescent="0.25">
      <c r="G120" s="1"/>
      <c r="H120" s="1"/>
      <c r="I120" s="1"/>
      <c r="J120" s="1"/>
      <c r="K120" s="1"/>
      <c r="L120" s="1"/>
    </row>
    <row r="121" spans="7:12" x14ac:dyDescent="0.25">
      <c r="G121" s="1"/>
      <c r="H121" s="1"/>
      <c r="I121" s="1"/>
      <c r="J121" s="1"/>
      <c r="K121" s="1"/>
      <c r="L121" s="1"/>
    </row>
    <row r="122" spans="7:12" x14ac:dyDescent="0.25">
      <c r="G122" s="1"/>
      <c r="H122" s="1"/>
      <c r="I122" s="1"/>
      <c r="J122" s="1"/>
      <c r="K122" s="1"/>
      <c r="L122" s="1"/>
    </row>
    <row r="123" spans="7:12" x14ac:dyDescent="0.25">
      <c r="G123" s="1"/>
      <c r="H123" s="1"/>
      <c r="I123" s="1"/>
      <c r="J123" s="1"/>
      <c r="K123" s="1"/>
      <c r="L123" s="1"/>
    </row>
    <row r="124" spans="7:12" x14ac:dyDescent="0.25">
      <c r="G124" s="1"/>
      <c r="H124" s="1"/>
      <c r="I124" s="1"/>
      <c r="J124" s="1"/>
      <c r="K124" s="1"/>
      <c r="L124" s="1"/>
    </row>
    <row r="125" spans="7:12" x14ac:dyDescent="0.25">
      <c r="G125" s="1"/>
      <c r="H125" s="1"/>
      <c r="I125" s="1"/>
      <c r="J125" s="1"/>
      <c r="K125" s="1"/>
      <c r="L125" s="1"/>
    </row>
    <row r="126" spans="7:12" x14ac:dyDescent="0.25">
      <c r="G126" s="1"/>
      <c r="H126" s="1"/>
      <c r="I126" s="1"/>
      <c r="J126" s="1"/>
      <c r="K126" s="1"/>
      <c r="L126" s="1"/>
    </row>
    <row r="127" spans="7:12" x14ac:dyDescent="0.25">
      <c r="G127" s="1"/>
      <c r="H127" s="1"/>
      <c r="I127" s="1"/>
      <c r="J127" s="1"/>
      <c r="K127" s="1"/>
      <c r="L127" s="1"/>
    </row>
    <row r="128" spans="7:12" x14ac:dyDescent="0.25">
      <c r="G128" s="1"/>
      <c r="H128" s="1"/>
      <c r="I128" s="1"/>
      <c r="J128" s="1"/>
      <c r="K128" s="1"/>
      <c r="L128" s="1"/>
    </row>
    <row r="129" spans="7:12" x14ac:dyDescent="0.25">
      <c r="G129" s="1"/>
      <c r="H129" s="1"/>
      <c r="I129" s="1"/>
      <c r="J129" s="1"/>
      <c r="K129" s="1"/>
      <c r="L129" s="1"/>
    </row>
    <row r="130" spans="7:12" x14ac:dyDescent="0.25">
      <c r="G130" s="1"/>
      <c r="H130" s="1"/>
      <c r="I130" s="1"/>
      <c r="J130" s="1"/>
      <c r="K130" s="1"/>
      <c r="L130" s="1"/>
    </row>
    <row r="131" spans="7:12" x14ac:dyDescent="0.25">
      <c r="G131" s="1"/>
      <c r="H131" s="1"/>
      <c r="I131" s="1"/>
      <c r="J131" s="1"/>
      <c r="K131" s="1"/>
      <c r="L131" s="1"/>
    </row>
    <row r="132" spans="7:12" x14ac:dyDescent="0.25">
      <c r="G132" s="1"/>
      <c r="H132" s="1"/>
      <c r="I132" s="1"/>
      <c r="J132" s="1"/>
      <c r="K132" s="1"/>
      <c r="L132" s="1"/>
    </row>
    <row r="133" spans="7:12" x14ac:dyDescent="0.25">
      <c r="G133" s="1"/>
      <c r="H133" s="1"/>
      <c r="I133" s="1"/>
      <c r="J133" s="1"/>
      <c r="K133" s="1"/>
      <c r="L133" s="1"/>
    </row>
    <row r="134" spans="7:12" x14ac:dyDescent="0.25">
      <c r="G134" s="1"/>
      <c r="H134" s="1"/>
      <c r="I134" s="1"/>
      <c r="J134" s="1"/>
      <c r="K134" s="1"/>
      <c r="L134" s="1"/>
    </row>
    <row r="135" spans="7:12" x14ac:dyDescent="0.25">
      <c r="G135" s="1"/>
      <c r="H135" s="1"/>
      <c r="I135" s="1"/>
      <c r="J135" s="1"/>
      <c r="K135" s="1"/>
      <c r="L135" s="1"/>
    </row>
    <row r="136" spans="7:12" x14ac:dyDescent="0.25">
      <c r="G136" s="1"/>
      <c r="H136" s="1"/>
      <c r="I136" s="1"/>
      <c r="J136" s="1"/>
      <c r="K136" s="1"/>
      <c r="L136" s="1"/>
    </row>
    <row r="137" spans="7:12" x14ac:dyDescent="0.25">
      <c r="G137" s="1"/>
      <c r="H137" s="1"/>
      <c r="I137" s="1"/>
      <c r="J137" s="1"/>
      <c r="K137" s="1"/>
      <c r="L137" s="1"/>
    </row>
    <row r="138" spans="7:12" x14ac:dyDescent="0.25">
      <c r="G138" s="1"/>
      <c r="H138" s="1"/>
      <c r="I138" s="1"/>
      <c r="J138" s="1"/>
      <c r="K138" s="1"/>
      <c r="L138" s="1"/>
    </row>
    <row r="139" spans="7:12" x14ac:dyDescent="0.25">
      <c r="G139" s="1"/>
      <c r="H139" s="1"/>
      <c r="I139" s="1"/>
      <c r="J139" s="1"/>
      <c r="K139" s="1"/>
      <c r="L139" s="1"/>
    </row>
    <row r="140" spans="7:12" x14ac:dyDescent="0.25">
      <c r="G140" s="1"/>
      <c r="H140" s="1"/>
      <c r="I140" s="1"/>
      <c r="J140" s="1"/>
      <c r="K140" s="1"/>
      <c r="L140" s="1"/>
    </row>
    <row r="141" spans="7:12" x14ac:dyDescent="0.25">
      <c r="G141" s="1"/>
      <c r="H141" s="1"/>
      <c r="I141" s="1"/>
      <c r="J141" s="1"/>
      <c r="K141" s="1"/>
      <c r="L141" s="1"/>
    </row>
    <row r="142" spans="7:12" x14ac:dyDescent="0.25">
      <c r="G142" s="1"/>
      <c r="H142" s="1"/>
      <c r="I142" s="1"/>
      <c r="J142" s="1"/>
      <c r="K142" s="1"/>
      <c r="L142" s="1"/>
    </row>
    <row r="143" spans="7:12" x14ac:dyDescent="0.25">
      <c r="G143" s="1"/>
      <c r="H143" s="1"/>
      <c r="I143" s="1"/>
      <c r="J143" s="1"/>
      <c r="K143" s="1"/>
      <c r="L143" s="1"/>
    </row>
    <row r="144" spans="7:12" x14ac:dyDescent="0.25">
      <c r="G144" s="1"/>
      <c r="H144" s="1"/>
      <c r="I144" s="1"/>
      <c r="J144" s="1"/>
      <c r="K144" s="1"/>
      <c r="L144" s="1"/>
    </row>
    <row r="145" spans="7:12" x14ac:dyDescent="0.25">
      <c r="G145" s="1"/>
      <c r="H145" s="1"/>
      <c r="I145" s="1"/>
      <c r="J145" s="1"/>
      <c r="K145" s="1"/>
      <c r="L145" s="1"/>
    </row>
    <row r="146" spans="7:12" x14ac:dyDescent="0.25">
      <c r="G146" s="1"/>
      <c r="H146" s="1"/>
      <c r="I146" s="1"/>
      <c r="J146" s="1"/>
      <c r="K146" s="1"/>
      <c r="L146" s="1"/>
    </row>
    <row r="147" spans="7:12" x14ac:dyDescent="0.25">
      <c r="G147" s="1"/>
      <c r="H147" s="1"/>
      <c r="I147" s="1"/>
      <c r="J147" s="1"/>
      <c r="K147" s="1"/>
      <c r="L147" s="1"/>
    </row>
    <row r="148" spans="7:12" x14ac:dyDescent="0.25">
      <c r="G148" s="1"/>
      <c r="H148" s="1"/>
      <c r="I148" s="1"/>
      <c r="J148" s="1"/>
      <c r="K148" s="1"/>
      <c r="L148" s="1"/>
    </row>
    <row r="149" spans="7:12" x14ac:dyDescent="0.25">
      <c r="G149" s="1"/>
      <c r="H149" s="1"/>
      <c r="I149" s="1"/>
      <c r="J149" s="1"/>
      <c r="K149" s="1"/>
      <c r="L149" s="1"/>
    </row>
    <row r="150" spans="7:12" x14ac:dyDescent="0.25">
      <c r="G150" s="1"/>
      <c r="H150" s="1"/>
      <c r="I150" s="1"/>
      <c r="J150" s="1"/>
      <c r="K150" s="1"/>
      <c r="L150" s="1"/>
    </row>
    <row r="151" spans="7:12" x14ac:dyDescent="0.25">
      <c r="G151" s="1"/>
      <c r="H151" s="1"/>
      <c r="I151" s="1"/>
      <c r="J151" s="1"/>
      <c r="K151" s="1"/>
      <c r="L151" s="1"/>
    </row>
    <row r="152" spans="7:12" x14ac:dyDescent="0.25">
      <c r="G152" s="1"/>
      <c r="H152" s="1"/>
      <c r="I152" s="1"/>
      <c r="J152" s="1"/>
      <c r="K152" s="1"/>
      <c r="L152" s="1"/>
    </row>
    <row r="153" spans="7:12" x14ac:dyDescent="0.25">
      <c r="G153" s="1"/>
      <c r="H153" s="1"/>
      <c r="I153" s="1"/>
      <c r="J153" s="1"/>
      <c r="K153" s="1"/>
      <c r="L153" s="1"/>
    </row>
    <row r="154" spans="7:12" x14ac:dyDescent="0.25">
      <c r="G154" s="1"/>
      <c r="H154" s="1"/>
      <c r="I154" s="1"/>
      <c r="J154" s="1"/>
      <c r="K154" s="1"/>
      <c r="L154" s="1"/>
    </row>
    <row r="155" spans="7:12" x14ac:dyDescent="0.25">
      <c r="G155" s="1"/>
      <c r="H155" s="1"/>
      <c r="I155" s="1"/>
      <c r="J155" s="1"/>
      <c r="K155" s="1"/>
      <c r="L155" s="1"/>
    </row>
    <row r="156" spans="7:12" x14ac:dyDescent="0.25">
      <c r="G156" s="1"/>
      <c r="H156" s="1"/>
      <c r="I156" s="1"/>
      <c r="J156" s="1"/>
      <c r="K156" s="1"/>
      <c r="L156" s="1"/>
    </row>
    <row r="157" spans="7:12" x14ac:dyDescent="0.25">
      <c r="G157" s="1"/>
      <c r="H157" s="1"/>
      <c r="I157" s="1"/>
      <c r="J157" s="1"/>
      <c r="K157" s="1"/>
      <c r="L157" s="1"/>
    </row>
    <row r="158" spans="7:12" x14ac:dyDescent="0.25">
      <c r="G158" s="1"/>
      <c r="H158" s="1"/>
      <c r="I158" s="1"/>
      <c r="J158" s="1"/>
      <c r="K158" s="1"/>
      <c r="L158" s="1"/>
    </row>
    <row r="159" spans="7:12" x14ac:dyDescent="0.25">
      <c r="G159" s="1"/>
      <c r="H159" s="1"/>
      <c r="I159" s="1"/>
      <c r="J159" s="1"/>
      <c r="K159" s="1"/>
      <c r="L159" s="1"/>
    </row>
    <row r="160" spans="7:12" x14ac:dyDescent="0.25">
      <c r="G160" s="1"/>
      <c r="H160" s="1"/>
      <c r="I160" s="1"/>
      <c r="J160" s="1"/>
      <c r="K160" s="1"/>
      <c r="L160" s="1"/>
    </row>
    <row r="161" spans="7:12" x14ac:dyDescent="0.25">
      <c r="G161" s="1"/>
      <c r="H161" s="1"/>
      <c r="I161" s="1"/>
      <c r="J161" s="1"/>
      <c r="K161" s="1"/>
      <c r="L161" s="1"/>
    </row>
    <row r="162" spans="7:12" x14ac:dyDescent="0.25">
      <c r="G162" s="1"/>
      <c r="H162" s="1"/>
      <c r="I162" s="1"/>
      <c r="J162" s="1"/>
      <c r="K162" s="1"/>
      <c r="L162" s="1"/>
    </row>
    <row r="163" spans="7:12" x14ac:dyDescent="0.25">
      <c r="G163" s="1"/>
      <c r="H163" s="1"/>
      <c r="I163" s="1"/>
      <c r="J163" s="1"/>
      <c r="K163" s="1"/>
      <c r="L163" s="1"/>
    </row>
    <row r="164" spans="7:12" x14ac:dyDescent="0.25">
      <c r="G164" s="1"/>
      <c r="H164" s="1"/>
      <c r="I164" s="1"/>
      <c r="J164" s="1"/>
      <c r="K164" s="1"/>
      <c r="L164" s="1"/>
    </row>
    <row r="165" spans="7:12" x14ac:dyDescent="0.25">
      <c r="G165" s="1"/>
      <c r="H165" s="1"/>
      <c r="I165" s="1"/>
      <c r="J165" s="1"/>
      <c r="K165" s="1"/>
      <c r="L165" s="1"/>
    </row>
    <row r="166" spans="7:12" x14ac:dyDescent="0.25">
      <c r="G166" s="1"/>
      <c r="H166" s="1"/>
      <c r="I166" s="1"/>
      <c r="J166" s="1"/>
      <c r="K166" s="1"/>
      <c r="L166" s="1"/>
    </row>
    <row r="167" spans="7:12" x14ac:dyDescent="0.25">
      <c r="G167" s="1"/>
      <c r="H167" s="1"/>
      <c r="I167" s="1"/>
      <c r="J167" s="1"/>
      <c r="K167" s="1"/>
      <c r="L167" s="1"/>
    </row>
    <row r="168" spans="7:12" x14ac:dyDescent="0.25">
      <c r="G168" s="1"/>
      <c r="H168" s="1"/>
      <c r="I168" s="1"/>
      <c r="J168" s="1"/>
      <c r="K168" s="1"/>
      <c r="L168" s="1"/>
    </row>
    <row r="169" spans="7:12" x14ac:dyDescent="0.25">
      <c r="G169" s="1"/>
      <c r="H169" s="1"/>
      <c r="I169" s="1"/>
      <c r="J169" s="1"/>
      <c r="K169" s="1"/>
      <c r="L169" s="1"/>
    </row>
    <row r="170" spans="7:12" x14ac:dyDescent="0.25">
      <c r="G170" s="1"/>
      <c r="H170" s="1"/>
      <c r="I170" s="1"/>
      <c r="J170" s="1"/>
      <c r="K170" s="1"/>
      <c r="L170" s="1"/>
    </row>
    <row r="171" spans="7:12" x14ac:dyDescent="0.25">
      <c r="G171" s="1"/>
      <c r="H171" s="1"/>
      <c r="I171" s="1"/>
      <c r="J171" s="1"/>
      <c r="K171" s="1"/>
      <c r="L171" s="1"/>
    </row>
    <row r="172" spans="7:12" x14ac:dyDescent="0.25">
      <c r="G172" s="1"/>
      <c r="H172" s="1"/>
      <c r="I172" s="1"/>
      <c r="J172" s="1"/>
      <c r="K172" s="1"/>
      <c r="L172" s="1"/>
    </row>
    <row r="173" spans="7:12" x14ac:dyDescent="0.25">
      <c r="G173" s="1"/>
      <c r="H173" s="1"/>
      <c r="I173" s="1"/>
      <c r="J173" s="1"/>
      <c r="K173" s="1"/>
      <c r="L173" s="1"/>
    </row>
    <row r="174" spans="7:12" x14ac:dyDescent="0.25">
      <c r="G174" s="1"/>
      <c r="H174" s="1"/>
      <c r="I174" s="1"/>
      <c r="J174" s="1"/>
      <c r="K174" s="1"/>
      <c r="L174" s="1"/>
    </row>
    <row r="175" spans="7:12" x14ac:dyDescent="0.25">
      <c r="G175" s="1"/>
      <c r="H175" s="1"/>
      <c r="I175" s="1"/>
      <c r="J175" s="1"/>
      <c r="K175" s="1"/>
      <c r="L175" s="1"/>
    </row>
    <row r="176" spans="7:12" x14ac:dyDescent="0.25">
      <c r="G176" s="1"/>
      <c r="H176" s="1"/>
      <c r="I176" s="1"/>
      <c r="J176" s="1"/>
      <c r="K176" s="1"/>
      <c r="L176" s="1"/>
    </row>
    <row r="177" spans="7:12" x14ac:dyDescent="0.25">
      <c r="G177" s="1"/>
      <c r="H177" s="1"/>
      <c r="I177" s="1"/>
      <c r="J177" s="1"/>
      <c r="K177" s="1"/>
      <c r="L177" s="1"/>
    </row>
  </sheetData>
  <mergeCells count="1">
    <mergeCell ref="A1:F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83E3B-7F21-4748-9C65-3E64E902F74F}">
  <sheetPr>
    <tabColor theme="7"/>
  </sheetPr>
  <dimension ref="A1:R31"/>
  <sheetViews>
    <sheetView showGridLines="0" workbookViewId="0">
      <selection activeCell="M4" sqref="M4"/>
    </sheetView>
  </sheetViews>
  <sheetFormatPr defaultRowHeight="15" x14ac:dyDescent="0.25"/>
  <cols>
    <col min="1" max="5" width="2.7109375" customWidth="1"/>
    <col min="6" max="6" width="24" customWidth="1"/>
    <col min="7" max="7" width="11.5703125" bestFit="1" customWidth="1"/>
    <col min="8" max="12" width="2.7109375" customWidth="1"/>
    <col min="13" max="13" width="24" customWidth="1"/>
    <col min="14" max="14" width="27.28515625" bestFit="1" customWidth="1"/>
  </cols>
  <sheetData>
    <row r="1" spans="1:18" ht="24" thickBot="1" x14ac:dyDescent="0.4">
      <c r="A1" s="89" t="s">
        <v>162</v>
      </c>
    </row>
    <row r="2" spans="1:18" ht="15.75" thickBot="1" x14ac:dyDescent="0.3">
      <c r="B2" s="221" t="s">
        <v>141</v>
      </c>
      <c r="C2" s="222"/>
      <c r="D2" s="222"/>
      <c r="E2" s="222"/>
      <c r="F2" s="222"/>
      <c r="G2" s="223"/>
      <c r="I2" s="221" t="s">
        <v>177</v>
      </c>
      <c r="J2" s="222"/>
      <c r="K2" s="222"/>
      <c r="L2" s="222"/>
      <c r="M2" s="222"/>
      <c r="N2" s="222"/>
      <c r="O2" s="222"/>
      <c r="P2" s="222"/>
      <c r="Q2" s="222"/>
      <c r="R2" s="223"/>
    </row>
    <row r="3" spans="1:18" x14ac:dyDescent="0.25">
      <c r="B3" s="30"/>
      <c r="C3" s="31" t="s">
        <v>109</v>
      </c>
      <c r="D3" s="31"/>
      <c r="E3" s="31"/>
      <c r="F3" s="32"/>
      <c r="G3" s="20">
        <f>SUM(hist.amort,hist.depreciation,hist.EBIT)</f>
        <v>7230.6853024878246</v>
      </c>
      <c r="I3" s="30"/>
      <c r="J3" s="31" t="s">
        <v>178</v>
      </c>
      <c r="K3" s="31"/>
      <c r="L3" s="31"/>
      <c r="M3" s="32"/>
      <c r="N3" s="46" t="s">
        <v>187</v>
      </c>
      <c r="O3" s="49" t="s">
        <v>186</v>
      </c>
      <c r="P3" s="53" t="s">
        <v>183</v>
      </c>
      <c r="Q3" s="53" t="s">
        <v>184</v>
      </c>
      <c r="R3" s="41" t="s">
        <v>185</v>
      </c>
    </row>
    <row r="4" spans="1:18" x14ac:dyDescent="0.25">
      <c r="B4" s="33"/>
      <c r="C4" s="34" t="s">
        <v>163</v>
      </c>
      <c r="D4" s="34"/>
      <c r="E4" s="34"/>
      <c r="F4" s="35"/>
      <c r="G4" s="21">
        <v>8</v>
      </c>
      <c r="I4" s="33"/>
      <c r="J4" s="34"/>
      <c r="K4" s="34" t="s">
        <v>179</v>
      </c>
      <c r="L4" s="34"/>
      <c r="M4" s="35"/>
      <c r="N4" s="47">
        <f>hist.cash</f>
        <v>3992.7969209246939</v>
      </c>
      <c r="O4" s="50" cm="1">
        <f t="array" ref="O4:O7">N4:N7/N8</f>
        <v>5.5766660284081615E-2</v>
      </c>
      <c r="P4" s="54" cm="1">
        <f t="array" ref="P4:P8">N4:N8/G3</f>
        <v>0.55220172831348546</v>
      </c>
      <c r="Q4" s="55"/>
      <c r="R4" s="42"/>
    </row>
    <row r="5" spans="1:18" x14ac:dyDescent="0.25">
      <c r="B5" s="33"/>
      <c r="C5" s="34"/>
      <c r="D5" s="34" t="s">
        <v>142</v>
      </c>
      <c r="E5" s="34"/>
      <c r="F5" s="35"/>
      <c r="G5" s="22">
        <f>G4*G3</f>
        <v>57845.482419902597</v>
      </c>
      <c r="I5" s="33"/>
      <c r="J5" s="34"/>
      <c r="K5" s="34" t="s">
        <v>180</v>
      </c>
      <c r="L5" s="34"/>
      <c r="M5" s="35"/>
      <c r="N5" s="47">
        <v>18000</v>
      </c>
      <c r="O5" s="50">
        <v>0.25140268964167567</v>
      </c>
      <c r="P5" s="54">
        <v>2.4893905967400949</v>
      </c>
      <c r="Q5" s="55">
        <v>0.03</v>
      </c>
      <c r="R5" s="23">
        <f>Q5*LBO.Revolver</f>
        <v>540</v>
      </c>
    </row>
    <row r="6" spans="1:18" x14ac:dyDescent="0.25">
      <c r="B6" s="33"/>
      <c r="C6" s="34"/>
      <c r="D6" s="34" t="s">
        <v>164</v>
      </c>
      <c r="E6" s="34"/>
      <c r="F6" s="35"/>
      <c r="G6" s="23"/>
      <c r="I6" s="33"/>
      <c r="J6" s="34"/>
      <c r="K6" s="34" t="s">
        <v>181</v>
      </c>
      <c r="L6" s="34"/>
      <c r="M6" s="35"/>
      <c r="N6" s="47">
        <v>18000</v>
      </c>
      <c r="O6" s="50">
        <v>0.25140268964167567</v>
      </c>
      <c r="P6" s="54">
        <v>2.4893905967400949</v>
      </c>
      <c r="Q6" s="55">
        <v>0.04</v>
      </c>
      <c r="R6" s="23">
        <f>Q6*LBO.junk</f>
        <v>720</v>
      </c>
    </row>
    <row r="7" spans="1:18" x14ac:dyDescent="0.25">
      <c r="B7" s="33"/>
      <c r="C7" s="34"/>
      <c r="D7" s="34"/>
      <c r="E7" s="34" t="s">
        <v>169</v>
      </c>
      <c r="F7" s="35"/>
      <c r="G7" s="23"/>
      <c r="I7" s="33"/>
      <c r="J7" s="34"/>
      <c r="K7" s="34" t="s">
        <v>182</v>
      </c>
      <c r="L7" s="34"/>
      <c r="M7" s="35"/>
      <c r="N7" s="28">
        <f>30000+1605.48241990259</f>
        <v>31605.48241990259</v>
      </c>
      <c r="O7" s="50">
        <v>0.44142796043256705</v>
      </c>
      <c r="P7" s="54">
        <v>4.3710217078633269</v>
      </c>
      <c r="Q7" s="51"/>
      <c r="R7" s="43"/>
    </row>
    <row r="8" spans="1:18" x14ac:dyDescent="0.25">
      <c r="B8" s="33"/>
      <c r="C8" s="34"/>
      <c r="D8" s="34"/>
      <c r="E8" s="34"/>
      <c r="F8" s="35" t="s">
        <v>93</v>
      </c>
      <c r="G8" s="23">
        <f>-DCF.Debt</f>
        <v>-5500</v>
      </c>
      <c r="I8" s="33"/>
      <c r="J8" s="34" t="s">
        <v>188</v>
      </c>
      <c r="K8" s="34"/>
      <c r="L8" s="34"/>
      <c r="M8" s="35"/>
      <c r="N8" s="47">
        <f>SUM(N4:N7)</f>
        <v>71598.279340827285</v>
      </c>
      <c r="O8" s="51"/>
      <c r="P8" s="54">
        <v>9.9020046296570019</v>
      </c>
      <c r="Q8" s="51"/>
      <c r="R8" s="22">
        <f>SUM(R4:R7)</f>
        <v>1260</v>
      </c>
    </row>
    <row r="9" spans="1:18" x14ac:dyDescent="0.25">
      <c r="B9" s="33"/>
      <c r="C9" s="34"/>
      <c r="D9" s="34"/>
      <c r="E9" s="34"/>
      <c r="F9" s="35" t="s">
        <v>69</v>
      </c>
      <c r="G9" s="23">
        <f>-DCF.Pref.Stock</f>
        <v>-1500</v>
      </c>
      <c r="I9" s="33"/>
      <c r="J9" s="34"/>
      <c r="K9" s="34"/>
      <c r="L9" s="34"/>
      <c r="M9" s="35"/>
      <c r="N9" s="47"/>
      <c r="O9" s="51"/>
      <c r="P9" s="51"/>
      <c r="Q9" s="51"/>
      <c r="R9" s="43"/>
    </row>
    <row r="10" spans="1:18" x14ac:dyDescent="0.25">
      <c r="B10" s="33"/>
      <c r="C10" s="34"/>
      <c r="D10" s="34"/>
      <c r="E10" s="34" t="s">
        <v>170</v>
      </c>
      <c r="F10" s="35"/>
      <c r="G10" s="23"/>
      <c r="I10" s="33"/>
      <c r="J10" s="34" t="s">
        <v>189</v>
      </c>
      <c r="K10" s="34"/>
      <c r="L10" s="34"/>
      <c r="M10" s="35"/>
      <c r="N10" s="47"/>
      <c r="O10" s="51"/>
      <c r="P10" s="51"/>
      <c r="Q10" s="51"/>
      <c r="R10" s="43"/>
    </row>
    <row r="11" spans="1:18" x14ac:dyDescent="0.25">
      <c r="B11" s="33"/>
      <c r="C11" s="34"/>
      <c r="D11" s="34"/>
      <c r="E11" s="34"/>
      <c r="F11" s="35" t="s">
        <v>45</v>
      </c>
      <c r="G11" s="23">
        <f>hist.cash</f>
        <v>3992.7969209246939</v>
      </c>
      <c r="I11" s="33"/>
      <c r="J11" s="34"/>
      <c r="K11" s="34" t="s">
        <v>172</v>
      </c>
      <c r="L11" s="34"/>
      <c r="M11" s="35"/>
      <c r="N11" s="47">
        <f>min.cash</f>
        <v>5000</v>
      </c>
      <c r="O11" s="50" cm="1">
        <f t="array" ref="O11:O16">N11:N16/N17</f>
        <v>6.9834080456021019E-2</v>
      </c>
      <c r="P11" s="51"/>
      <c r="Q11" s="51"/>
      <c r="R11" s="43"/>
    </row>
    <row r="12" spans="1:18" x14ac:dyDescent="0.25">
      <c r="B12" s="33"/>
      <c r="C12" s="34" t="s">
        <v>165</v>
      </c>
      <c r="D12" s="34"/>
      <c r="E12" s="34"/>
      <c r="F12" s="35"/>
      <c r="G12" s="25">
        <f>SUM(G5:G11)</f>
        <v>54838.279340827292</v>
      </c>
      <c r="I12" s="33"/>
      <c r="J12" s="34"/>
      <c r="K12" s="34" t="s">
        <v>190</v>
      </c>
      <c r="L12" s="34"/>
      <c r="M12" s="35"/>
      <c r="N12" s="47">
        <f>G12</f>
        <v>54838.279340827292</v>
      </c>
      <c r="O12" s="50">
        <v>0.76591616231141768</v>
      </c>
      <c r="P12" s="51"/>
      <c r="Q12" s="51"/>
      <c r="R12" s="43"/>
    </row>
    <row r="13" spans="1:18" ht="15.75" thickBot="1" x14ac:dyDescent="0.3">
      <c r="B13" s="36"/>
      <c r="C13" s="37"/>
      <c r="D13" s="38" t="s">
        <v>166</v>
      </c>
      <c r="E13" s="37"/>
      <c r="F13" s="39"/>
      <c r="G13" s="24">
        <f ca="1">G12/shares.outstanding</f>
        <v>46.329574927873722</v>
      </c>
      <c r="I13" s="33"/>
      <c r="J13" s="34"/>
      <c r="K13" s="34" t="s">
        <v>193</v>
      </c>
      <c r="L13" s="34"/>
      <c r="M13" s="35"/>
      <c r="N13" s="47">
        <f>-G8</f>
        <v>5500</v>
      </c>
      <c r="O13" s="50">
        <v>7.6817488501623121E-2</v>
      </c>
      <c r="P13" s="51"/>
      <c r="Q13" s="51"/>
      <c r="R13" s="43"/>
    </row>
    <row r="14" spans="1:18" ht="15.75" thickBot="1" x14ac:dyDescent="0.3">
      <c r="G14" s="1"/>
      <c r="I14" s="33"/>
      <c r="J14" s="34"/>
      <c r="K14" s="34" t="s">
        <v>191</v>
      </c>
      <c r="L14" s="34"/>
      <c r="M14" s="35"/>
      <c r="N14" s="47">
        <f>-G9</f>
        <v>1500</v>
      </c>
      <c r="O14" s="50">
        <v>2.0950224136806306E-2</v>
      </c>
      <c r="P14" s="51"/>
      <c r="Q14" s="51"/>
      <c r="R14" s="43"/>
    </row>
    <row r="15" spans="1:18" ht="15.75" thickBot="1" x14ac:dyDescent="0.3">
      <c r="B15" s="221" t="s">
        <v>167</v>
      </c>
      <c r="C15" s="222"/>
      <c r="D15" s="222"/>
      <c r="E15" s="222"/>
      <c r="F15" s="222"/>
      <c r="G15" s="223"/>
      <c r="I15" s="33"/>
      <c r="J15" s="34"/>
      <c r="K15" s="34" t="s">
        <v>192</v>
      </c>
      <c r="L15" s="34"/>
      <c r="M15" s="35"/>
      <c r="N15" s="47">
        <f>goldman.fee</f>
        <v>3500</v>
      </c>
      <c r="O15" s="50">
        <v>4.8883856319214714E-2</v>
      </c>
      <c r="P15" s="51"/>
      <c r="Q15" s="51"/>
      <c r="R15" s="43"/>
    </row>
    <row r="16" spans="1:18" x14ac:dyDescent="0.25">
      <c r="B16" s="30"/>
      <c r="C16" s="40" t="s">
        <v>168</v>
      </c>
      <c r="D16" s="31"/>
      <c r="E16" s="31"/>
      <c r="F16" s="32"/>
      <c r="G16" s="26">
        <v>6</v>
      </c>
      <c r="I16" s="33"/>
      <c r="J16" s="34"/>
      <c r="K16" s="34" t="s">
        <v>194</v>
      </c>
      <c r="L16" s="34"/>
      <c r="M16" s="35"/>
      <c r="N16" s="47">
        <f>PNC.fee</f>
        <v>1260</v>
      </c>
      <c r="O16" s="50">
        <v>1.7598188274917295E-2</v>
      </c>
      <c r="P16" s="51"/>
      <c r="Q16" s="51"/>
      <c r="R16" s="43"/>
    </row>
    <row r="17" spans="2:18" x14ac:dyDescent="0.25">
      <c r="B17" s="33"/>
      <c r="C17" s="34" t="s">
        <v>171</v>
      </c>
      <c r="D17" s="34"/>
      <c r="E17" s="34"/>
      <c r="F17" s="35"/>
      <c r="G17" s="23">
        <f>G16*G3</f>
        <v>43384.111814926946</v>
      </c>
      <c r="I17" s="33"/>
      <c r="J17" s="34" t="s">
        <v>195</v>
      </c>
      <c r="K17" s="34"/>
      <c r="L17" s="34"/>
      <c r="M17" s="35"/>
      <c r="N17" s="48">
        <f>SUM(N11:N16)</f>
        <v>71598.279340827285</v>
      </c>
      <c r="O17" s="51"/>
      <c r="P17" s="51"/>
      <c r="Q17" s="56"/>
      <c r="R17" s="43"/>
    </row>
    <row r="18" spans="2:18" x14ac:dyDescent="0.25">
      <c r="B18" s="33"/>
      <c r="C18" s="34" t="s">
        <v>172</v>
      </c>
      <c r="D18" s="34"/>
      <c r="E18" s="34"/>
      <c r="F18" s="35"/>
      <c r="G18" s="23">
        <v>5000</v>
      </c>
      <c r="I18" s="33"/>
      <c r="J18" s="34"/>
      <c r="K18" s="34"/>
      <c r="L18" s="34"/>
      <c r="M18" s="35"/>
      <c r="N18" s="47"/>
      <c r="O18" s="51"/>
      <c r="P18" s="51"/>
      <c r="Q18" s="51"/>
      <c r="R18" s="43"/>
    </row>
    <row r="19" spans="2:18" ht="15.75" thickBot="1" x14ac:dyDescent="0.3">
      <c r="B19" s="36"/>
      <c r="C19" s="37" t="s">
        <v>173</v>
      </c>
      <c r="D19" s="37"/>
      <c r="E19" s="37"/>
      <c r="F19" s="39"/>
      <c r="G19" s="27">
        <f>3500</f>
        <v>3500</v>
      </c>
      <c r="I19" s="36"/>
      <c r="J19" s="38" t="s">
        <v>75</v>
      </c>
      <c r="K19" s="37"/>
      <c r="L19" s="37"/>
      <c r="M19" s="39"/>
      <c r="N19" s="64">
        <f>_xlfn.LET(_xlpm.sources,N8,_xlpm.uses,N17,_xlpm.sources-_xlpm.uses)</f>
        <v>0</v>
      </c>
      <c r="O19" s="52"/>
      <c r="P19" s="52"/>
      <c r="Q19" s="52"/>
      <c r="R19" s="45"/>
    </row>
    <row r="20" spans="2:18" ht="15.75" thickBot="1" x14ac:dyDescent="0.3">
      <c r="G20" s="1"/>
      <c r="N20" s="1"/>
    </row>
    <row r="21" spans="2:18" ht="15.75" thickBot="1" x14ac:dyDescent="0.3">
      <c r="B21" s="221" t="s">
        <v>174</v>
      </c>
      <c r="C21" s="222"/>
      <c r="D21" s="222"/>
      <c r="E21" s="222"/>
      <c r="F21" s="222"/>
      <c r="G21" s="223"/>
      <c r="N21" s="1"/>
    </row>
    <row r="22" spans="2:18" x14ac:dyDescent="0.25">
      <c r="B22" s="30"/>
      <c r="C22" s="31" t="s">
        <v>175</v>
      </c>
      <c r="D22" s="31"/>
      <c r="E22" s="31"/>
      <c r="F22" s="32"/>
      <c r="G22" s="23">
        <f>G12</f>
        <v>54838.279340827292</v>
      </c>
      <c r="N22" s="1"/>
    </row>
    <row r="23" spans="2:18" x14ac:dyDescent="0.25">
      <c r="B23" s="33"/>
      <c r="C23" s="34"/>
      <c r="D23" s="34" t="s">
        <v>176</v>
      </c>
      <c r="E23" s="34"/>
      <c r="F23" s="35"/>
      <c r="G23" s="28">
        <f>-(DCF.Equity-DCF.Pref.Stock)</f>
        <v>-10304.286087316566</v>
      </c>
      <c r="N23" s="4"/>
    </row>
    <row r="24" spans="2:18" ht="15.75" thickBot="1" x14ac:dyDescent="0.3">
      <c r="B24" s="36"/>
      <c r="C24" s="37" t="s">
        <v>53</v>
      </c>
      <c r="D24" s="37"/>
      <c r="E24" s="37"/>
      <c r="F24" s="39"/>
      <c r="G24" s="29">
        <f>SUM(G22:G23)</f>
        <v>44533.993253510722</v>
      </c>
      <c r="N24" s="1"/>
    </row>
    <row r="25" spans="2:18" x14ac:dyDescent="0.25">
      <c r="G25" s="1"/>
      <c r="N25" s="1"/>
    </row>
    <row r="26" spans="2:18" x14ac:dyDescent="0.25">
      <c r="G26" s="1"/>
      <c r="N26" s="1"/>
    </row>
    <row r="27" spans="2:18" x14ac:dyDescent="0.25">
      <c r="G27" s="1"/>
      <c r="N27" s="1"/>
    </row>
    <row r="28" spans="2:18" x14ac:dyDescent="0.25">
      <c r="G28" s="1"/>
      <c r="N28" s="1"/>
    </row>
    <row r="29" spans="2:18" x14ac:dyDescent="0.25">
      <c r="G29" s="1"/>
      <c r="N29" s="1"/>
    </row>
    <row r="30" spans="2:18" x14ac:dyDescent="0.25">
      <c r="G30" s="1"/>
      <c r="N30" s="1"/>
    </row>
    <row r="31" spans="2:18" x14ac:dyDescent="0.25">
      <c r="G31" s="1"/>
      <c r="N31" s="1"/>
    </row>
  </sheetData>
  <mergeCells count="4">
    <mergeCell ref="B2:G2"/>
    <mergeCell ref="B15:G15"/>
    <mergeCell ref="B21:G21"/>
    <mergeCell ref="I2:R2"/>
  </mergeCells>
  <conditionalFormatting sqref="N19">
    <cfRule type="cellIs" dxfId="5" priority="1" operator="equal">
      <formula>0</formula>
    </cfRule>
    <cfRule type="cellIs" dxfId="4" priority="2" operator="lessThan">
      <formula>0</formula>
    </cfRule>
    <cfRule type="cellIs" dxfId="3" priority="3" operator="greaterThan">
      <formula>0</formula>
    </cfRule>
    <cfRule type="cellIs" dxfId="2" priority="4" operator="equal">
      <formula>0</formula>
    </cfRule>
    <cfRule type="cellIs" dxfId="1" priority="5" operator="equal">
      <formula>0</formula>
    </cfRule>
    <cfRule type="cellIs" dxfId="0" priority="6" operator="equal">
      <formula>" -   "</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408B8-8805-4433-B639-CF6CB5EF9A44}">
  <sheetPr>
    <tabColor theme="5"/>
  </sheetPr>
  <dimension ref="A1:T300"/>
  <sheetViews>
    <sheetView showGridLines="0" tabSelected="1" zoomScale="90" zoomScaleNormal="90" workbookViewId="0">
      <selection activeCell="Q35" sqref="Q35"/>
    </sheetView>
  </sheetViews>
  <sheetFormatPr defaultRowHeight="15" x14ac:dyDescent="0.25"/>
  <cols>
    <col min="1" max="5" width="2.7109375" customWidth="1"/>
    <col min="6" max="6" width="24.85546875" customWidth="1"/>
    <col min="7" max="7" width="10" customWidth="1"/>
    <col min="8" max="8" width="10.140625" customWidth="1"/>
    <col min="9" max="11" width="9.42578125" customWidth="1"/>
    <col min="14" max="14" width="10" customWidth="1"/>
    <col min="15" max="15" width="10.140625" bestFit="1" customWidth="1"/>
    <col min="16" max="20" width="9.5703125" bestFit="1" customWidth="1"/>
  </cols>
  <sheetData>
    <row r="1" spans="1:11" ht="24" thickBot="1" x14ac:dyDescent="0.4">
      <c r="A1" s="89" t="s">
        <v>220</v>
      </c>
    </row>
    <row r="2" spans="1:11" ht="15.75" thickBot="1" x14ac:dyDescent="0.3">
      <c r="B2" s="218" t="s">
        <v>105</v>
      </c>
      <c r="C2" s="219"/>
      <c r="D2" s="219"/>
      <c r="E2" s="219"/>
      <c r="F2" s="219"/>
      <c r="G2" s="219"/>
      <c r="H2" s="219"/>
      <c r="I2" s="219"/>
      <c r="J2" s="219"/>
      <c r="K2" s="220"/>
    </row>
    <row r="3" spans="1:11" ht="15.75" thickBot="1" x14ac:dyDescent="0.3">
      <c r="B3" s="123"/>
      <c r="C3" s="124" t="s">
        <v>221</v>
      </c>
      <c r="D3" s="124"/>
      <c r="E3" s="124"/>
      <c r="F3" s="125"/>
      <c r="G3" s="86" cm="1">
        <f t="array" ref="G3:K3">dates.forecast</f>
        <v>2025</v>
      </c>
      <c r="H3" s="86">
        <v>2026</v>
      </c>
      <c r="I3" s="86">
        <v>2027</v>
      </c>
      <c r="J3" s="86">
        <v>2028</v>
      </c>
      <c r="K3" s="87">
        <v>2029</v>
      </c>
    </row>
    <row r="4" spans="1:11" x14ac:dyDescent="0.25">
      <c r="B4" s="101"/>
      <c r="C4" s="102"/>
      <c r="D4" s="102" t="s">
        <v>196</v>
      </c>
      <c r="E4" s="102"/>
      <c r="F4" s="103"/>
      <c r="G4" s="4" cm="1">
        <f t="array" aca="1" ref="G4:K4" ca="1">Revolver</f>
        <v>15814.109361979317</v>
      </c>
      <c r="H4" s="4">
        <f ca="1"/>
        <v>13445.450961751978</v>
      </c>
      <c r="I4" s="4">
        <f ca="1"/>
        <v>10465.325578478016</v>
      </c>
      <c r="J4" s="4">
        <f ca="1"/>
        <v>7149.9307191495245</v>
      </c>
      <c r="K4" s="23">
        <f ca="1"/>
        <v>3304.3301739438393</v>
      </c>
    </row>
    <row r="5" spans="1:11" x14ac:dyDescent="0.25">
      <c r="B5" s="101"/>
      <c r="C5" s="102"/>
      <c r="D5" s="102" t="s">
        <v>197</v>
      </c>
      <c r="E5" s="102"/>
      <c r="F5" s="103"/>
      <c r="G5" s="4" cm="1">
        <f t="array" ref="G5:K5">Sub.Debt</f>
        <v>18000</v>
      </c>
      <c r="H5" s="4">
        <v>18000</v>
      </c>
      <c r="I5" s="4">
        <v>18000</v>
      </c>
      <c r="J5" s="4">
        <v>18000</v>
      </c>
      <c r="K5" s="23">
        <v>18000</v>
      </c>
    </row>
    <row r="6" spans="1:11" x14ac:dyDescent="0.25">
      <c r="B6" s="101"/>
      <c r="C6" s="102"/>
      <c r="D6" s="102" t="s">
        <v>222</v>
      </c>
      <c r="E6" s="102"/>
      <c r="F6" s="103"/>
      <c r="G6" s="4" cm="1">
        <f t="array" aca="1" ref="G6:K6" ca="1">f.equity</f>
        <v>27543.857853903952</v>
      </c>
      <c r="H6" s="4">
        <f ca="1"/>
        <v>28485.938443364907</v>
      </c>
      <c r="I6" s="4">
        <f ca="1"/>
        <v>29802.368997459474</v>
      </c>
      <c r="J6" s="4">
        <f ca="1"/>
        <v>31561.748251467547</v>
      </c>
      <c r="K6" s="23">
        <f ca="1"/>
        <v>33750.903568510417</v>
      </c>
    </row>
    <row r="7" spans="1:11" x14ac:dyDescent="0.25">
      <c r="B7" s="101"/>
      <c r="C7" s="102" t="s">
        <v>223</v>
      </c>
      <c r="D7" s="102"/>
      <c r="E7" s="102"/>
      <c r="F7" s="103"/>
      <c r="G7" s="3">
        <f ca="1">SUM(G4:G6)</f>
        <v>61357.967215883269</v>
      </c>
      <c r="H7" s="3">
        <f t="shared" ref="H7:K7" ca="1" si="0">SUM(H4:H6)</f>
        <v>59931.38940511689</v>
      </c>
      <c r="I7" s="3">
        <f t="shared" ca="1" si="0"/>
        <v>58267.694575937494</v>
      </c>
      <c r="J7" s="3">
        <f t="shared" ca="1" si="0"/>
        <v>56711.678970617068</v>
      </c>
      <c r="K7" s="22">
        <f t="shared" ca="1" si="0"/>
        <v>55055.233742454257</v>
      </c>
    </row>
    <row r="8" spans="1:11" x14ac:dyDescent="0.25">
      <c r="B8" s="101"/>
      <c r="C8" s="102" t="s">
        <v>224</v>
      </c>
      <c r="D8" s="102"/>
      <c r="E8" s="102"/>
      <c r="F8" s="103"/>
      <c r="G8" s="4"/>
      <c r="H8" s="4"/>
      <c r="I8" s="4"/>
      <c r="J8" s="4"/>
      <c r="K8" s="23"/>
    </row>
    <row r="9" spans="1:11" x14ac:dyDescent="0.25">
      <c r="B9" s="101"/>
      <c r="C9" s="102"/>
      <c r="D9" s="102" t="str" cm="1">
        <f t="array" ref="D9:D11">+D4:D6</f>
        <v>Revolver</v>
      </c>
      <c r="E9" s="102"/>
      <c r="F9" s="103"/>
      <c r="G9" s="14" cm="1">
        <f t="array" aca="1" ref="G9:K11" ca="1">G4:K6/G7:K7</f>
        <v>0.25773522297990403</v>
      </c>
      <c r="H9" s="14">
        <f ca="1"/>
        <v>0.22434739283057598</v>
      </c>
      <c r="I9" s="14">
        <f ca="1"/>
        <v>0.17960768234684588</v>
      </c>
      <c r="J9" s="14">
        <f ca="1"/>
        <v>0.1260751021470195</v>
      </c>
      <c r="K9" s="67">
        <f ca="1"/>
        <v>6.00184569082267E-2</v>
      </c>
    </row>
    <row r="10" spans="1:11" x14ac:dyDescent="0.25">
      <c r="B10" s="101"/>
      <c r="C10" s="102"/>
      <c r="D10" s="102" t="str">
        <v>Subordinated Debt</v>
      </c>
      <c r="E10" s="102"/>
      <c r="F10" s="103"/>
      <c r="G10" s="14">
        <f ca="1"/>
        <v>0.29336043576327081</v>
      </c>
      <c r="H10" s="14">
        <f ca="1"/>
        <v>0.30034344570798782</v>
      </c>
      <c r="I10" s="14">
        <f ca="1"/>
        <v>0.30891903534198462</v>
      </c>
      <c r="J10" s="14">
        <f ca="1"/>
        <v>0.31739494098430754</v>
      </c>
      <c r="K10" s="67">
        <f ca="1"/>
        <v>0.32694439341050002</v>
      </c>
    </row>
    <row r="11" spans="1:11" x14ac:dyDescent="0.25">
      <c r="B11" s="101"/>
      <c r="C11" s="102"/>
      <c r="D11" s="102" t="str">
        <v>Gecko Fund Equity</v>
      </c>
      <c r="E11" s="102"/>
      <c r="F11" s="103"/>
      <c r="G11" s="14">
        <f ca="1"/>
        <v>0.44890434125682516</v>
      </c>
      <c r="H11" s="14">
        <f ca="1"/>
        <v>0.47530916146143615</v>
      </c>
      <c r="I11" s="14">
        <f ca="1"/>
        <v>0.5114732823111694</v>
      </c>
      <c r="J11" s="14">
        <f ca="1"/>
        <v>0.55652995686867301</v>
      </c>
      <c r="K11" s="67">
        <f ca="1"/>
        <v>0.61303714968127332</v>
      </c>
    </row>
    <row r="12" spans="1:11" x14ac:dyDescent="0.25">
      <c r="B12" s="101"/>
      <c r="C12" s="102" t="s">
        <v>225</v>
      </c>
      <c r="D12" s="102"/>
      <c r="E12" s="102"/>
      <c r="F12" s="103"/>
      <c r="G12" s="4"/>
      <c r="H12" s="4"/>
      <c r="I12" s="4"/>
      <c r="J12" s="4"/>
      <c r="K12" s="23"/>
    </row>
    <row r="13" spans="1:11" x14ac:dyDescent="0.25">
      <c r="B13" s="101"/>
      <c r="C13" s="102"/>
      <c r="D13" s="102" t="str" cm="1">
        <f t="array" ref="D13:D15">D4:D6</f>
        <v>Revolver</v>
      </c>
      <c r="E13" s="102"/>
      <c r="F13" s="103"/>
      <c r="G13" s="15" cm="1">
        <f t="array" ref="G13:K13">rate.revolver*(1-tax.rate)</f>
        <v>6.7150000000000001E-2</v>
      </c>
      <c r="H13" s="15">
        <v>6.7150000000000001E-2</v>
      </c>
      <c r="I13" s="15">
        <v>6.7150000000000001E-2</v>
      </c>
      <c r="J13" s="15">
        <v>6.7150000000000001E-2</v>
      </c>
      <c r="K13" s="180">
        <v>6.7150000000000001E-2</v>
      </c>
    </row>
    <row r="14" spans="1:11" x14ac:dyDescent="0.25">
      <c r="B14" s="101"/>
      <c r="C14" s="102"/>
      <c r="D14" s="102" t="str">
        <v>Subordinated Debt</v>
      </c>
      <c r="E14" s="102"/>
      <c r="F14" s="103"/>
      <c r="G14" s="15" cm="1">
        <f t="array" ref="G14:K14">rate.sub.debt*(1-tax.rate)</f>
        <v>8.6900000000000005E-2</v>
      </c>
      <c r="H14" s="15">
        <v>8.6900000000000005E-2</v>
      </c>
      <c r="I14" s="15">
        <v>8.6900000000000005E-2</v>
      </c>
      <c r="J14" s="15">
        <v>8.6900000000000005E-2</v>
      </c>
      <c r="K14" s="180">
        <v>8.6900000000000005E-2</v>
      </c>
    </row>
    <row r="15" spans="1:11" x14ac:dyDescent="0.25">
      <c r="B15" s="101"/>
      <c r="C15" s="102"/>
      <c r="D15" s="102" t="str">
        <v>Gecko Fund Equity</v>
      </c>
      <c r="E15" s="102"/>
      <c r="F15" s="103"/>
      <c r="G15" s="15">
        <v>0.23710000000000001</v>
      </c>
      <c r="H15" s="15">
        <f>G15</f>
        <v>0.23710000000000001</v>
      </c>
      <c r="I15" s="15">
        <f t="shared" ref="I15:K15" si="1">H15</f>
        <v>0.23710000000000001</v>
      </c>
      <c r="J15" s="15">
        <f t="shared" si="1"/>
        <v>0.23710000000000001</v>
      </c>
      <c r="K15" s="180">
        <f t="shared" si="1"/>
        <v>0.23710000000000001</v>
      </c>
    </row>
    <row r="16" spans="1:11" x14ac:dyDescent="0.25">
      <c r="B16" s="101"/>
      <c r="C16" s="102" t="s">
        <v>107</v>
      </c>
      <c r="D16" s="102"/>
      <c r="E16" s="102"/>
      <c r="F16" s="103"/>
      <c r="G16" s="15">
        <f ca="1">SUMPRODUCT(G9:G11,G13:G15)</f>
        <v>0.14923516140292203</v>
      </c>
      <c r="H16" s="15">
        <f t="shared" ref="H16:K16" ca="1" si="2">SUMPRODUCT(H9:H11,H13:H15)</f>
        <v>0.15386057504310383</v>
      </c>
      <c r="I16" s="15">
        <f t="shared" ca="1" si="2"/>
        <v>0.16017603527678742</v>
      </c>
      <c r="J16" s="15">
        <f t="shared" ca="1" si="2"/>
        <v>0.16800081625427105</v>
      </c>
      <c r="K16" s="180">
        <f t="shared" ca="1" si="2"/>
        <v>0.17779281535818978</v>
      </c>
    </row>
    <row r="17" spans="2:11" x14ac:dyDescent="0.25">
      <c r="B17" s="101"/>
      <c r="C17" s="102" t="s">
        <v>229</v>
      </c>
      <c r="D17" s="102"/>
      <c r="E17" s="102"/>
      <c r="F17" s="103"/>
      <c r="G17" s="4"/>
      <c r="H17" s="4"/>
      <c r="I17" s="4"/>
      <c r="J17" s="4"/>
      <c r="K17" s="23"/>
    </row>
    <row r="18" spans="2:11" x14ac:dyDescent="0.25">
      <c r="B18" s="101"/>
      <c r="C18" s="102"/>
      <c r="D18" s="102" t="s">
        <v>230</v>
      </c>
      <c r="E18" s="102"/>
      <c r="F18" s="103"/>
      <c r="G18" s="14">
        <f ca="1">1/(1+G16)</f>
        <v>0.87014393014155245</v>
      </c>
      <c r="H18" s="14">
        <f t="shared" ref="H18:K18" ca="1" si="3">1/(1+H16)</f>
        <v>0.86665583488078168</v>
      </c>
      <c r="I18" s="14">
        <f t="shared" ca="1" si="3"/>
        <v>0.86193816248016741</v>
      </c>
      <c r="J18" s="14">
        <f t="shared" ca="1" si="3"/>
        <v>0.85616378523343628</v>
      </c>
      <c r="K18" s="67">
        <f t="shared" ca="1" si="3"/>
        <v>0.8490457633636358</v>
      </c>
    </row>
    <row r="19" spans="2:11" x14ac:dyDescent="0.25">
      <c r="B19" s="101"/>
      <c r="C19" s="102"/>
      <c r="D19" s="102" t="s">
        <v>231</v>
      </c>
      <c r="E19" s="102"/>
      <c r="F19" s="103"/>
      <c r="G19" s="14">
        <f ca="1">PRODUCT($G18:G18)</f>
        <v>0.87014393014155245</v>
      </c>
      <c r="H19" s="14">
        <f ca="1">PRODUCT($G18:H18)</f>
        <v>0.75411531424327172</v>
      </c>
      <c r="I19" s="14">
        <f ca="1">PRODUCT($G18:I18)</f>
        <v>0.65000076825699959</v>
      </c>
      <c r="J19" s="14">
        <f ca="1">PRODUCT($G18:J18)</f>
        <v>0.55650711815555443</v>
      </c>
      <c r="K19" s="67">
        <f ca="1">PRODUCT($G18:K18)</f>
        <v>0.47250001095167976</v>
      </c>
    </row>
    <row r="20" spans="2:11" ht="15.75" thickBot="1" x14ac:dyDescent="0.3">
      <c r="B20" s="104"/>
      <c r="C20" s="105"/>
      <c r="D20" s="105"/>
      <c r="E20" s="105"/>
      <c r="F20" s="106"/>
      <c r="G20" s="96"/>
      <c r="H20" s="96"/>
      <c r="I20" s="96"/>
      <c r="J20" s="96"/>
      <c r="K20" s="27"/>
    </row>
    <row r="21" spans="2:11" ht="15.75" thickBot="1" x14ac:dyDescent="0.3">
      <c r="B21" s="163" t="s">
        <v>108</v>
      </c>
      <c r="C21" s="164"/>
      <c r="D21" s="164"/>
      <c r="E21" s="164"/>
      <c r="F21" s="164"/>
      <c r="G21" s="158" cm="1">
        <f t="array" ref="G21:K21">dates.forecast</f>
        <v>2025</v>
      </c>
      <c r="H21" s="86">
        <v>2026</v>
      </c>
      <c r="I21" s="86">
        <v>2027</v>
      </c>
      <c r="J21" s="86">
        <v>2028</v>
      </c>
      <c r="K21" s="87">
        <v>2029</v>
      </c>
    </row>
    <row r="22" spans="2:11" x14ac:dyDescent="0.25">
      <c r="B22" s="123"/>
      <c r="C22" s="124" t="s">
        <v>109</v>
      </c>
      <c r="D22" s="124"/>
      <c r="E22" s="124"/>
      <c r="F22" s="125"/>
      <c r="G22" s="183" cm="1">
        <f t="array" ref="G22:K31">DCF.Table</f>
        <v>7684.9184951543657</v>
      </c>
      <c r="H22" s="145">
        <v>7792.0700696914837</v>
      </c>
      <c r="I22" s="145">
        <v>8012.6201268392915</v>
      </c>
      <c r="J22" s="145">
        <v>8291.5061206489081</v>
      </c>
      <c r="K22" s="146">
        <v>8508.6504072618591</v>
      </c>
    </row>
    <row r="23" spans="2:11" x14ac:dyDescent="0.25">
      <c r="B23" s="101"/>
      <c r="C23" s="102"/>
      <c r="D23" s="102" t="s">
        <v>110</v>
      </c>
      <c r="E23" s="102"/>
      <c r="F23" s="103"/>
      <c r="G23" s="113">
        <v>-3476.6996626755363</v>
      </c>
      <c r="H23" s="4">
        <v>-3476.6996626755363</v>
      </c>
      <c r="I23" s="4">
        <v>-3476.6996626755363</v>
      </c>
      <c r="J23" s="4">
        <v>-3476.6996626755363</v>
      </c>
      <c r="K23" s="23">
        <v>-3476.6996626755363</v>
      </c>
    </row>
    <row r="24" spans="2:11" x14ac:dyDescent="0.25">
      <c r="B24" s="101"/>
      <c r="C24" s="102" t="s">
        <v>111</v>
      </c>
      <c r="D24" s="102"/>
      <c r="E24" s="102"/>
      <c r="F24" s="103"/>
      <c r="G24" s="83">
        <v>4208.2188324788294</v>
      </c>
      <c r="H24" s="3">
        <v>4315.3704070159474</v>
      </c>
      <c r="I24" s="3">
        <v>4535.9204641637552</v>
      </c>
      <c r="J24" s="3">
        <v>4814.8064579733709</v>
      </c>
      <c r="K24" s="22">
        <v>5031.9507445863237</v>
      </c>
    </row>
    <row r="25" spans="2:11" x14ac:dyDescent="0.25">
      <c r="B25" s="101"/>
      <c r="C25" s="102"/>
      <c r="D25" s="102" t="s">
        <v>112</v>
      </c>
      <c r="E25" s="102"/>
      <c r="F25" s="103"/>
      <c r="G25" s="82">
        <v>-883.72595482055419</v>
      </c>
      <c r="H25" s="5">
        <v>-906.22778547334894</v>
      </c>
      <c r="I25" s="5">
        <v>-952.54329747438851</v>
      </c>
      <c r="J25" s="5">
        <v>-1011.1093561744078</v>
      </c>
      <c r="K25" s="69">
        <v>-1056.709656363128</v>
      </c>
    </row>
    <row r="26" spans="2:11" x14ac:dyDescent="0.25">
      <c r="B26" s="101"/>
      <c r="C26" s="102" t="s">
        <v>113</v>
      </c>
      <c r="D26" s="102"/>
      <c r="E26" s="102"/>
      <c r="F26" s="103"/>
      <c r="G26" s="113">
        <v>3324.4928776582751</v>
      </c>
      <c r="H26" s="4">
        <v>3409.1426215425986</v>
      </c>
      <c r="I26" s="4">
        <v>3583.3771666893667</v>
      </c>
      <c r="J26" s="4">
        <v>3803.6971017989631</v>
      </c>
      <c r="K26" s="23">
        <v>3975.2410882231957</v>
      </c>
    </row>
    <row r="27" spans="2:11" x14ac:dyDescent="0.25">
      <c r="B27" s="101"/>
      <c r="C27" s="102"/>
      <c r="D27" s="102" t="s">
        <v>114</v>
      </c>
      <c r="E27" s="102"/>
      <c r="F27" s="103"/>
      <c r="G27" s="113">
        <v>3476.6996626755363</v>
      </c>
      <c r="H27" s="4">
        <v>3476.6996626755363</v>
      </c>
      <c r="I27" s="4">
        <v>3476.6996626755363</v>
      </c>
      <c r="J27" s="4">
        <v>3476.6996626755363</v>
      </c>
      <c r="K27" s="23">
        <v>3476.6996626755363</v>
      </c>
    </row>
    <row r="28" spans="2:11" x14ac:dyDescent="0.25">
      <c r="B28" s="101"/>
      <c r="C28" s="102"/>
      <c r="D28" s="102" t="s">
        <v>79</v>
      </c>
      <c r="E28" s="102"/>
      <c r="F28" s="103"/>
      <c r="G28" s="113">
        <v>103.760860354123</v>
      </c>
      <c r="H28" s="4">
        <v>-37.265311300651774</v>
      </c>
      <c r="I28" s="4">
        <v>124.15692833142134</v>
      </c>
      <c r="J28" s="4">
        <v>-34.468438414073717</v>
      </c>
      <c r="K28" s="23">
        <v>137.95621789639767</v>
      </c>
    </row>
    <row r="29" spans="2:11" x14ac:dyDescent="0.25">
      <c r="B29" s="101"/>
      <c r="C29" s="102" t="s">
        <v>115</v>
      </c>
      <c r="D29" s="102"/>
      <c r="E29" s="102"/>
      <c r="F29" s="103"/>
      <c r="G29" s="83">
        <v>6904.9534006879348</v>
      </c>
      <c r="H29" s="3">
        <v>6848.5769729174835</v>
      </c>
      <c r="I29" s="3">
        <v>7184.2337576963246</v>
      </c>
      <c r="J29" s="3">
        <v>7245.9283260604252</v>
      </c>
      <c r="K29" s="22">
        <v>7589.8969687951294</v>
      </c>
    </row>
    <row r="30" spans="2:11" x14ac:dyDescent="0.25">
      <c r="B30" s="101"/>
      <c r="C30" s="102"/>
      <c r="D30" s="102" t="s">
        <v>116</v>
      </c>
      <c r="E30" s="102"/>
      <c r="F30" s="103"/>
      <c r="G30" s="113">
        <v>-1750</v>
      </c>
      <c r="H30" s="4">
        <v>-1750</v>
      </c>
      <c r="I30" s="4">
        <v>-1500</v>
      </c>
      <c r="J30" s="4">
        <v>-1500</v>
      </c>
      <c r="K30" s="23">
        <v>-1500</v>
      </c>
    </row>
    <row r="31" spans="2:11" x14ac:dyDescent="0.25">
      <c r="B31" s="101"/>
      <c r="C31" s="102" t="s">
        <v>117</v>
      </c>
      <c r="D31" s="102"/>
      <c r="E31" s="102"/>
      <c r="F31" s="103"/>
      <c r="G31" s="83">
        <v>5154.9534006879348</v>
      </c>
      <c r="H31" s="3">
        <v>5098.5769729174835</v>
      </c>
      <c r="I31" s="3">
        <v>5684.2337576963246</v>
      </c>
      <c r="J31" s="3">
        <v>5745.9283260604252</v>
      </c>
      <c r="K31" s="22">
        <v>6089.8969687951294</v>
      </c>
    </row>
    <row r="32" spans="2:11" ht="15.75" thickBot="1" x14ac:dyDescent="0.3">
      <c r="B32" s="104"/>
      <c r="C32" s="105"/>
      <c r="D32" s="105"/>
      <c r="E32" s="105"/>
      <c r="F32" s="106"/>
      <c r="G32" s="184"/>
      <c r="H32" s="96"/>
      <c r="I32" s="96"/>
      <c r="J32" s="96"/>
      <c r="K32" s="27"/>
    </row>
    <row r="33" spans="2:20" ht="15.75" thickBot="1" x14ac:dyDescent="0.3">
      <c r="B33" s="191" t="s">
        <v>232</v>
      </c>
      <c r="C33" s="181"/>
      <c r="D33" s="181"/>
      <c r="E33" s="181"/>
      <c r="F33" s="182"/>
      <c r="G33" s="176"/>
      <c r="H33" s="224" t="s">
        <v>237</v>
      </c>
      <c r="I33" s="225"/>
      <c r="J33" s="225"/>
      <c r="K33" s="226"/>
    </row>
    <row r="34" spans="2:20" ht="33" customHeight="1" thickBot="1" x14ac:dyDescent="0.3">
      <c r="B34" s="123"/>
      <c r="C34" s="124"/>
      <c r="D34" s="124"/>
      <c r="E34" s="124"/>
      <c r="F34" s="125"/>
      <c r="G34" s="194" t="s">
        <v>233</v>
      </c>
      <c r="H34" s="178" t="s">
        <v>142</v>
      </c>
      <c r="I34" s="178" t="s">
        <v>234</v>
      </c>
      <c r="J34" s="178" t="s">
        <v>235</v>
      </c>
      <c r="K34" s="179" t="s">
        <v>236</v>
      </c>
    </row>
    <row r="35" spans="2:20" x14ac:dyDescent="0.25">
      <c r="B35" s="101"/>
      <c r="C35" s="102"/>
      <c r="D35" s="102"/>
      <c r="E35" s="102"/>
      <c r="F35" s="103"/>
      <c r="G35" s="195" cm="1">
        <f t="array" ref="G35:G38">_xlfn.SEQUENCE(4,1,8,2)</f>
        <v>8</v>
      </c>
      <c r="H35" s="188" cm="1">
        <f t="array" ref="H35:H38">Term.EBITDA*_xlfn.ANCHORARRAY(G35)</f>
        <v>68069.203258094873</v>
      </c>
      <c r="I35" s="188">
        <f ca="1">Term.Cash</f>
        <v>6887.389892796562</v>
      </c>
      <c r="J35" s="188">
        <f ca="1">-Term.Revolver-Term.Sub.Debt</f>
        <v>-21304.330173943839</v>
      </c>
      <c r="K35" s="146" cm="1">
        <f t="array" aca="1" ref="K35:K38" ca="1">_xlfn.BYROW(H35:J38, _xlfn.LAMBDA(_xlpm.row, SUM(_xlpm.row)))</f>
        <v>53652.262976947597</v>
      </c>
    </row>
    <row r="36" spans="2:20" x14ac:dyDescent="0.25">
      <c r="B36" s="101"/>
      <c r="C36" s="102"/>
      <c r="D36" s="102"/>
      <c r="E36" s="102"/>
      <c r="F36" s="103"/>
      <c r="G36" s="196">
        <v>10</v>
      </c>
      <c r="H36" s="47">
        <v>85086.504072618583</v>
      </c>
      <c r="I36" s="47">
        <f ca="1">Term.Cash</f>
        <v>6887.389892796562</v>
      </c>
      <c r="J36" s="47">
        <f ca="1">-Term.Revolver-Term.Sub.Debt</f>
        <v>-21304.330173943839</v>
      </c>
      <c r="K36" s="23">
        <f ca="1"/>
        <v>70669.563791471301</v>
      </c>
    </row>
    <row r="37" spans="2:20" x14ac:dyDescent="0.25">
      <c r="B37" s="101"/>
      <c r="C37" s="102"/>
      <c r="D37" s="102"/>
      <c r="E37" s="102"/>
      <c r="F37" s="103"/>
      <c r="G37" s="196">
        <v>12</v>
      </c>
      <c r="H37" s="47">
        <v>102103.80488714231</v>
      </c>
      <c r="I37" s="47">
        <f ca="1">Term.Cash</f>
        <v>6887.389892796562</v>
      </c>
      <c r="J37" s="47">
        <f ca="1">-Term.Revolver-Term.Sub.Debt</f>
        <v>-21304.330173943839</v>
      </c>
      <c r="K37" s="23">
        <f ca="1"/>
        <v>87686.864605995041</v>
      </c>
    </row>
    <row r="38" spans="2:20" ht="15.75" thickBot="1" x14ac:dyDescent="0.3">
      <c r="B38" s="101"/>
      <c r="C38" s="102"/>
      <c r="D38" s="102"/>
      <c r="E38" s="102"/>
      <c r="F38" s="103"/>
      <c r="G38" s="197">
        <v>14</v>
      </c>
      <c r="H38" s="189">
        <v>119121.10570166603</v>
      </c>
      <c r="I38" s="189">
        <f ca="1">Term.Cash</f>
        <v>6887.389892796562</v>
      </c>
      <c r="J38" s="189">
        <f ca="1">-Term.Revolver-Term.Sub.Debt</f>
        <v>-21304.330173943839</v>
      </c>
      <c r="K38" s="27">
        <f ca="1"/>
        <v>104704.16542051875</v>
      </c>
    </row>
    <row r="39" spans="2:20" ht="15.75" thickBot="1" x14ac:dyDescent="0.3">
      <c r="B39" s="101"/>
      <c r="C39" s="102"/>
      <c r="D39" s="102"/>
      <c r="E39" s="102"/>
      <c r="F39" s="103"/>
      <c r="G39" s="136"/>
      <c r="H39" s="136"/>
      <c r="I39" s="136"/>
      <c r="J39" s="136"/>
      <c r="K39" s="200"/>
    </row>
    <row r="40" spans="2:20" ht="15.75" thickBot="1" x14ac:dyDescent="0.3">
      <c r="B40" s="218" t="s">
        <v>238</v>
      </c>
      <c r="C40" s="219"/>
      <c r="D40" s="219"/>
      <c r="E40" s="219"/>
      <c r="F40" s="219"/>
      <c r="G40" s="198"/>
      <c r="H40" s="198"/>
      <c r="I40" s="198"/>
      <c r="J40" s="198"/>
      <c r="K40" s="199"/>
    </row>
    <row r="41" spans="2:20" ht="15.75" thickBot="1" x14ac:dyDescent="0.3">
      <c r="B41" s="123"/>
      <c r="C41" s="124" t="s">
        <v>239</v>
      </c>
      <c r="D41" s="124"/>
      <c r="E41" s="124"/>
      <c r="F41" s="125"/>
      <c r="G41" s="208">
        <f>-LBO.equity</f>
        <v>-31605.48241990259</v>
      </c>
      <c r="H41" s="145"/>
      <c r="I41" s="145"/>
      <c r="J41" s="145"/>
      <c r="K41" s="146"/>
      <c r="N41" s="205"/>
      <c r="O41" s="227" t="s">
        <v>242</v>
      </c>
      <c r="P41" s="228"/>
      <c r="Q41" s="228"/>
      <c r="R41" s="228"/>
      <c r="S41" s="228"/>
      <c r="T41" s="229"/>
    </row>
    <row r="42" spans="2:20" ht="30.75" thickBot="1" x14ac:dyDescent="0.3">
      <c r="B42" s="101"/>
      <c r="C42" s="102"/>
      <c r="D42" s="102"/>
      <c r="E42" s="102"/>
      <c r="F42" s="103"/>
      <c r="G42" s="194" t="s">
        <v>233</v>
      </c>
      <c r="H42" s="190" t="s">
        <v>240</v>
      </c>
      <c r="I42" s="190" t="s">
        <v>241</v>
      </c>
      <c r="J42" s="209"/>
      <c r="K42" s="210"/>
      <c r="N42" s="177" t="s">
        <v>233</v>
      </c>
      <c r="O42" s="201" cm="1">
        <f t="array" ref="O42:T42">_xlfn.SEQUENCE(1,6,0)</f>
        <v>0</v>
      </c>
      <c r="P42" s="201">
        <v>1</v>
      </c>
      <c r="Q42" s="201">
        <v>2</v>
      </c>
      <c r="R42" s="201">
        <v>3</v>
      </c>
      <c r="S42" s="201">
        <v>4</v>
      </c>
      <c r="T42" s="201">
        <v>5</v>
      </c>
    </row>
    <row r="43" spans="2:20" x14ac:dyDescent="0.25">
      <c r="B43" s="101"/>
      <c r="C43" s="102"/>
      <c r="D43" s="102"/>
      <c r="E43" s="102"/>
      <c r="F43" s="103"/>
      <c r="G43" s="195" cm="1">
        <f t="array" ref="G43:G46">_xlfn.SEQUENCE(4,1,8,2)</f>
        <v>8</v>
      </c>
      <c r="H43" s="188">
        <f ca="1">$G$41+SUMPRODUCT(P43:T43,LBO.Discount.Factors)</f>
        <v>11845.56151995343</v>
      </c>
      <c r="I43" s="206" cm="1">
        <f t="array" aca="1" ref="I43:I46" ca="1">_xlfn.BYROW(O43:T46, _xlfn.LAMBDA(_xlpm.row, IRR(_xlpm.row)))</f>
        <v>0.25621931136139087</v>
      </c>
      <c r="J43" s="136"/>
      <c r="K43" s="200"/>
      <c r="N43" s="185" cm="1">
        <f t="array" ref="N43:N46">_xlfn.SEQUENCE(4,1,8,2)</f>
        <v>8</v>
      </c>
      <c r="O43" s="202">
        <f>$G$41</f>
        <v>-31605.48241990259</v>
      </c>
      <c r="P43" s="188" cm="1">
        <f t="array" ref="P43:S43">_xlfn.TAKE(LBO.Unlevered.FCF,1,4)</f>
        <v>5154.9534006879348</v>
      </c>
      <c r="Q43" s="188">
        <v>5098.5769729174835</v>
      </c>
      <c r="R43" s="188">
        <v>5684.2337576963246</v>
      </c>
      <c r="S43" s="188">
        <v>5745.9283260604252</v>
      </c>
      <c r="T43" s="23" cm="1">
        <f t="array" aca="1" ref="T43:T46" ca="1">_xlfn.TAKE(LBO.Unlevered.FCF,1,-1)+_xlfn.ANCHORARRAY(K35)</f>
        <v>59742.159945742729</v>
      </c>
    </row>
    <row r="44" spans="2:20" x14ac:dyDescent="0.25">
      <c r="B44" s="101"/>
      <c r="C44" s="102"/>
      <c r="D44" s="102"/>
      <c r="E44" s="102"/>
      <c r="F44" s="103"/>
      <c r="G44" s="196">
        <v>10</v>
      </c>
      <c r="H44" s="47">
        <f ca="1">$G$41+SUMPRODUCT(P44:T44,LBO.Discount.Factors)</f>
        <v>19886.236341183911</v>
      </c>
      <c r="I44" s="50">
        <f ca="1"/>
        <v>0.30662832567471776</v>
      </c>
      <c r="J44" s="136"/>
      <c r="K44" s="200"/>
      <c r="N44" s="186">
        <v>10</v>
      </c>
      <c r="O44" s="203">
        <f t="shared" ref="O44:O46" si="4">$G$41</f>
        <v>-31605.48241990259</v>
      </c>
      <c r="P44" s="47" cm="1">
        <f t="array" ref="P44:S44">_xlfn.TAKE(LBO.Unlevered.FCF,1,4)</f>
        <v>5154.9534006879348</v>
      </c>
      <c r="Q44" s="47">
        <v>5098.5769729174835</v>
      </c>
      <c r="R44" s="47">
        <v>5684.2337576963246</v>
      </c>
      <c r="S44" s="47">
        <v>5745.9283260604252</v>
      </c>
      <c r="T44" s="23">
        <f ca="1"/>
        <v>76759.460760266433</v>
      </c>
    </row>
    <row r="45" spans="2:20" x14ac:dyDescent="0.25">
      <c r="B45" s="101"/>
      <c r="C45" s="102"/>
      <c r="D45" s="102"/>
      <c r="E45" s="102"/>
      <c r="F45" s="103"/>
      <c r="G45" s="196">
        <v>12</v>
      </c>
      <c r="H45" s="47">
        <f ca="1">$G$41+SUMPRODUCT(P45:T45,LBO.Discount.Factors)</f>
        <v>27926.911162414406</v>
      </c>
      <c r="I45" s="50">
        <f ca="1"/>
        <v>0.34962313841248327</v>
      </c>
      <c r="J45" s="136"/>
      <c r="K45" s="200"/>
      <c r="N45" s="186">
        <v>12</v>
      </c>
      <c r="O45" s="203">
        <f t="shared" si="4"/>
        <v>-31605.48241990259</v>
      </c>
      <c r="P45" s="47" cm="1">
        <f t="array" ref="P45:S45">_xlfn.TAKE(LBO.Unlevered.FCF,1,4)</f>
        <v>5154.9534006879348</v>
      </c>
      <c r="Q45" s="47">
        <v>5098.5769729174835</v>
      </c>
      <c r="R45" s="47">
        <v>5684.2337576963246</v>
      </c>
      <c r="S45" s="47">
        <v>5745.9283260604252</v>
      </c>
      <c r="T45" s="23">
        <f ca="1"/>
        <v>93776.761574790173</v>
      </c>
    </row>
    <row r="46" spans="2:20" ht="15.75" thickBot="1" x14ac:dyDescent="0.3">
      <c r="B46" s="101"/>
      <c r="C46" s="102"/>
      <c r="D46" s="102"/>
      <c r="E46" s="102"/>
      <c r="F46" s="103"/>
      <c r="G46" s="197">
        <v>14</v>
      </c>
      <c r="H46" s="189">
        <f ca="1">$G$41+SUMPRODUCT(P46:T46,LBO.Discount.Factors)</f>
        <v>35967.585983644894</v>
      </c>
      <c r="I46" s="207">
        <f ca="1"/>
        <v>0.38730477227117266</v>
      </c>
      <c r="J46" s="136"/>
      <c r="K46" s="200"/>
      <c r="N46" s="187">
        <v>14</v>
      </c>
      <c r="O46" s="204">
        <f t="shared" si="4"/>
        <v>-31605.48241990259</v>
      </c>
      <c r="P46" s="189" cm="1">
        <f t="array" ref="P46:S46">_xlfn.TAKE(LBO.Unlevered.FCF,1,4)</f>
        <v>5154.9534006879348</v>
      </c>
      <c r="Q46" s="189">
        <v>5098.5769729174835</v>
      </c>
      <c r="R46" s="189">
        <v>5684.2337576963246</v>
      </c>
      <c r="S46" s="189">
        <v>5745.9283260604252</v>
      </c>
      <c r="T46" s="27">
        <f ca="1"/>
        <v>110794.06238931388</v>
      </c>
    </row>
    <row r="47" spans="2:20" ht="15.75" thickBot="1" x14ac:dyDescent="0.3">
      <c r="B47" s="104"/>
      <c r="C47" s="105"/>
      <c r="D47" s="105"/>
      <c r="E47" s="105"/>
      <c r="F47" s="106"/>
      <c r="G47" s="192"/>
      <c r="H47" s="192"/>
      <c r="I47" s="192"/>
      <c r="J47" s="192"/>
      <c r="K47" s="193"/>
    </row>
    <row r="48" spans="2:20" x14ac:dyDescent="0.25">
      <c r="B48" s="169"/>
      <c r="C48" s="169"/>
      <c r="D48" s="169"/>
      <c r="E48" s="169"/>
      <c r="F48" s="169"/>
      <c r="G48" s="1"/>
      <c r="H48" s="1"/>
      <c r="I48" s="1"/>
      <c r="J48" s="1"/>
      <c r="K48" s="1"/>
    </row>
    <row r="49" spans="2:11" x14ac:dyDescent="0.25">
      <c r="B49" s="169"/>
      <c r="C49" s="169"/>
      <c r="D49" s="169"/>
      <c r="E49" s="169"/>
      <c r="F49" s="169"/>
      <c r="G49" s="1"/>
      <c r="H49" s="1"/>
      <c r="I49" s="1"/>
      <c r="J49" s="1"/>
      <c r="K49" s="1"/>
    </row>
    <row r="50" spans="2:11" x14ac:dyDescent="0.25">
      <c r="B50" s="169"/>
      <c r="C50" s="169"/>
      <c r="D50" s="169"/>
      <c r="E50" s="169"/>
      <c r="F50" s="169"/>
      <c r="G50" s="1"/>
      <c r="H50" s="1"/>
      <c r="I50" s="1"/>
      <c r="J50" s="1"/>
      <c r="K50" s="1"/>
    </row>
    <row r="51" spans="2:11" x14ac:dyDescent="0.25">
      <c r="B51" s="169"/>
      <c r="C51" s="169"/>
      <c r="D51" s="169"/>
      <c r="E51" s="169"/>
      <c r="F51" s="169"/>
      <c r="G51" s="1"/>
      <c r="H51" s="1"/>
      <c r="I51" s="1"/>
      <c r="J51" s="1"/>
      <c r="K51" s="1"/>
    </row>
    <row r="52" spans="2:11" x14ac:dyDescent="0.25">
      <c r="B52" s="169"/>
      <c r="C52" s="169"/>
      <c r="D52" s="169"/>
      <c r="E52" s="169"/>
      <c r="F52" s="169"/>
      <c r="G52" s="1"/>
      <c r="H52" s="1"/>
      <c r="I52" s="1"/>
      <c r="J52" s="1"/>
      <c r="K52" s="1"/>
    </row>
    <row r="53" spans="2:11" x14ac:dyDescent="0.25">
      <c r="B53" s="169"/>
      <c r="C53" s="169"/>
      <c r="D53" s="169"/>
      <c r="E53" s="169"/>
      <c r="F53" s="169"/>
      <c r="G53" s="1"/>
      <c r="H53" s="1"/>
      <c r="I53" s="1"/>
      <c r="J53" s="1"/>
      <c r="K53" s="1"/>
    </row>
    <row r="54" spans="2:11" x14ac:dyDescent="0.25">
      <c r="B54" s="169"/>
      <c r="C54" s="169"/>
      <c r="D54" s="169"/>
      <c r="E54" s="169"/>
      <c r="F54" s="169"/>
      <c r="G54" s="1"/>
      <c r="H54" s="1"/>
      <c r="I54" s="1"/>
      <c r="J54" s="1"/>
      <c r="K54" s="1"/>
    </row>
    <row r="55" spans="2:11" x14ac:dyDescent="0.25">
      <c r="B55" s="169"/>
      <c r="C55" s="169"/>
      <c r="D55" s="169"/>
      <c r="E55" s="169"/>
      <c r="F55" s="169"/>
      <c r="G55" s="1"/>
      <c r="H55" s="1"/>
      <c r="I55" s="1"/>
      <c r="J55" s="1"/>
      <c r="K55" s="1"/>
    </row>
    <row r="56" spans="2:11" x14ac:dyDescent="0.25">
      <c r="B56" s="169"/>
      <c r="C56" s="169"/>
      <c r="D56" s="169"/>
      <c r="E56" s="169"/>
      <c r="F56" s="169"/>
      <c r="G56" s="1"/>
      <c r="H56" s="1"/>
      <c r="I56" s="1"/>
      <c r="J56" s="1"/>
      <c r="K56" s="1"/>
    </row>
    <row r="57" spans="2:11" x14ac:dyDescent="0.25">
      <c r="G57" s="1"/>
      <c r="H57" s="1"/>
      <c r="I57" s="1"/>
      <c r="J57" s="1"/>
      <c r="K57" s="1"/>
    </row>
    <row r="58" spans="2:11" x14ac:dyDescent="0.25">
      <c r="G58" s="1"/>
      <c r="H58" s="1"/>
      <c r="I58" s="1"/>
      <c r="J58" s="1"/>
      <c r="K58" s="1"/>
    </row>
    <row r="59" spans="2:11" x14ac:dyDescent="0.25">
      <c r="G59" s="1"/>
      <c r="H59" s="1"/>
      <c r="I59" s="1"/>
      <c r="J59" s="1"/>
      <c r="K59" s="1"/>
    </row>
    <row r="60" spans="2:11" x14ac:dyDescent="0.25">
      <c r="G60" s="1"/>
      <c r="H60" s="1"/>
      <c r="I60" s="1"/>
      <c r="J60" s="1"/>
      <c r="K60" s="1"/>
    </row>
    <row r="61" spans="2:11" x14ac:dyDescent="0.25">
      <c r="G61" s="1"/>
      <c r="H61" s="1"/>
      <c r="I61" s="1"/>
      <c r="J61" s="1"/>
      <c r="K61" s="1"/>
    </row>
    <row r="62" spans="2:11" x14ac:dyDescent="0.25">
      <c r="G62" s="1"/>
      <c r="H62" s="1"/>
      <c r="I62" s="1"/>
      <c r="J62" s="1"/>
      <c r="K62" s="1"/>
    </row>
    <row r="63" spans="2:11" x14ac:dyDescent="0.25">
      <c r="G63" s="1"/>
      <c r="H63" s="1"/>
      <c r="I63" s="1"/>
      <c r="J63" s="1"/>
      <c r="K63" s="1"/>
    </row>
    <row r="64" spans="2:11" x14ac:dyDescent="0.25">
      <c r="G64" s="1"/>
      <c r="H64" s="1"/>
      <c r="I64" s="1"/>
      <c r="J64" s="1"/>
      <c r="K64" s="1"/>
    </row>
    <row r="65" spans="7:11" x14ac:dyDescent="0.25">
      <c r="G65" s="1"/>
      <c r="H65" s="1"/>
      <c r="I65" s="1"/>
      <c r="J65" s="1"/>
      <c r="K65" s="1"/>
    </row>
    <row r="66" spans="7:11" x14ac:dyDescent="0.25">
      <c r="G66" s="1"/>
      <c r="H66" s="1"/>
      <c r="I66" s="1"/>
      <c r="J66" s="1"/>
      <c r="K66" s="1"/>
    </row>
    <row r="67" spans="7:11" x14ac:dyDescent="0.25">
      <c r="G67" s="1"/>
      <c r="H67" s="1"/>
      <c r="I67" s="1"/>
      <c r="J67" s="1"/>
      <c r="K67" s="1"/>
    </row>
    <row r="68" spans="7:11" x14ac:dyDescent="0.25">
      <c r="G68" s="1"/>
      <c r="H68" s="1"/>
      <c r="I68" s="1"/>
      <c r="J68" s="1"/>
      <c r="K68" s="1"/>
    </row>
    <row r="69" spans="7:11" x14ac:dyDescent="0.25">
      <c r="G69" s="1"/>
      <c r="H69" s="1"/>
      <c r="I69" s="1"/>
      <c r="J69" s="1"/>
      <c r="K69" s="1"/>
    </row>
    <row r="70" spans="7:11" x14ac:dyDescent="0.25">
      <c r="G70" s="1"/>
      <c r="H70" s="1"/>
      <c r="I70" s="1"/>
      <c r="J70" s="1"/>
      <c r="K70" s="1"/>
    </row>
    <row r="71" spans="7:11" x14ac:dyDescent="0.25">
      <c r="G71" s="1"/>
      <c r="H71" s="1"/>
      <c r="I71" s="1"/>
      <c r="J71" s="1"/>
      <c r="K71" s="1"/>
    </row>
    <row r="72" spans="7:11" x14ac:dyDescent="0.25">
      <c r="G72" s="1"/>
      <c r="H72" s="1"/>
      <c r="I72" s="1"/>
      <c r="J72" s="1"/>
      <c r="K72" s="1"/>
    </row>
    <row r="73" spans="7:11" x14ac:dyDescent="0.25">
      <c r="G73" s="1"/>
      <c r="H73" s="1"/>
      <c r="I73" s="1"/>
      <c r="J73" s="1"/>
      <c r="K73" s="1"/>
    </row>
    <row r="74" spans="7:11" x14ac:dyDescent="0.25">
      <c r="G74" s="1"/>
      <c r="H74" s="1"/>
      <c r="I74" s="1"/>
      <c r="J74" s="1"/>
      <c r="K74" s="1"/>
    </row>
    <row r="75" spans="7:11" x14ac:dyDescent="0.25">
      <c r="G75" s="1"/>
      <c r="H75" s="1"/>
      <c r="I75" s="1"/>
      <c r="J75" s="1"/>
      <c r="K75" s="1"/>
    </row>
    <row r="76" spans="7:11" x14ac:dyDescent="0.25">
      <c r="G76" s="1"/>
      <c r="H76" s="1"/>
      <c r="I76" s="1"/>
      <c r="J76" s="1"/>
      <c r="K76" s="1"/>
    </row>
    <row r="77" spans="7:11" x14ac:dyDescent="0.25">
      <c r="G77" s="1"/>
      <c r="H77" s="1"/>
      <c r="I77" s="1"/>
      <c r="J77" s="1"/>
      <c r="K77" s="1"/>
    </row>
    <row r="78" spans="7:11" x14ac:dyDescent="0.25">
      <c r="G78" s="1"/>
      <c r="H78" s="1"/>
      <c r="I78" s="1"/>
      <c r="J78" s="1"/>
      <c r="K78" s="1"/>
    </row>
    <row r="79" spans="7:11" x14ac:dyDescent="0.25">
      <c r="G79" s="1"/>
      <c r="H79" s="1"/>
      <c r="I79" s="1"/>
      <c r="J79" s="1"/>
      <c r="K79" s="1"/>
    </row>
    <row r="80" spans="7:11" x14ac:dyDescent="0.25">
      <c r="G80" s="1"/>
      <c r="H80" s="1"/>
      <c r="I80" s="1"/>
      <c r="J80" s="1"/>
      <c r="K80" s="1"/>
    </row>
    <row r="81" spans="7:11" x14ac:dyDescent="0.25">
      <c r="G81" s="1"/>
      <c r="H81" s="1"/>
      <c r="I81" s="1"/>
      <c r="J81" s="1"/>
      <c r="K81" s="1"/>
    </row>
    <row r="82" spans="7:11" x14ac:dyDescent="0.25">
      <c r="G82" s="1"/>
      <c r="H82" s="1"/>
      <c r="I82" s="1"/>
      <c r="J82" s="1"/>
      <c r="K82" s="1"/>
    </row>
    <row r="83" spans="7:11" x14ac:dyDescent="0.25">
      <c r="G83" s="1"/>
      <c r="H83" s="1"/>
      <c r="I83" s="1"/>
      <c r="J83" s="1"/>
      <c r="K83" s="1"/>
    </row>
    <row r="84" spans="7:11" x14ac:dyDescent="0.25">
      <c r="G84" s="1"/>
      <c r="H84" s="1"/>
      <c r="I84" s="1"/>
      <c r="J84" s="1"/>
      <c r="K84" s="1"/>
    </row>
    <row r="85" spans="7:11" x14ac:dyDescent="0.25">
      <c r="G85" s="1"/>
      <c r="H85" s="1"/>
      <c r="I85" s="1"/>
      <c r="J85" s="1"/>
      <c r="K85" s="1"/>
    </row>
    <row r="86" spans="7:11" x14ac:dyDescent="0.25">
      <c r="G86" s="1"/>
      <c r="H86" s="1"/>
      <c r="I86" s="1"/>
      <c r="J86" s="1"/>
      <c r="K86" s="1"/>
    </row>
    <row r="87" spans="7:11" x14ac:dyDescent="0.25">
      <c r="G87" s="1"/>
      <c r="H87" s="1"/>
      <c r="I87" s="1"/>
      <c r="J87" s="1"/>
      <c r="K87" s="1"/>
    </row>
    <row r="88" spans="7:11" x14ac:dyDescent="0.25">
      <c r="G88" s="1"/>
      <c r="H88" s="1"/>
      <c r="I88" s="1"/>
      <c r="J88" s="1"/>
      <c r="K88" s="1"/>
    </row>
    <row r="89" spans="7:11" x14ac:dyDescent="0.25">
      <c r="G89" s="1"/>
      <c r="H89" s="1"/>
      <c r="I89" s="1"/>
      <c r="J89" s="1"/>
      <c r="K89" s="1"/>
    </row>
    <row r="90" spans="7:11" x14ac:dyDescent="0.25">
      <c r="G90" s="1"/>
      <c r="H90" s="1"/>
      <c r="I90" s="1"/>
      <c r="J90" s="1"/>
      <c r="K90" s="1"/>
    </row>
    <row r="91" spans="7:11" x14ac:dyDescent="0.25">
      <c r="G91" s="1"/>
      <c r="H91" s="1"/>
      <c r="I91" s="1"/>
      <c r="J91" s="1"/>
      <c r="K91" s="1"/>
    </row>
    <row r="92" spans="7:11" x14ac:dyDescent="0.25">
      <c r="G92" s="1"/>
      <c r="H92" s="1"/>
      <c r="I92" s="1"/>
      <c r="J92" s="1"/>
      <c r="K92" s="1"/>
    </row>
    <row r="93" spans="7:11" x14ac:dyDescent="0.25">
      <c r="G93" s="1"/>
      <c r="H93" s="1"/>
      <c r="I93" s="1"/>
      <c r="J93" s="1"/>
      <c r="K93" s="1"/>
    </row>
    <row r="94" spans="7:11" x14ac:dyDescent="0.25">
      <c r="G94" s="1"/>
      <c r="H94" s="1"/>
      <c r="I94" s="1"/>
      <c r="J94" s="1"/>
      <c r="K94" s="1"/>
    </row>
    <row r="95" spans="7:11" x14ac:dyDescent="0.25">
      <c r="G95" s="1"/>
      <c r="H95" s="1"/>
      <c r="I95" s="1"/>
      <c r="J95" s="1"/>
      <c r="K95" s="1"/>
    </row>
    <row r="96" spans="7:11" x14ac:dyDescent="0.25">
      <c r="G96" s="1"/>
      <c r="H96" s="1"/>
      <c r="I96" s="1"/>
      <c r="J96" s="1"/>
      <c r="K96" s="1"/>
    </row>
    <row r="97" spans="7:11" x14ac:dyDescent="0.25">
      <c r="G97" s="1"/>
      <c r="H97" s="1"/>
      <c r="I97" s="1"/>
      <c r="J97" s="1"/>
      <c r="K97" s="1"/>
    </row>
    <row r="98" spans="7:11" x14ac:dyDescent="0.25">
      <c r="G98" s="1"/>
      <c r="H98" s="1"/>
      <c r="I98" s="1"/>
      <c r="J98" s="1"/>
      <c r="K98" s="1"/>
    </row>
    <row r="99" spans="7:11" x14ac:dyDescent="0.25">
      <c r="G99" s="1"/>
      <c r="H99" s="1"/>
      <c r="I99" s="1"/>
      <c r="J99" s="1"/>
      <c r="K99" s="1"/>
    </row>
    <row r="100" spans="7:11" x14ac:dyDescent="0.25">
      <c r="G100" s="1"/>
      <c r="H100" s="1"/>
      <c r="I100" s="1"/>
      <c r="J100" s="1"/>
      <c r="K100" s="1"/>
    </row>
    <row r="101" spans="7:11" x14ac:dyDescent="0.25">
      <c r="G101" s="1"/>
      <c r="H101" s="1"/>
      <c r="I101" s="1"/>
      <c r="J101" s="1"/>
      <c r="K101" s="1"/>
    </row>
    <row r="102" spans="7:11" x14ac:dyDescent="0.25">
      <c r="G102" s="1"/>
      <c r="H102" s="1"/>
      <c r="I102" s="1"/>
      <c r="J102" s="1"/>
      <c r="K102" s="1"/>
    </row>
    <row r="103" spans="7:11" x14ac:dyDescent="0.25">
      <c r="G103" s="1"/>
      <c r="H103" s="1"/>
      <c r="I103" s="1"/>
      <c r="J103" s="1"/>
      <c r="K103" s="1"/>
    </row>
    <row r="104" spans="7:11" x14ac:dyDescent="0.25">
      <c r="G104" s="1"/>
      <c r="H104" s="1"/>
      <c r="I104" s="1"/>
      <c r="J104" s="1"/>
      <c r="K104" s="1"/>
    </row>
    <row r="105" spans="7:11" x14ac:dyDescent="0.25">
      <c r="G105" s="1"/>
      <c r="H105" s="1"/>
      <c r="I105" s="1"/>
      <c r="J105" s="1"/>
      <c r="K105" s="1"/>
    </row>
    <row r="106" spans="7:11" x14ac:dyDescent="0.25">
      <c r="G106" s="1"/>
      <c r="H106" s="1"/>
      <c r="I106" s="1"/>
      <c r="J106" s="1"/>
      <c r="K106" s="1"/>
    </row>
    <row r="107" spans="7:11" x14ac:dyDescent="0.25">
      <c r="G107" s="1"/>
      <c r="H107" s="1"/>
      <c r="I107" s="1"/>
      <c r="J107" s="1"/>
      <c r="K107" s="1"/>
    </row>
    <row r="108" spans="7:11" x14ac:dyDescent="0.25">
      <c r="G108" s="1"/>
      <c r="H108" s="1"/>
      <c r="I108" s="1"/>
      <c r="J108" s="1"/>
      <c r="K108" s="1"/>
    </row>
    <row r="109" spans="7:11" x14ac:dyDescent="0.25">
      <c r="G109" s="1"/>
      <c r="H109" s="1"/>
      <c r="I109" s="1"/>
      <c r="J109" s="1"/>
      <c r="K109" s="1"/>
    </row>
    <row r="110" spans="7:11" x14ac:dyDescent="0.25">
      <c r="G110" s="1"/>
      <c r="H110" s="1"/>
      <c r="I110" s="1"/>
      <c r="J110" s="1"/>
      <c r="K110" s="1"/>
    </row>
    <row r="111" spans="7:11" x14ac:dyDescent="0.25">
      <c r="G111" s="1"/>
      <c r="H111" s="1"/>
      <c r="I111" s="1"/>
      <c r="J111" s="1"/>
      <c r="K111" s="1"/>
    </row>
    <row r="112" spans="7:11" x14ac:dyDescent="0.25">
      <c r="G112" s="1"/>
      <c r="H112" s="1"/>
      <c r="I112" s="1"/>
      <c r="J112" s="1"/>
      <c r="K112" s="1"/>
    </row>
    <row r="113" spans="7:11" x14ac:dyDescent="0.25">
      <c r="G113" s="1"/>
      <c r="H113" s="1"/>
      <c r="I113" s="1"/>
      <c r="J113" s="1"/>
      <c r="K113" s="1"/>
    </row>
    <row r="114" spans="7:11" x14ac:dyDescent="0.25">
      <c r="G114" s="1"/>
      <c r="H114" s="1"/>
      <c r="I114" s="1"/>
      <c r="J114" s="1"/>
      <c r="K114" s="1"/>
    </row>
    <row r="115" spans="7:11" x14ac:dyDescent="0.25">
      <c r="G115" s="1"/>
      <c r="H115" s="1"/>
      <c r="I115" s="1"/>
      <c r="J115" s="1"/>
      <c r="K115" s="1"/>
    </row>
    <row r="116" spans="7:11" x14ac:dyDescent="0.25">
      <c r="G116" s="1"/>
      <c r="H116" s="1"/>
      <c r="I116" s="1"/>
      <c r="J116" s="1"/>
      <c r="K116" s="1"/>
    </row>
    <row r="117" spans="7:11" x14ac:dyDescent="0.25">
      <c r="G117" s="1"/>
      <c r="H117" s="1"/>
      <c r="I117" s="1"/>
      <c r="J117" s="1"/>
      <c r="K117" s="1"/>
    </row>
    <row r="118" spans="7:11" x14ac:dyDescent="0.25">
      <c r="G118" s="1"/>
      <c r="H118" s="1"/>
      <c r="I118" s="1"/>
      <c r="J118" s="1"/>
      <c r="K118" s="1"/>
    </row>
    <row r="119" spans="7:11" x14ac:dyDescent="0.25">
      <c r="G119" s="1"/>
      <c r="H119" s="1"/>
      <c r="I119" s="1"/>
      <c r="J119" s="1"/>
      <c r="K119" s="1"/>
    </row>
    <row r="120" spans="7:11" x14ac:dyDescent="0.25">
      <c r="G120" s="1"/>
      <c r="H120" s="1"/>
      <c r="I120" s="1"/>
      <c r="J120" s="1"/>
      <c r="K120" s="1"/>
    </row>
    <row r="121" spans="7:11" x14ac:dyDescent="0.25">
      <c r="G121" s="1"/>
      <c r="H121" s="1"/>
      <c r="I121" s="1"/>
      <c r="J121" s="1"/>
      <c r="K121" s="1"/>
    </row>
    <row r="122" spans="7:11" x14ac:dyDescent="0.25">
      <c r="G122" s="1"/>
      <c r="H122" s="1"/>
      <c r="I122" s="1"/>
      <c r="J122" s="1"/>
      <c r="K122" s="1"/>
    </row>
    <row r="123" spans="7:11" x14ac:dyDescent="0.25">
      <c r="G123" s="1"/>
      <c r="H123" s="1"/>
      <c r="I123" s="1"/>
      <c r="J123" s="1"/>
      <c r="K123" s="1"/>
    </row>
    <row r="124" spans="7:11" x14ac:dyDescent="0.25">
      <c r="G124" s="1"/>
      <c r="H124" s="1"/>
      <c r="I124" s="1"/>
      <c r="J124" s="1"/>
      <c r="K124" s="1"/>
    </row>
    <row r="125" spans="7:11" x14ac:dyDescent="0.25">
      <c r="G125" s="1"/>
      <c r="H125" s="1"/>
      <c r="I125" s="1"/>
      <c r="J125" s="1"/>
      <c r="K125" s="1"/>
    </row>
    <row r="126" spans="7:11" x14ac:dyDescent="0.25">
      <c r="G126" s="1"/>
      <c r="H126" s="1"/>
      <c r="I126" s="1"/>
      <c r="J126" s="1"/>
      <c r="K126" s="1"/>
    </row>
    <row r="127" spans="7:11" x14ac:dyDescent="0.25">
      <c r="G127" s="1"/>
      <c r="H127" s="1"/>
      <c r="I127" s="1"/>
      <c r="J127" s="1"/>
      <c r="K127" s="1"/>
    </row>
    <row r="128" spans="7:11" x14ac:dyDescent="0.25">
      <c r="G128" s="1"/>
      <c r="H128" s="1"/>
      <c r="I128" s="1"/>
      <c r="J128" s="1"/>
      <c r="K128" s="1"/>
    </row>
    <row r="129" spans="7:11" x14ac:dyDescent="0.25">
      <c r="G129" s="1"/>
      <c r="H129" s="1"/>
      <c r="I129" s="1"/>
      <c r="J129" s="1"/>
      <c r="K129" s="1"/>
    </row>
    <row r="130" spans="7:11" x14ac:dyDescent="0.25">
      <c r="G130" s="1"/>
      <c r="H130" s="1"/>
      <c r="I130" s="1"/>
      <c r="J130" s="1"/>
      <c r="K130" s="1"/>
    </row>
    <row r="131" spans="7:11" x14ac:dyDescent="0.25">
      <c r="G131" s="1"/>
      <c r="H131" s="1"/>
      <c r="I131" s="1"/>
      <c r="J131" s="1"/>
      <c r="K131" s="1"/>
    </row>
    <row r="132" spans="7:11" x14ac:dyDescent="0.25">
      <c r="G132" s="1"/>
      <c r="H132" s="1"/>
      <c r="I132" s="1"/>
      <c r="J132" s="1"/>
      <c r="K132" s="1"/>
    </row>
    <row r="133" spans="7:11" x14ac:dyDescent="0.25">
      <c r="G133" s="1"/>
      <c r="H133" s="1"/>
      <c r="I133" s="1"/>
      <c r="J133" s="1"/>
      <c r="K133" s="1"/>
    </row>
    <row r="134" spans="7:11" x14ac:dyDescent="0.25">
      <c r="G134" s="1"/>
      <c r="H134" s="1"/>
      <c r="I134" s="1"/>
      <c r="J134" s="1"/>
      <c r="K134" s="1"/>
    </row>
    <row r="135" spans="7:11" x14ac:dyDescent="0.25">
      <c r="G135" s="1"/>
      <c r="H135" s="1"/>
      <c r="I135" s="1"/>
      <c r="J135" s="1"/>
      <c r="K135" s="1"/>
    </row>
    <row r="136" spans="7:11" x14ac:dyDescent="0.25">
      <c r="G136" s="1"/>
      <c r="H136" s="1"/>
      <c r="I136" s="1"/>
      <c r="J136" s="1"/>
      <c r="K136" s="1"/>
    </row>
    <row r="137" spans="7:11" x14ac:dyDescent="0.25">
      <c r="G137" s="1"/>
      <c r="H137" s="1"/>
      <c r="I137" s="1"/>
      <c r="J137" s="1"/>
      <c r="K137" s="1"/>
    </row>
    <row r="138" spans="7:11" x14ac:dyDescent="0.25">
      <c r="G138" s="1"/>
      <c r="H138" s="1"/>
      <c r="I138" s="1"/>
      <c r="J138" s="1"/>
      <c r="K138" s="1"/>
    </row>
    <row r="139" spans="7:11" x14ac:dyDescent="0.25">
      <c r="G139" s="1"/>
      <c r="H139" s="1"/>
      <c r="I139" s="1"/>
      <c r="J139" s="1"/>
      <c r="K139" s="1"/>
    </row>
    <row r="140" spans="7:11" x14ac:dyDescent="0.25">
      <c r="G140" s="1"/>
      <c r="H140" s="1"/>
      <c r="I140" s="1"/>
      <c r="J140" s="1"/>
      <c r="K140" s="1"/>
    </row>
    <row r="141" spans="7:11" x14ac:dyDescent="0.25">
      <c r="G141" s="1"/>
      <c r="H141" s="1"/>
      <c r="I141" s="1"/>
      <c r="J141" s="1"/>
      <c r="K141" s="1"/>
    </row>
    <row r="142" spans="7:11" x14ac:dyDescent="0.25">
      <c r="G142" s="1"/>
      <c r="H142" s="1"/>
      <c r="I142" s="1"/>
      <c r="J142" s="1"/>
      <c r="K142" s="1"/>
    </row>
    <row r="143" spans="7:11" x14ac:dyDescent="0.25">
      <c r="G143" s="1"/>
      <c r="H143" s="1"/>
      <c r="I143" s="1"/>
      <c r="J143" s="1"/>
      <c r="K143" s="1"/>
    </row>
    <row r="144" spans="7:11" x14ac:dyDescent="0.25">
      <c r="G144" s="1"/>
      <c r="H144" s="1"/>
      <c r="I144" s="1"/>
      <c r="J144" s="1"/>
      <c r="K144" s="1"/>
    </row>
    <row r="145" spans="7:11" x14ac:dyDescent="0.25">
      <c r="G145" s="1"/>
      <c r="H145" s="1"/>
      <c r="I145" s="1"/>
      <c r="J145" s="1"/>
      <c r="K145" s="1"/>
    </row>
    <row r="146" spans="7:11" x14ac:dyDescent="0.25">
      <c r="G146" s="1"/>
      <c r="H146" s="1"/>
      <c r="I146" s="1"/>
      <c r="J146" s="1"/>
      <c r="K146" s="1"/>
    </row>
    <row r="147" spans="7:11" x14ac:dyDescent="0.25">
      <c r="G147" s="1"/>
      <c r="H147" s="1"/>
      <c r="I147" s="1"/>
      <c r="J147" s="1"/>
      <c r="K147" s="1"/>
    </row>
    <row r="148" spans="7:11" x14ac:dyDescent="0.25">
      <c r="G148" s="1"/>
      <c r="H148" s="1"/>
      <c r="I148" s="1"/>
      <c r="J148" s="1"/>
      <c r="K148" s="1"/>
    </row>
    <row r="149" spans="7:11" x14ac:dyDescent="0.25">
      <c r="G149" s="1"/>
      <c r="H149" s="1"/>
      <c r="I149" s="1"/>
      <c r="J149" s="1"/>
      <c r="K149" s="1"/>
    </row>
    <row r="150" spans="7:11" x14ac:dyDescent="0.25">
      <c r="G150" s="1"/>
      <c r="H150" s="1"/>
      <c r="I150" s="1"/>
      <c r="J150" s="1"/>
      <c r="K150" s="1"/>
    </row>
    <row r="151" spans="7:11" x14ac:dyDescent="0.25">
      <c r="G151" s="1"/>
      <c r="H151" s="1"/>
      <c r="I151" s="1"/>
      <c r="J151" s="1"/>
      <c r="K151" s="1"/>
    </row>
    <row r="152" spans="7:11" x14ac:dyDescent="0.25">
      <c r="G152" s="1"/>
      <c r="H152" s="1"/>
      <c r="I152" s="1"/>
      <c r="J152" s="1"/>
      <c r="K152" s="1"/>
    </row>
    <row r="153" spans="7:11" x14ac:dyDescent="0.25">
      <c r="G153" s="1"/>
      <c r="H153" s="1"/>
      <c r="I153" s="1"/>
      <c r="J153" s="1"/>
      <c r="K153" s="1"/>
    </row>
    <row r="154" spans="7:11" x14ac:dyDescent="0.25">
      <c r="G154" s="1"/>
      <c r="H154" s="1"/>
      <c r="I154" s="1"/>
      <c r="J154" s="1"/>
      <c r="K154" s="1"/>
    </row>
    <row r="155" spans="7:11" x14ac:dyDescent="0.25">
      <c r="G155" s="1"/>
      <c r="H155" s="1"/>
      <c r="I155" s="1"/>
      <c r="J155" s="1"/>
      <c r="K155" s="1"/>
    </row>
    <row r="156" spans="7:11" x14ac:dyDescent="0.25">
      <c r="G156" s="1"/>
      <c r="H156" s="1"/>
      <c r="I156" s="1"/>
      <c r="J156" s="1"/>
      <c r="K156" s="1"/>
    </row>
    <row r="157" spans="7:11" x14ac:dyDescent="0.25">
      <c r="G157" s="1"/>
      <c r="H157" s="1"/>
      <c r="I157" s="1"/>
      <c r="J157" s="1"/>
      <c r="K157" s="1"/>
    </row>
    <row r="158" spans="7:11" x14ac:dyDescent="0.25">
      <c r="G158" s="1"/>
      <c r="H158" s="1"/>
      <c r="I158" s="1"/>
      <c r="J158" s="1"/>
      <c r="K158" s="1"/>
    </row>
    <row r="159" spans="7:11" x14ac:dyDescent="0.25">
      <c r="G159" s="1"/>
      <c r="H159" s="1"/>
      <c r="I159" s="1"/>
      <c r="J159" s="1"/>
      <c r="K159" s="1"/>
    </row>
    <row r="160" spans="7:11" x14ac:dyDescent="0.25">
      <c r="G160" s="1"/>
      <c r="H160" s="1"/>
      <c r="I160" s="1"/>
      <c r="J160" s="1"/>
      <c r="K160" s="1"/>
    </row>
    <row r="161" spans="7:11" x14ac:dyDescent="0.25">
      <c r="G161" s="1"/>
      <c r="H161" s="1"/>
      <c r="I161" s="1"/>
      <c r="J161" s="1"/>
      <c r="K161" s="1"/>
    </row>
    <row r="162" spans="7:11" x14ac:dyDescent="0.25">
      <c r="G162" s="1"/>
      <c r="H162" s="1"/>
      <c r="I162" s="1"/>
      <c r="J162" s="1"/>
      <c r="K162" s="1"/>
    </row>
    <row r="163" spans="7:11" x14ac:dyDescent="0.25">
      <c r="G163" s="1"/>
      <c r="H163" s="1"/>
      <c r="I163" s="1"/>
      <c r="J163" s="1"/>
      <c r="K163" s="1"/>
    </row>
    <row r="164" spans="7:11" x14ac:dyDescent="0.25">
      <c r="G164" s="1"/>
      <c r="H164" s="1"/>
      <c r="I164" s="1"/>
      <c r="J164" s="1"/>
      <c r="K164" s="1"/>
    </row>
    <row r="165" spans="7:11" x14ac:dyDescent="0.25">
      <c r="G165" s="1"/>
      <c r="H165" s="1"/>
      <c r="I165" s="1"/>
      <c r="J165" s="1"/>
      <c r="K165" s="1"/>
    </row>
    <row r="166" spans="7:11" x14ac:dyDescent="0.25">
      <c r="G166" s="1"/>
      <c r="H166" s="1"/>
      <c r="I166" s="1"/>
      <c r="J166" s="1"/>
      <c r="K166" s="1"/>
    </row>
    <row r="167" spans="7:11" x14ac:dyDescent="0.25">
      <c r="G167" s="1"/>
      <c r="H167" s="1"/>
      <c r="I167" s="1"/>
      <c r="J167" s="1"/>
      <c r="K167" s="1"/>
    </row>
    <row r="168" spans="7:11" x14ac:dyDescent="0.25">
      <c r="G168" s="1"/>
      <c r="H168" s="1"/>
      <c r="I168" s="1"/>
      <c r="J168" s="1"/>
      <c r="K168" s="1"/>
    </row>
    <row r="169" spans="7:11" x14ac:dyDescent="0.25">
      <c r="G169" s="1"/>
      <c r="H169" s="1"/>
      <c r="I169" s="1"/>
      <c r="J169" s="1"/>
      <c r="K169" s="1"/>
    </row>
    <row r="170" spans="7:11" x14ac:dyDescent="0.25">
      <c r="G170" s="1"/>
      <c r="H170" s="1"/>
      <c r="I170" s="1"/>
      <c r="J170" s="1"/>
      <c r="K170" s="1"/>
    </row>
    <row r="171" spans="7:11" x14ac:dyDescent="0.25">
      <c r="G171" s="1"/>
      <c r="H171" s="1"/>
      <c r="I171" s="1"/>
      <c r="J171" s="1"/>
      <c r="K171" s="1"/>
    </row>
    <row r="172" spans="7:11" x14ac:dyDescent="0.25">
      <c r="G172" s="1"/>
      <c r="H172" s="1"/>
      <c r="I172" s="1"/>
      <c r="J172" s="1"/>
      <c r="K172" s="1"/>
    </row>
    <row r="173" spans="7:11" x14ac:dyDescent="0.25">
      <c r="G173" s="1"/>
      <c r="H173" s="1"/>
      <c r="I173" s="1"/>
      <c r="J173" s="1"/>
      <c r="K173" s="1"/>
    </row>
    <row r="174" spans="7:11" x14ac:dyDescent="0.25">
      <c r="G174" s="1"/>
      <c r="H174" s="1"/>
      <c r="I174" s="1"/>
      <c r="J174" s="1"/>
      <c r="K174" s="1"/>
    </row>
    <row r="175" spans="7:11" x14ac:dyDescent="0.25">
      <c r="G175" s="1"/>
      <c r="H175" s="1"/>
      <c r="I175" s="1"/>
      <c r="J175" s="1"/>
      <c r="K175" s="1"/>
    </row>
    <row r="176" spans="7:11" x14ac:dyDescent="0.25">
      <c r="G176" s="1"/>
      <c r="H176" s="1"/>
      <c r="I176" s="1"/>
      <c r="J176" s="1"/>
      <c r="K176" s="1"/>
    </row>
    <row r="177" spans="7:11" x14ac:dyDescent="0.25">
      <c r="G177" s="1"/>
      <c r="H177" s="1"/>
      <c r="I177" s="1"/>
      <c r="J177" s="1"/>
      <c r="K177" s="1"/>
    </row>
    <row r="178" spans="7:11" x14ac:dyDescent="0.25">
      <c r="G178" s="1"/>
      <c r="H178" s="1"/>
      <c r="I178" s="1"/>
      <c r="J178" s="1"/>
      <c r="K178" s="1"/>
    </row>
    <row r="179" spans="7:11" x14ac:dyDescent="0.25">
      <c r="G179" s="1"/>
      <c r="H179" s="1"/>
      <c r="I179" s="1"/>
      <c r="J179" s="1"/>
      <c r="K179" s="1"/>
    </row>
    <row r="180" spans="7:11" x14ac:dyDescent="0.25">
      <c r="G180" s="1"/>
      <c r="H180" s="1"/>
      <c r="I180" s="1"/>
      <c r="J180" s="1"/>
      <c r="K180" s="1"/>
    </row>
    <row r="181" spans="7:11" x14ac:dyDescent="0.25">
      <c r="G181" s="1"/>
      <c r="H181" s="1"/>
      <c r="I181" s="1"/>
      <c r="J181" s="1"/>
      <c r="K181" s="1"/>
    </row>
    <row r="182" spans="7:11" x14ac:dyDescent="0.25">
      <c r="G182" s="1"/>
      <c r="H182" s="1"/>
      <c r="I182" s="1"/>
      <c r="J182" s="1"/>
      <c r="K182" s="1"/>
    </row>
    <row r="183" spans="7:11" x14ac:dyDescent="0.25">
      <c r="G183" s="1"/>
      <c r="H183" s="1"/>
      <c r="I183" s="1"/>
      <c r="J183" s="1"/>
      <c r="K183" s="1"/>
    </row>
    <row r="184" spans="7:11" x14ac:dyDescent="0.25">
      <c r="G184" s="1"/>
      <c r="H184" s="1"/>
      <c r="I184" s="1"/>
      <c r="J184" s="1"/>
      <c r="K184" s="1"/>
    </row>
    <row r="185" spans="7:11" x14ac:dyDescent="0.25">
      <c r="G185" s="1"/>
      <c r="H185" s="1"/>
      <c r="I185" s="1"/>
      <c r="J185" s="1"/>
      <c r="K185" s="1"/>
    </row>
    <row r="186" spans="7:11" x14ac:dyDescent="0.25">
      <c r="G186" s="1"/>
      <c r="H186" s="1"/>
      <c r="I186" s="1"/>
      <c r="J186" s="1"/>
      <c r="K186" s="1"/>
    </row>
    <row r="187" spans="7:11" x14ac:dyDescent="0.25">
      <c r="G187" s="1"/>
      <c r="H187" s="1"/>
      <c r="I187" s="1"/>
      <c r="J187" s="1"/>
      <c r="K187" s="1"/>
    </row>
    <row r="188" spans="7:11" x14ac:dyDescent="0.25">
      <c r="G188" s="1"/>
      <c r="H188" s="1"/>
      <c r="I188" s="1"/>
      <c r="J188" s="1"/>
      <c r="K188" s="1"/>
    </row>
    <row r="189" spans="7:11" x14ac:dyDescent="0.25">
      <c r="G189" s="1"/>
      <c r="H189" s="1"/>
      <c r="I189" s="1"/>
      <c r="J189" s="1"/>
      <c r="K189" s="1"/>
    </row>
    <row r="190" spans="7:11" x14ac:dyDescent="0.25">
      <c r="G190" s="1"/>
      <c r="H190" s="1"/>
      <c r="I190" s="1"/>
      <c r="J190" s="1"/>
      <c r="K190" s="1"/>
    </row>
    <row r="191" spans="7:11" x14ac:dyDescent="0.25">
      <c r="G191" s="1"/>
      <c r="H191" s="1"/>
      <c r="I191" s="1"/>
      <c r="J191" s="1"/>
      <c r="K191" s="1"/>
    </row>
    <row r="192" spans="7:11" x14ac:dyDescent="0.25">
      <c r="G192" s="1"/>
      <c r="H192" s="1"/>
      <c r="I192" s="1"/>
      <c r="J192" s="1"/>
      <c r="K192" s="1"/>
    </row>
    <row r="193" spans="7:11" x14ac:dyDescent="0.25">
      <c r="G193" s="1"/>
      <c r="H193" s="1"/>
      <c r="I193" s="1"/>
      <c r="J193" s="1"/>
      <c r="K193" s="1"/>
    </row>
    <row r="194" spans="7:11" x14ac:dyDescent="0.25">
      <c r="G194" s="1"/>
      <c r="H194" s="1"/>
      <c r="I194" s="1"/>
      <c r="J194" s="1"/>
      <c r="K194" s="1"/>
    </row>
    <row r="195" spans="7:11" x14ac:dyDescent="0.25">
      <c r="G195" s="1"/>
      <c r="H195" s="1"/>
      <c r="I195" s="1"/>
      <c r="J195" s="1"/>
      <c r="K195" s="1"/>
    </row>
    <row r="196" spans="7:11" x14ac:dyDescent="0.25">
      <c r="G196" s="1"/>
      <c r="H196" s="1"/>
      <c r="I196" s="1"/>
      <c r="J196" s="1"/>
      <c r="K196" s="1"/>
    </row>
    <row r="197" spans="7:11" x14ac:dyDescent="0.25">
      <c r="G197" s="1"/>
      <c r="H197" s="1"/>
      <c r="I197" s="1"/>
      <c r="J197" s="1"/>
      <c r="K197" s="1"/>
    </row>
    <row r="198" spans="7:11" x14ac:dyDescent="0.25">
      <c r="G198" s="1"/>
      <c r="H198" s="1"/>
      <c r="I198" s="1"/>
      <c r="J198" s="1"/>
      <c r="K198" s="1"/>
    </row>
    <row r="199" spans="7:11" x14ac:dyDescent="0.25">
      <c r="G199" s="1"/>
      <c r="H199" s="1"/>
      <c r="I199" s="1"/>
      <c r="J199" s="1"/>
      <c r="K199" s="1"/>
    </row>
    <row r="200" spans="7:11" x14ac:dyDescent="0.25">
      <c r="G200" s="1"/>
      <c r="H200" s="1"/>
      <c r="I200" s="1"/>
      <c r="J200" s="1"/>
      <c r="K200" s="1"/>
    </row>
    <row r="201" spans="7:11" x14ac:dyDescent="0.25">
      <c r="G201" s="1"/>
      <c r="H201" s="1"/>
      <c r="I201" s="1"/>
      <c r="J201" s="1"/>
      <c r="K201" s="1"/>
    </row>
    <row r="202" spans="7:11" x14ac:dyDescent="0.25">
      <c r="G202" s="1"/>
      <c r="H202" s="1"/>
      <c r="I202" s="1"/>
      <c r="J202" s="1"/>
      <c r="K202" s="1"/>
    </row>
    <row r="203" spans="7:11" x14ac:dyDescent="0.25">
      <c r="G203" s="1"/>
      <c r="H203" s="1"/>
      <c r="I203" s="1"/>
      <c r="J203" s="1"/>
      <c r="K203" s="1"/>
    </row>
    <row r="204" spans="7:11" x14ac:dyDescent="0.25">
      <c r="G204" s="1"/>
      <c r="H204" s="1"/>
      <c r="I204" s="1"/>
      <c r="J204" s="1"/>
      <c r="K204" s="1"/>
    </row>
    <row r="205" spans="7:11" x14ac:dyDescent="0.25">
      <c r="G205" s="1"/>
      <c r="H205" s="1"/>
      <c r="I205" s="1"/>
      <c r="J205" s="1"/>
      <c r="K205" s="1"/>
    </row>
    <row r="206" spans="7:11" x14ac:dyDescent="0.25">
      <c r="G206" s="1"/>
      <c r="H206" s="1"/>
      <c r="I206" s="1"/>
      <c r="J206" s="1"/>
      <c r="K206" s="1"/>
    </row>
    <row r="207" spans="7:11" x14ac:dyDescent="0.25">
      <c r="G207" s="1"/>
      <c r="H207" s="1"/>
      <c r="I207" s="1"/>
      <c r="J207" s="1"/>
      <c r="K207" s="1"/>
    </row>
    <row r="208" spans="7:11" x14ac:dyDescent="0.25">
      <c r="G208" s="1"/>
      <c r="H208" s="1"/>
      <c r="I208" s="1"/>
      <c r="J208" s="1"/>
      <c r="K208" s="1"/>
    </row>
    <row r="209" spans="7:11" x14ac:dyDescent="0.25">
      <c r="G209" s="1"/>
      <c r="H209" s="1"/>
      <c r="I209" s="1"/>
      <c r="J209" s="1"/>
      <c r="K209" s="1"/>
    </row>
    <row r="210" spans="7:11" x14ac:dyDescent="0.25">
      <c r="G210" s="1"/>
      <c r="H210" s="1"/>
      <c r="I210" s="1"/>
      <c r="J210" s="1"/>
      <c r="K210" s="1"/>
    </row>
    <row r="211" spans="7:11" x14ac:dyDescent="0.25">
      <c r="G211" s="1"/>
      <c r="H211" s="1"/>
      <c r="I211" s="1"/>
      <c r="J211" s="1"/>
      <c r="K211" s="1"/>
    </row>
    <row r="212" spans="7:11" x14ac:dyDescent="0.25">
      <c r="G212" s="1"/>
      <c r="H212" s="1"/>
      <c r="I212" s="1"/>
      <c r="J212" s="1"/>
      <c r="K212" s="1"/>
    </row>
    <row r="213" spans="7:11" x14ac:dyDescent="0.25">
      <c r="G213" s="1"/>
      <c r="H213" s="1"/>
      <c r="I213" s="1"/>
      <c r="J213" s="1"/>
      <c r="K213" s="1"/>
    </row>
    <row r="214" spans="7:11" x14ac:dyDescent="0.25">
      <c r="G214" s="1"/>
      <c r="H214" s="1"/>
      <c r="I214" s="1"/>
      <c r="J214" s="1"/>
      <c r="K214" s="1"/>
    </row>
    <row r="215" spans="7:11" x14ac:dyDescent="0.25">
      <c r="G215" s="1"/>
      <c r="H215" s="1"/>
      <c r="I215" s="1"/>
      <c r="J215" s="1"/>
      <c r="K215" s="1"/>
    </row>
    <row r="216" spans="7:11" x14ac:dyDescent="0.25">
      <c r="G216" s="1"/>
      <c r="H216" s="1"/>
      <c r="I216" s="1"/>
      <c r="J216" s="1"/>
      <c r="K216" s="1"/>
    </row>
    <row r="217" spans="7:11" x14ac:dyDescent="0.25">
      <c r="G217" s="1"/>
      <c r="H217" s="1"/>
      <c r="I217" s="1"/>
      <c r="J217" s="1"/>
      <c r="K217" s="1"/>
    </row>
    <row r="218" spans="7:11" x14ac:dyDescent="0.25">
      <c r="G218" s="1"/>
      <c r="H218" s="1"/>
      <c r="I218" s="1"/>
      <c r="J218" s="1"/>
      <c r="K218" s="1"/>
    </row>
    <row r="219" spans="7:11" x14ac:dyDescent="0.25">
      <c r="G219" s="1"/>
      <c r="H219" s="1"/>
      <c r="I219" s="1"/>
      <c r="J219" s="1"/>
      <c r="K219" s="1"/>
    </row>
    <row r="220" spans="7:11" x14ac:dyDescent="0.25">
      <c r="G220" s="1"/>
      <c r="H220" s="1"/>
      <c r="I220" s="1"/>
      <c r="J220" s="1"/>
      <c r="K220" s="1"/>
    </row>
    <row r="221" spans="7:11" x14ac:dyDescent="0.25">
      <c r="G221" s="1"/>
      <c r="H221" s="1"/>
      <c r="I221" s="1"/>
      <c r="J221" s="1"/>
      <c r="K221" s="1"/>
    </row>
    <row r="222" spans="7:11" x14ac:dyDescent="0.25">
      <c r="G222" s="1"/>
      <c r="H222" s="1"/>
      <c r="I222" s="1"/>
      <c r="J222" s="1"/>
      <c r="K222" s="1"/>
    </row>
    <row r="223" spans="7:11" x14ac:dyDescent="0.25">
      <c r="G223" s="1"/>
      <c r="H223" s="1"/>
      <c r="I223" s="1"/>
      <c r="J223" s="1"/>
      <c r="K223" s="1"/>
    </row>
    <row r="224" spans="7:11" x14ac:dyDescent="0.25">
      <c r="G224" s="1"/>
      <c r="H224" s="1"/>
      <c r="I224" s="1"/>
      <c r="J224" s="1"/>
      <c r="K224" s="1"/>
    </row>
    <row r="225" spans="7:11" x14ac:dyDescent="0.25">
      <c r="G225" s="1"/>
      <c r="H225" s="1"/>
      <c r="I225" s="1"/>
      <c r="J225" s="1"/>
      <c r="K225" s="1"/>
    </row>
    <row r="226" spans="7:11" x14ac:dyDescent="0.25">
      <c r="G226" s="1"/>
      <c r="H226" s="1"/>
      <c r="I226" s="1"/>
      <c r="J226" s="1"/>
      <c r="K226" s="1"/>
    </row>
    <row r="227" spans="7:11" x14ac:dyDescent="0.25">
      <c r="G227" s="1"/>
      <c r="H227" s="1"/>
      <c r="I227" s="1"/>
      <c r="J227" s="1"/>
      <c r="K227" s="1"/>
    </row>
    <row r="228" spans="7:11" x14ac:dyDescent="0.25">
      <c r="G228" s="1"/>
      <c r="H228" s="1"/>
      <c r="I228" s="1"/>
      <c r="J228" s="1"/>
      <c r="K228" s="1"/>
    </row>
    <row r="229" spans="7:11" x14ac:dyDescent="0.25">
      <c r="G229" s="1"/>
      <c r="H229" s="1"/>
      <c r="I229" s="1"/>
      <c r="J229" s="1"/>
      <c r="K229" s="1"/>
    </row>
    <row r="230" spans="7:11" x14ac:dyDescent="0.25">
      <c r="G230" s="1"/>
      <c r="H230" s="1"/>
      <c r="I230" s="1"/>
      <c r="J230" s="1"/>
      <c r="K230" s="1"/>
    </row>
    <row r="231" spans="7:11" x14ac:dyDescent="0.25">
      <c r="G231" s="1"/>
      <c r="H231" s="1"/>
      <c r="I231" s="1"/>
      <c r="J231" s="1"/>
      <c r="K231" s="1"/>
    </row>
    <row r="232" spans="7:11" x14ac:dyDescent="0.25">
      <c r="G232" s="1"/>
      <c r="H232" s="1"/>
      <c r="I232" s="1"/>
      <c r="J232" s="1"/>
      <c r="K232" s="1"/>
    </row>
    <row r="233" spans="7:11" x14ac:dyDescent="0.25">
      <c r="G233" s="1"/>
      <c r="H233" s="1"/>
      <c r="I233" s="1"/>
      <c r="J233" s="1"/>
      <c r="K233" s="1"/>
    </row>
    <row r="234" spans="7:11" x14ac:dyDescent="0.25">
      <c r="G234" s="1"/>
      <c r="H234" s="1"/>
      <c r="I234" s="1"/>
      <c r="J234" s="1"/>
      <c r="K234" s="1"/>
    </row>
    <row r="235" spans="7:11" x14ac:dyDescent="0.25">
      <c r="G235" s="1"/>
      <c r="H235" s="1"/>
      <c r="I235" s="1"/>
      <c r="J235" s="1"/>
      <c r="K235" s="1"/>
    </row>
    <row r="236" spans="7:11" x14ac:dyDescent="0.25">
      <c r="G236" s="1"/>
      <c r="H236" s="1"/>
      <c r="I236" s="1"/>
      <c r="J236" s="1"/>
      <c r="K236" s="1"/>
    </row>
    <row r="237" spans="7:11" x14ac:dyDescent="0.25">
      <c r="G237" s="1"/>
      <c r="H237" s="1"/>
      <c r="I237" s="1"/>
      <c r="J237" s="1"/>
      <c r="K237" s="1"/>
    </row>
    <row r="238" spans="7:11" x14ac:dyDescent="0.25">
      <c r="G238" s="1"/>
      <c r="H238" s="1"/>
      <c r="I238" s="1"/>
      <c r="J238" s="1"/>
      <c r="K238" s="1"/>
    </row>
    <row r="239" spans="7:11" x14ac:dyDescent="0.25">
      <c r="G239" s="1"/>
      <c r="H239" s="1"/>
      <c r="I239" s="1"/>
      <c r="J239" s="1"/>
      <c r="K239" s="1"/>
    </row>
    <row r="240" spans="7:11" x14ac:dyDescent="0.25">
      <c r="G240" s="1"/>
      <c r="H240" s="1"/>
      <c r="I240" s="1"/>
      <c r="J240" s="1"/>
      <c r="K240" s="1"/>
    </row>
    <row r="241" spans="7:11" x14ac:dyDescent="0.25">
      <c r="G241" s="1"/>
      <c r="H241" s="1"/>
      <c r="I241" s="1"/>
      <c r="J241" s="1"/>
      <c r="K241" s="1"/>
    </row>
    <row r="242" spans="7:11" x14ac:dyDescent="0.25">
      <c r="G242" s="1"/>
      <c r="H242" s="1"/>
      <c r="I242" s="1"/>
      <c r="J242" s="1"/>
      <c r="K242" s="1"/>
    </row>
    <row r="243" spans="7:11" x14ac:dyDescent="0.25">
      <c r="G243" s="1"/>
      <c r="H243" s="1"/>
      <c r="I243" s="1"/>
      <c r="J243" s="1"/>
      <c r="K243" s="1"/>
    </row>
    <row r="244" spans="7:11" x14ac:dyDescent="0.25">
      <c r="G244" s="1"/>
      <c r="H244" s="1"/>
      <c r="I244" s="1"/>
      <c r="J244" s="1"/>
      <c r="K244" s="1"/>
    </row>
    <row r="245" spans="7:11" x14ac:dyDescent="0.25">
      <c r="G245" s="1"/>
      <c r="H245" s="1"/>
      <c r="I245" s="1"/>
      <c r="J245" s="1"/>
      <c r="K245" s="1"/>
    </row>
    <row r="246" spans="7:11" x14ac:dyDescent="0.25">
      <c r="G246" s="1"/>
      <c r="H246" s="1"/>
      <c r="I246" s="1"/>
      <c r="J246" s="1"/>
      <c r="K246" s="1"/>
    </row>
    <row r="247" spans="7:11" x14ac:dyDescent="0.25">
      <c r="G247" s="1"/>
      <c r="H247" s="1"/>
      <c r="I247" s="1"/>
      <c r="J247" s="1"/>
      <c r="K247" s="1"/>
    </row>
    <row r="248" spans="7:11" x14ac:dyDescent="0.25">
      <c r="G248" s="1"/>
      <c r="H248" s="1"/>
      <c r="I248" s="1"/>
      <c r="J248" s="1"/>
      <c r="K248" s="1"/>
    </row>
    <row r="249" spans="7:11" x14ac:dyDescent="0.25">
      <c r="G249" s="1"/>
      <c r="H249" s="1"/>
      <c r="I249" s="1"/>
      <c r="J249" s="1"/>
      <c r="K249" s="1"/>
    </row>
    <row r="250" spans="7:11" x14ac:dyDescent="0.25">
      <c r="G250" s="1"/>
      <c r="H250" s="1"/>
      <c r="I250" s="1"/>
      <c r="J250" s="1"/>
      <c r="K250" s="1"/>
    </row>
    <row r="251" spans="7:11" x14ac:dyDescent="0.25">
      <c r="G251" s="1"/>
      <c r="H251" s="1"/>
      <c r="I251" s="1"/>
      <c r="J251" s="1"/>
      <c r="K251" s="1"/>
    </row>
    <row r="252" spans="7:11" x14ac:dyDescent="0.25">
      <c r="G252" s="1"/>
      <c r="H252" s="1"/>
      <c r="I252" s="1"/>
      <c r="J252" s="1"/>
      <c r="K252" s="1"/>
    </row>
    <row r="253" spans="7:11" x14ac:dyDescent="0.25">
      <c r="G253" s="1"/>
      <c r="H253" s="1"/>
      <c r="I253" s="1"/>
      <c r="J253" s="1"/>
      <c r="K253" s="1"/>
    </row>
    <row r="254" spans="7:11" x14ac:dyDescent="0.25">
      <c r="G254" s="1"/>
      <c r="H254" s="1"/>
      <c r="I254" s="1"/>
      <c r="J254" s="1"/>
      <c r="K254" s="1"/>
    </row>
    <row r="255" spans="7:11" x14ac:dyDescent="0.25">
      <c r="G255" s="1"/>
      <c r="H255" s="1"/>
      <c r="I255" s="1"/>
      <c r="J255" s="1"/>
      <c r="K255" s="1"/>
    </row>
    <row r="256" spans="7:11" x14ac:dyDescent="0.25">
      <c r="G256" s="1"/>
      <c r="H256" s="1"/>
      <c r="I256" s="1"/>
      <c r="J256" s="1"/>
      <c r="K256" s="1"/>
    </row>
    <row r="257" spans="7:11" x14ac:dyDescent="0.25">
      <c r="G257" s="1"/>
      <c r="H257" s="1"/>
      <c r="I257" s="1"/>
      <c r="J257" s="1"/>
      <c r="K257" s="1"/>
    </row>
    <row r="258" spans="7:11" x14ac:dyDescent="0.25">
      <c r="G258" s="1"/>
      <c r="H258" s="1"/>
      <c r="I258" s="1"/>
      <c r="J258" s="1"/>
      <c r="K258" s="1"/>
    </row>
    <row r="259" spans="7:11" x14ac:dyDescent="0.25">
      <c r="G259" s="1"/>
      <c r="H259" s="1"/>
      <c r="I259" s="1"/>
      <c r="J259" s="1"/>
      <c r="K259" s="1"/>
    </row>
    <row r="260" spans="7:11" x14ac:dyDescent="0.25">
      <c r="G260" s="1"/>
      <c r="H260" s="1"/>
      <c r="I260" s="1"/>
      <c r="J260" s="1"/>
      <c r="K260" s="1"/>
    </row>
    <row r="261" spans="7:11" x14ac:dyDescent="0.25">
      <c r="G261" s="1"/>
      <c r="H261" s="1"/>
      <c r="I261" s="1"/>
      <c r="J261" s="1"/>
      <c r="K261" s="1"/>
    </row>
    <row r="262" spans="7:11" x14ac:dyDescent="0.25">
      <c r="G262" s="1"/>
      <c r="H262" s="1"/>
      <c r="I262" s="1"/>
      <c r="J262" s="1"/>
      <c r="K262" s="1"/>
    </row>
    <row r="263" spans="7:11" x14ac:dyDescent="0.25">
      <c r="G263" s="1"/>
      <c r="H263" s="1"/>
      <c r="I263" s="1"/>
      <c r="J263" s="1"/>
      <c r="K263" s="1"/>
    </row>
    <row r="264" spans="7:11" x14ac:dyDescent="0.25">
      <c r="G264" s="1"/>
      <c r="H264" s="1"/>
      <c r="I264" s="1"/>
      <c r="J264" s="1"/>
      <c r="K264" s="1"/>
    </row>
    <row r="265" spans="7:11" x14ac:dyDescent="0.25">
      <c r="G265" s="1"/>
      <c r="H265" s="1"/>
      <c r="I265" s="1"/>
      <c r="J265" s="1"/>
      <c r="K265" s="1"/>
    </row>
    <row r="266" spans="7:11" x14ac:dyDescent="0.25">
      <c r="G266" s="1"/>
      <c r="H266" s="1"/>
      <c r="I266" s="1"/>
      <c r="J266" s="1"/>
      <c r="K266" s="1"/>
    </row>
    <row r="267" spans="7:11" x14ac:dyDescent="0.25">
      <c r="G267" s="1"/>
      <c r="H267" s="1"/>
      <c r="I267" s="1"/>
      <c r="J267" s="1"/>
      <c r="K267" s="1"/>
    </row>
    <row r="268" spans="7:11" x14ac:dyDescent="0.25">
      <c r="G268" s="1"/>
      <c r="H268" s="1"/>
      <c r="I268" s="1"/>
      <c r="J268" s="1"/>
      <c r="K268" s="1"/>
    </row>
    <row r="269" spans="7:11" x14ac:dyDescent="0.25">
      <c r="G269" s="1"/>
      <c r="H269" s="1"/>
      <c r="I269" s="1"/>
      <c r="J269" s="1"/>
      <c r="K269" s="1"/>
    </row>
    <row r="270" spans="7:11" x14ac:dyDescent="0.25">
      <c r="G270" s="1"/>
      <c r="H270" s="1"/>
      <c r="I270" s="1"/>
      <c r="J270" s="1"/>
      <c r="K270" s="1"/>
    </row>
    <row r="271" spans="7:11" x14ac:dyDescent="0.25">
      <c r="G271" s="1"/>
      <c r="H271" s="1"/>
      <c r="I271" s="1"/>
      <c r="J271" s="1"/>
      <c r="K271" s="1"/>
    </row>
    <row r="272" spans="7:11" x14ac:dyDescent="0.25">
      <c r="G272" s="1"/>
      <c r="H272" s="1"/>
      <c r="I272" s="1"/>
      <c r="J272" s="1"/>
      <c r="K272" s="1"/>
    </row>
    <row r="273" spans="7:11" x14ac:dyDescent="0.25">
      <c r="G273" s="1"/>
      <c r="H273" s="1"/>
      <c r="I273" s="1"/>
      <c r="J273" s="1"/>
      <c r="K273" s="1"/>
    </row>
    <row r="274" spans="7:11" x14ac:dyDescent="0.25">
      <c r="G274" s="1"/>
      <c r="H274" s="1"/>
      <c r="I274" s="1"/>
      <c r="J274" s="1"/>
      <c r="K274" s="1"/>
    </row>
    <row r="275" spans="7:11" x14ac:dyDescent="0.25">
      <c r="G275" s="1"/>
      <c r="H275" s="1"/>
      <c r="I275" s="1"/>
      <c r="J275" s="1"/>
      <c r="K275" s="1"/>
    </row>
    <row r="276" spans="7:11" x14ac:dyDescent="0.25">
      <c r="G276" s="1"/>
      <c r="H276" s="1"/>
      <c r="I276" s="1"/>
      <c r="J276" s="1"/>
      <c r="K276" s="1"/>
    </row>
    <row r="277" spans="7:11" x14ac:dyDescent="0.25">
      <c r="G277" s="1"/>
      <c r="H277" s="1"/>
      <c r="I277" s="1"/>
      <c r="J277" s="1"/>
      <c r="K277" s="1"/>
    </row>
    <row r="278" spans="7:11" x14ac:dyDescent="0.25">
      <c r="G278" s="1"/>
      <c r="H278" s="1"/>
      <c r="I278" s="1"/>
      <c r="J278" s="1"/>
      <c r="K278" s="1"/>
    </row>
    <row r="279" spans="7:11" x14ac:dyDescent="0.25">
      <c r="G279" s="1"/>
      <c r="H279" s="1"/>
      <c r="I279" s="1"/>
      <c r="J279" s="1"/>
      <c r="K279" s="1"/>
    </row>
    <row r="280" spans="7:11" x14ac:dyDescent="0.25">
      <c r="G280" s="1"/>
      <c r="H280" s="1"/>
      <c r="I280" s="1"/>
      <c r="J280" s="1"/>
      <c r="K280" s="1"/>
    </row>
    <row r="281" spans="7:11" x14ac:dyDescent="0.25">
      <c r="G281" s="1"/>
      <c r="H281" s="1"/>
      <c r="I281" s="1"/>
      <c r="J281" s="1"/>
      <c r="K281" s="1"/>
    </row>
    <row r="282" spans="7:11" x14ac:dyDescent="0.25">
      <c r="G282" s="1"/>
      <c r="H282" s="1"/>
      <c r="I282" s="1"/>
      <c r="J282" s="1"/>
      <c r="K282" s="1"/>
    </row>
    <row r="283" spans="7:11" x14ac:dyDescent="0.25">
      <c r="G283" s="1"/>
      <c r="H283" s="1"/>
      <c r="I283" s="1"/>
      <c r="J283" s="1"/>
      <c r="K283" s="1"/>
    </row>
    <row r="284" spans="7:11" x14ac:dyDescent="0.25">
      <c r="G284" s="1"/>
      <c r="H284" s="1"/>
      <c r="I284" s="1"/>
      <c r="J284" s="1"/>
      <c r="K284" s="1"/>
    </row>
    <row r="285" spans="7:11" x14ac:dyDescent="0.25">
      <c r="G285" s="1"/>
      <c r="H285" s="1"/>
      <c r="I285" s="1"/>
      <c r="J285" s="1"/>
      <c r="K285" s="1"/>
    </row>
    <row r="286" spans="7:11" x14ac:dyDescent="0.25">
      <c r="G286" s="1"/>
      <c r="H286" s="1"/>
      <c r="I286" s="1"/>
      <c r="J286" s="1"/>
      <c r="K286" s="1"/>
    </row>
    <row r="287" spans="7:11" x14ac:dyDescent="0.25">
      <c r="G287" s="1"/>
      <c r="H287" s="1"/>
      <c r="I287" s="1"/>
      <c r="J287" s="1"/>
      <c r="K287" s="1"/>
    </row>
    <row r="288" spans="7:11" x14ac:dyDescent="0.25">
      <c r="G288" s="1"/>
      <c r="H288" s="1"/>
      <c r="I288" s="1"/>
      <c r="J288" s="1"/>
      <c r="K288" s="1"/>
    </row>
    <row r="289" spans="7:11" x14ac:dyDescent="0.25">
      <c r="G289" s="1"/>
      <c r="H289" s="1"/>
      <c r="I289" s="1"/>
      <c r="J289" s="1"/>
      <c r="K289" s="1"/>
    </row>
    <row r="290" spans="7:11" x14ac:dyDescent="0.25">
      <c r="G290" s="1"/>
      <c r="H290" s="1"/>
      <c r="I290" s="1"/>
      <c r="J290" s="1"/>
      <c r="K290" s="1"/>
    </row>
    <row r="291" spans="7:11" x14ac:dyDescent="0.25">
      <c r="G291" s="1"/>
      <c r="H291" s="1"/>
      <c r="I291" s="1"/>
      <c r="J291" s="1"/>
      <c r="K291" s="1"/>
    </row>
    <row r="292" spans="7:11" x14ac:dyDescent="0.25">
      <c r="G292" s="1"/>
      <c r="H292" s="1"/>
      <c r="I292" s="1"/>
      <c r="J292" s="1"/>
      <c r="K292" s="1"/>
    </row>
    <row r="293" spans="7:11" x14ac:dyDescent="0.25">
      <c r="G293" s="1"/>
      <c r="H293" s="1"/>
      <c r="I293" s="1"/>
      <c r="J293" s="1"/>
      <c r="K293" s="1"/>
    </row>
    <row r="294" spans="7:11" x14ac:dyDescent="0.25">
      <c r="G294" s="1"/>
      <c r="H294" s="1"/>
      <c r="I294" s="1"/>
      <c r="J294" s="1"/>
      <c r="K294" s="1"/>
    </row>
    <row r="295" spans="7:11" x14ac:dyDescent="0.25">
      <c r="G295" s="1"/>
      <c r="H295" s="1"/>
      <c r="I295" s="1"/>
      <c r="J295" s="1"/>
      <c r="K295" s="1"/>
    </row>
    <row r="296" spans="7:11" x14ac:dyDescent="0.25">
      <c r="G296" s="1"/>
      <c r="H296" s="1"/>
      <c r="I296" s="1"/>
      <c r="J296" s="1"/>
      <c r="K296" s="1"/>
    </row>
    <row r="297" spans="7:11" x14ac:dyDescent="0.25">
      <c r="G297" s="1"/>
      <c r="H297" s="1"/>
      <c r="I297" s="1"/>
      <c r="J297" s="1"/>
      <c r="K297" s="1"/>
    </row>
    <row r="298" spans="7:11" x14ac:dyDescent="0.25">
      <c r="G298" s="1"/>
      <c r="H298" s="1"/>
      <c r="I298" s="1"/>
      <c r="J298" s="1"/>
      <c r="K298" s="1"/>
    </row>
    <row r="299" spans="7:11" x14ac:dyDescent="0.25">
      <c r="G299" s="1"/>
      <c r="H299" s="1"/>
      <c r="I299" s="1"/>
      <c r="J299" s="1"/>
      <c r="K299" s="1"/>
    </row>
    <row r="300" spans="7:11" x14ac:dyDescent="0.25">
      <c r="G300" s="1"/>
      <c r="H300" s="1"/>
      <c r="I300" s="1"/>
      <c r="J300" s="1"/>
      <c r="K300" s="1"/>
    </row>
  </sheetData>
  <mergeCells count="4">
    <mergeCell ref="B2:K2"/>
    <mergeCell ref="H33:K33"/>
    <mergeCell ref="B40:F40"/>
    <mergeCell ref="O41:T4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8D0F9-851E-443E-A476-66D321BA346C}">
  <sheetPr>
    <tabColor theme="9" tint="-0.249977111117893"/>
    <pageSetUpPr fitToPage="1"/>
  </sheetPr>
  <dimension ref="A1:V633"/>
  <sheetViews>
    <sheetView showGridLines="0" topLeftCell="A83" zoomScale="80" zoomScaleNormal="80" workbookViewId="0">
      <selection activeCell="Q52" sqref="Q52"/>
    </sheetView>
  </sheetViews>
  <sheetFormatPr defaultRowHeight="15" x14ac:dyDescent="0.25"/>
  <cols>
    <col min="1" max="5" width="1.85546875" customWidth="1"/>
    <col min="6" max="6" width="34.5703125" customWidth="1"/>
    <col min="7" max="9" width="9" bestFit="1" customWidth="1"/>
    <col min="10" max="10" width="9" customWidth="1"/>
    <col min="11" max="11" width="9.7109375" customWidth="1"/>
    <col min="12" max="12" width="9.5703125" customWidth="1"/>
    <col min="13" max="13" width="9.140625" customWidth="1"/>
    <col min="14" max="14" width="9.5703125" customWidth="1"/>
    <col min="15" max="15" width="8.7109375" customWidth="1"/>
    <col min="16" max="17" width="16.42578125" customWidth="1"/>
    <col min="18" max="18" width="17.28515625" customWidth="1"/>
    <col min="19" max="19" width="20" customWidth="1"/>
    <col min="20" max="20" width="4" customWidth="1"/>
    <col min="21" max="21" width="9" customWidth="1"/>
  </cols>
  <sheetData>
    <row r="1" spans="1:15" ht="24" thickBot="1" x14ac:dyDescent="0.4">
      <c r="A1" s="89" t="str">
        <f>company.name&amp;" Financial Statements"</f>
        <v>Legends Inc. Financial Statements</v>
      </c>
    </row>
    <row r="2" spans="1:15" ht="15.75" thickBot="1" x14ac:dyDescent="0.3">
      <c r="B2" s="218" t="s">
        <v>30</v>
      </c>
      <c r="C2" s="219"/>
      <c r="D2" s="219"/>
      <c r="E2" s="219"/>
      <c r="F2" s="220"/>
      <c r="G2" s="84" cm="1">
        <f t="array" ref="G2:I2">dates.hist</f>
        <v>2022</v>
      </c>
      <c r="H2" s="85">
        <v>2023</v>
      </c>
      <c r="I2" s="85">
        <v>2024</v>
      </c>
      <c r="J2" s="88" t="s">
        <v>203</v>
      </c>
      <c r="K2" s="86" cm="1">
        <f t="array" ref="K2:O2">dates.forecast</f>
        <v>2025</v>
      </c>
      <c r="L2" s="86">
        <v>2026</v>
      </c>
      <c r="M2" s="86">
        <v>2027</v>
      </c>
      <c r="N2" s="86">
        <v>2028</v>
      </c>
      <c r="O2" s="87">
        <v>2029</v>
      </c>
    </row>
    <row r="3" spans="1:15" x14ac:dyDescent="0.25">
      <c r="B3" s="101"/>
      <c r="C3" s="102" t="s">
        <v>1</v>
      </c>
      <c r="D3" s="102"/>
      <c r="E3" s="102"/>
      <c r="F3" s="103"/>
      <c r="J3" s="57"/>
      <c r="O3" s="43"/>
    </row>
    <row r="4" spans="1:15" x14ac:dyDescent="0.25">
      <c r="B4" s="101"/>
      <c r="C4" s="102"/>
      <c r="D4" s="102" t="str" cm="1">
        <f t="array" ref="D4:D6">+Parms!C3:C5</f>
        <v>Foot Solutions</v>
      </c>
      <c r="E4" s="102"/>
      <c r="F4" s="103"/>
      <c r="G4" s="4" cm="1">
        <f t="array" ref="G4:I6">P.H.Revenues</f>
        <v>8399</v>
      </c>
      <c r="H4" s="4">
        <v>8791</v>
      </c>
      <c r="I4" s="4">
        <v>9200</v>
      </c>
      <c r="J4" s="58"/>
      <c r="K4" s="4" cm="1">
        <f t="array" ref="K4:O6">P.F.REV</f>
        <v>9628.7065581053193</v>
      </c>
      <c r="L4" s="4">
        <v>10077.035474835175</v>
      </c>
      <c r="M4" s="44">
        <v>10546.4249756851</v>
      </c>
      <c r="N4" s="44">
        <v>11037.581557048488</v>
      </c>
      <c r="O4" s="65">
        <v>11551.662576895307</v>
      </c>
    </row>
    <row r="5" spans="1:15" x14ac:dyDescent="0.25">
      <c r="B5" s="101"/>
      <c r="C5" s="102"/>
      <c r="D5" s="102" t="str">
        <v>Greeting Fulfillments</v>
      </c>
      <c r="E5" s="102"/>
      <c r="F5" s="103"/>
      <c r="G5" s="4">
        <v>8696</v>
      </c>
      <c r="H5" s="4">
        <v>8800</v>
      </c>
      <c r="I5" s="4">
        <v>8850</v>
      </c>
      <c r="J5" s="58"/>
      <c r="K5" s="4">
        <v>8928.0629286192179</v>
      </c>
      <c r="L5" s="4">
        <v>8992.8024917293569</v>
      </c>
      <c r="M5" s="44">
        <v>9065.0682655999044</v>
      </c>
      <c r="N5" s="44">
        <v>9134.3580259815844</v>
      </c>
      <c r="O5" s="65">
        <v>9205.9693718225717</v>
      </c>
    </row>
    <row r="6" spans="1:15" x14ac:dyDescent="0.25">
      <c r="B6" s="101"/>
      <c r="C6" s="102"/>
      <c r="D6" s="102" t="str">
        <v>Legendwear</v>
      </c>
      <c r="E6" s="102"/>
      <c r="F6" s="103"/>
      <c r="G6" s="82">
        <v>8366</v>
      </c>
      <c r="H6" s="5">
        <v>8657</v>
      </c>
      <c r="I6" s="5">
        <v>8900</v>
      </c>
      <c r="J6" s="60"/>
      <c r="K6" s="5">
        <v>9179.6977111131309</v>
      </c>
      <c r="L6" s="5">
        <v>9452.7775582719223</v>
      </c>
      <c r="M6" s="8">
        <v>9741.9141495365948</v>
      </c>
      <c r="N6" s="8">
        <v>10035.806822449875</v>
      </c>
      <c r="O6" s="68">
        <v>10340.671206939653</v>
      </c>
    </row>
    <row r="7" spans="1:15" x14ac:dyDescent="0.25">
      <c r="B7" s="101"/>
      <c r="C7" s="102" t="s">
        <v>31</v>
      </c>
      <c r="D7" s="102"/>
      <c r="E7" s="102"/>
      <c r="F7" s="103"/>
      <c r="G7" s="4">
        <f t="shared" ref="G7:I7" si="0">SUM(G4:G6)</f>
        <v>25461</v>
      </c>
      <c r="H7" s="4">
        <f t="shared" si="0"/>
        <v>26248</v>
      </c>
      <c r="I7" s="4">
        <f t="shared" si="0"/>
        <v>26950</v>
      </c>
      <c r="J7" s="58"/>
      <c r="K7" s="4">
        <f>SUM(K4:K6)</f>
        <v>27736.467197837668</v>
      </c>
      <c r="L7" s="4">
        <f t="shared" ref="L7:O7" si="1">SUM(L4:L6)</f>
        <v>28522.615524836456</v>
      </c>
      <c r="M7" s="4">
        <f t="shared" si="1"/>
        <v>29353.407390821598</v>
      </c>
      <c r="N7" s="4">
        <f t="shared" si="1"/>
        <v>30207.746405479946</v>
      </c>
      <c r="O7" s="23">
        <f t="shared" si="1"/>
        <v>31098.30315565753</v>
      </c>
    </row>
    <row r="8" spans="1:15" x14ac:dyDescent="0.25">
      <c r="B8" s="101"/>
      <c r="C8" s="102"/>
      <c r="D8" s="102"/>
      <c r="E8" s="102"/>
      <c r="F8" s="103"/>
      <c r="G8" s="4"/>
      <c r="H8" s="4"/>
      <c r="I8" s="4"/>
      <c r="J8" s="58"/>
      <c r="K8" s="4"/>
      <c r="L8" s="4"/>
      <c r="O8" s="43"/>
    </row>
    <row r="9" spans="1:15" x14ac:dyDescent="0.25">
      <c r="B9" s="101"/>
      <c r="C9" s="102" t="s">
        <v>6</v>
      </c>
      <c r="D9" s="102"/>
      <c r="E9" s="102"/>
      <c r="F9" s="103"/>
      <c r="G9" s="4"/>
      <c r="H9" s="4"/>
      <c r="I9" s="4"/>
      <c r="J9" s="58"/>
      <c r="K9" s="4"/>
      <c r="L9" s="4"/>
      <c r="O9" s="43"/>
    </row>
    <row r="10" spans="1:15" x14ac:dyDescent="0.25">
      <c r="B10" s="101"/>
      <c r="C10" s="102"/>
      <c r="D10" s="102" t="str" cm="1">
        <f t="array" ref="D10:D12">+_xlfn.ANCHORARRAY(D4)</f>
        <v>Foot Solutions</v>
      </c>
      <c r="E10" s="102"/>
      <c r="F10" s="103"/>
      <c r="G10" s="4" cm="1">
        <f t="array" ref="G10:I12">P.H.COGS*P.H.Revenues</f>
        <v>4439.2777106699004</v>
      </c>
      <c r="H10" s="4">
        <v>4566.5317072266644</v>
      </c>
      <c r="I10" s="4">
        <v>4872.5556248578714</v>
      </c>
      <c r="J10" s="58"/>
      <c r="K10" s="4" cm="1">
        <f t="array" ref="K10:O12">P.F.REV*P.F.COGS</f>
        <v>5063.5098441887849</v>
      </c>
      <c r="L10" s="4">
        <v>5290.300401403726</v>
      </c>
      <c r="M10" s="4">
        <v>5556.165441504123</v>
      </c>
      <c r="N10" s="4">
        <v>5804.6328504999365</v>
      </c>
      <c r="O10" s="23">
        <v>6075.0664375735923</v>
      </c>
    </row>
    <row r="11" spans="1:15" x14ac:dyDescent="0.25">
      <c r="B11" s="101"/>
      <c r="C11" s="102"/>
      <c r="D11" s="102" t="str">
        <v>Greeting Fulfillments</v>
      </c>
      <c r="E11" s="102"/>
      <c r="F11" s="103"/>
      <c r="G11" s="4">
        <v>4778.5573595487722</v>
      </c>
      <c r="H11" s="4">
        <v>4454.6704207464609</v>
      </c>
      <c r="I11" s="4">
        <v>4801.0699743876594</v>
      </c>
      <c r="J11" s="58"/>
      <c r="K11" s="4">
        <v>4756.3316201305624</v>
      </c>
      <c r="L11" s="4">
        <v>4740.543280340833</v>
      </c>
      <c r="M11" s="4">
        <v>4841.9003419399241</v>
      </c>
      <c r="N11" s="4">
        <v>4853.4357133036556</v>
      </c>
      <c r="O11" s="23">
        <v>4887.1863156440722</v>
      </c>
    </row>
    <row r="12" spans="1:15" x14ac:dyDescent="0.25">
      <c r="B12" s="101"/>
      <c r="C12" s="102"/>
      <c r="D12" s="102" t="str">
        <v>Legendwear</v>
      </c>
      <c r="E12" s="102"/>
      <c r="F12" s="103"/>
      <c r="G12" s="4">
        <v>4197.1927344860442</v>
      </c>
      <c r="H12" s="4">
        <v>4489.061030873766</v>
      </c>
      <c r="I12" s="4">
        <v>4761.8591558322623</v>
      </c>
      <c r="J12" s="58"/>
      <c r="K12" s="4">
        <v>4759.0116894952844</v>
      </c>
      <c r="L12" s="4">
        <v>4953.3034768647149</v>
      </c>
      <c r="M12" s="4">
        <v>5122.5367050813711</v>
      </c>
      <c r="N12" s="4">
        <v>5246.2429995108796</v>
      </c>
      <c r="O12" s="23">
        <v>5420.5178950341951</v>
      </c>
    </row>
    <row r="13" spans="1:15" x14ac:dyDescent="0.25">
      <c r="B13" s="101"/>
      <c r="C13" s="102" t="s">
        <v>32</v>
      </c>
      <c r="D13" s="102"/>
      <c r="E13" s="102"/>
      <c r="F13" s="103"/>
      <c r="G13" s="3">
        <f t="shared" ref="G13:O13" si="2">SUM(G10:G12)</f>
        <v>13415.027804704718</v>
      </c>
      <c r="H13" s="3">
        <f t="shared" si="2"/>
        <v>13510.26315884689</v>
      </c>
      <c r="I13" s="3">
        <f t="shared" si="2"/>
        <v>14435.484755077792</v>
      </c>
      <c r="J13" s="59"/>
      <c r="K13" s="3">
        <f t="shared" si="2"/>
        <v>14578.853153814631</v>
      </c>
      <c r="L13" s="3">
        <f t="shared" si="2"/>
        <v>14984.147158609274</v>
      </c>
      <c r="M13" s="3">
        <f t="shared" si="2"/>
        <v>15520.602488525417</v>
      </c>
      <c r="N13" s="3">
        <f t="shared" si="2"/>
        <v>15904.311563314472</v>
      </c>
      <c r="O13" s="22">
        <f t="shared" si="2"/>
        <v>16382.770648251859</v>
      </c>
    </row>
    <row r="14" spans="1:15" x14ac:dyDescent="0.25">
      <c r="B14" s="101"/>
      <c r="C14" s="102"/>
      <c r="D14" s="102"/>
      <c r="E14" s="102"/>
      <c r="F14" s="103"/>
      <c r="G14" s="4"/>
      <c r="H14" s="4"/>
      <c r="I14" s="4"/>
      <c r="J14" s="58"/>
      <c r="K14" s="4"/>
      <c r="L14" s="4"/>
      <c r="O14" s="43"/>
    </row>
    <row r="15" spans="1:15" x14ac:dyDescent="0.25">
      <c r="B15" s="101"/>
      <c r="C15" s="102" t="s">
        <v>33</v>
      </c>
      <c r="D15" s="102"/>
      <c r="E15" s="102"/>
      <c r="F15" s="103"/>
      <c r="G15" s="83" cm="1">
        <f t="array" ref="G15:I15">H.Revenues-H.COGS</f>
        <v>12045.972195295282</v>
      </c>
      <c r="H15" s="3">
        <v>12737.73684115311</v>
      </c>
      <c r="I15" s="3">
        <v>12514.515244922208</v>
      </c>
      <c r="J15" s="59"/>
      <c r="K15" s="3" cm="1">
        <f t="array" ref="K15:O15">F.REV-F.COGS</f>
        <v>13157.614044023037</v>
      </c>
      <c r="L15" s="3">
        <v>13538.468366227182</v>
      </c>
      <c r="M15" s="3">
        <v>13832.80490229618</v>
      </c>
      <c r="N15" s="3">
        <v>14303.434842165474</v>
      </c>
      <c r="O15" s="22">
        <v>14715.532507405671</v>
      </c>
    </row>
    <row r="16" spans="1:15" x14ac:dyDescent="0.25">
      <c r="B16" s="101"/>
      <c r="C16" s="102"/>
      <c r="D16" s="109" t="s">
        <v>34</v>
      </c>
      <c r="E16" s="102"/>
      <c r="F16" s="103"/>
      <c r="G16" s="14" cm="1">
        <f t="array" ref="G16:I16">H.Gross.Margin/H.Revenues</f>
        <v>0.47311465359943766</v>
      </c>
      <c r="H16" s="14">
        <v>0.48528409178425441</v>
      </c>
      <c r="I16" s="14">
        <v>0.46436049146279063</v>
      </c>
      <c r="J16" s="66"/>
      <c r="K16" s="14" cm="1">
        <f t="array" ref="K16:O16">F.MARGIN/F.REV</f>
        <v>0.47437959384563594</v>
      </c>
      <c r="L16" s="14">
        <v>0.47465732427092377</v>
      </c>
      <c r="M16" s="14">
        <v>0.47125039754742432</v>
      </c>
      <c r="N16" s="14">
        <v>0.47350221529834835</v>
      </c>
      <c r="O16" s="67">
        <v>0.47319406572601247</v>
      </c>
    </row>
    <row r="17" spans="2:16" x14ac:dyDescent="0.25">
      <c r="B17" s="101"/>
      <c r="C17" s="102"/>
      <c r="D17" s="102"/>
      <c r="E17" s="102"/>
      <c r="F17" s="103"/>
      <c r="G17" s="4"/>
      <c r="H17" s="4"/>
      <c r="I17" s="4"/>
      <c r="J17" s="58"/>
      <c r="K17" s="4"/>
      <c r="L17" s="4"/>
      <c r="O17" s="43"/>
    </row>
    <row r="18" spans="2:16" x14ac:dyDescent="0.25">
      <c r="B18" s="101"/>
      <c r="C18" s="102" t="s">
        <v>202</v>
      </c>
      <c r="D18" s="102"/>
      <c r="E18" s="102"/>
      <c r="F18" s="103"/>
      <c r="G18" s="4"/>
      <c r="H18" s="4"/>
      <c r="I18" s="4"/>
      <c r="J18" s="58"/>
      <c r="K18" s="4"/>
      <c r="L18" s="4"/>
      <c r="O18" s="43"/>
    </row>
    <row r="19" spans="2:16" x14ac:dyDescent="0.25">
      <c r="B19" s="101"/>
      <c r="C19" s="102"/>
      <c r="D19" s="102" t="s">
        <v>8</v>
      </c>
      <c r="E19" s="102"/>
      <c r="F19" s="103"/>
      <c r="G19" s="4" cm="1">
        <f t="array" ref="G19:I23">H.Revenues*P.H.Fixed.Costs</f>
        <v>1150.8730896536172</v>
      </c>
      <c r="H19" s="4">
        <v>1089.8086129273595</v>
      </c>
      <c r="I19" s="4">
        <v>1118.0365187963178</v>
      </c>
      <c r="J19" s="58"/>
      <c r="K19" s="4" cm="1">
        <f t="array" ref="K19:O23">F.REV*P.F.FIXED.COST</f>
        <v>1185.3334275956911</v>
      </c>
      <c r="L19" s="4">
        <v>1195.4857453008672</v>
      </c>
      <c r="M19" s="4">
        <v>1234.1615938586178</v>
      </c>
      <c r="N19" s="4">
        <v>1275.7142648720283</v>
      </c>
      <c r="O19" s="23">
        <v>1308.0971300881015</v>
      </c>
    </row>
    <row r="20" spans="2:16" x14ac:dyDescent="0.25">
      <c r="B20" s="101"/>
      <c r="C20" s="102"/>
      <c r="D20" s="102" t="s">
        <v>9</v>
      </c>
      <c r="E20" s="102"/>
      <c r="F20" s="103"/>
      <c r="G20" s="4">
        <v>1009.8940912050625</v>
      </c>
      <c r="H20" s="4">
        <v>1266.5318895633311</v>
      </c>
      <c r="I20" s="4">
        <v>1155.1551449909102</v>
      </c>
      <c r="J20" s="58"/>
      <c r="K20" s="4">
        <v>1209.1228677330655</v>
      </c>
      <c r="L20" s="4">
        <v>1280.7478121951528</v>
      </c>
      <c r="M20" s="4">
        <v>1285.2784912832492</v>
      </c>
      <c r="N20" s="4">
        <v>1331.9853007587672</v>
      </c>
      <c r="O20" s="23">
        <v>1376.4461281093304</v>
      </c>
    </row>
    <row r="21" spans="2:16" x14ac:dyDescent="0.25">
      <c r="B21" s="101"/>
      <c r="C21" s="102"/>
      <c r="D21" s="102" t="s">
        <v>10</v>
      </c>
      <c r="E21" s="102"/>
      <c r="F21" s="103"/>
      <c r="G21" s="4">
        <v>782.50009925083941</v>
      </c>
      <c r="H21" s="4">
        <v>979.22871974161512</v>
      </c>
      <c r="I21" s="4">
        <v>1119.950732720147</v>
      </c>
      <c r="J21" s="58"/>
      <c r="K21" s="4">
        <v>1013.2749930960466</v>
      </c>
      <c r="L21" s="4">
        <v>1097.1284614632252</v>
      </c>
      <c r="M21" s="4">
        <v>1140.4195584612587</v>
      </c>
      <c r="N21" s="4">
        <v>1146.3718318755843</v>
      </c>
      <c r="O21" s="23">
        <v>1194.8606844250098</v>
      </c>
    </row>
    <row r="22" spans="2:16" x14ac:dyDescent="0.25">
      <c r="B22" s="101"/>
      <c r="C22" s="102"/>
      <c r="D22" s="102" t="s">
        <v>11</v>
      </c>
      <c r="E22" s="102"/>
      <c r="F22" s="103"/>
      <c r="G22" s="4">
        <v>803.18113443462266</v>
      </c>
      <c r="H22" s="4">
        <v>986.38286708445185</v>
      </c>
      <c r="I22" s="4">
        <v>983.27218939278293</v>
      </c>
      <c r="J22" s="58"/>
      <c r="K22" s="4">
        <v>976.41565916388004</v>
      </c>
      <c r="L22" s="4">
        <v>1038.8670955781265</v>
      </c>
      <c r="M22" s="4">
        <v>1057.8082096205399</v>
      </c>
      <c r="N22" s="4">
        <v>1084.0842652593772</v>
      </c>
      <c r="O22" s="23">
        <v>1123.1378297026713</v>
      </c>
    </row>
    <row r="23" spans="2:16" x14ac:dyDescent="0.25">
      <c r="B23" s="101"/>
      <c r="C23" s="102"/>
      <c r="D23" s="102" t="s">
        <v>12</v>
      </c>
      <c r="E23" s="102"/>
      <c r="F23" s="103"/>
      <c r="G23" s="4">
        <v>959.69878163148621</v>
      </c>
      <c r="H23" s="4">
        <v>1217.2542608912165</v>
      </c>
      <c r="I23" s="4">
        <v>907.41535653422523</v>
      </c>
      <c r="J23" s="58"/>
      <c r="K23" s="4">
        <v>1088.5486012799897</v>
      </c>
      <c r="L23" s="4">
        <v>1134.1691819983275</v>
      </c>
      <c r="M23" s="4">
        <v>1102.5169222332236</v>
      </c>
      <c r="N23" s="4">
        <v>1173.7730587508097</v>
      </c>
      <c r="O23" s="23">
        <v>1204.3403278186975</v>
      </c>
    </row>
    <row r="24" spans="2:16" x14ac:dyDescent="0.25">
      <c r="B24" s="101"/>
      <c r="C24" s="102"/>
      <c r="D24" s="102" t="s">
        <v>13</v>
      </c>
      <c r="E24" s="102"/>
      <c r="F24" s="103"/>
      <c r="G24" s="4" cm="1">
        <f t="array" ref="G24:I24">P.H.Depreciation.Expense</f>
        <v>1000</v>
      </c>
      <c r="H24" s="4">
        <v>1000</v>
      </c>
      <c r="I24" s="4">
        <v>1000</v>
      </c>
      <c r="J24" s="58"/>
      <c r="K24" s="4" cm="1">
        <f t="array" ref="K24:O24">P.F.DEPREC</f>
        <v>1000</v>
      </c>
      <c r="L24">
        <v>1000</v>
      </c>
      <c r="M24">
        <v>1000</v>
      </c>
      <c r="N24">
        <v>1000</v>
      </c>
      <c r="O24" s="43">
        <v>1000</v>
      </c>
    </row>
    <row r="25" spans="2:16" x14ac:dyDescent="0.25">
      <c r="B25" s="101"/>
      <c r="C25" s="102"/>
      <c r="D25" s="102" t="s">
        <v>14</v>
      </c>
      <c r="E25" s="102"/>
      <c r="F25" s="103"/>
      <c r="G25" s="4" cm="1">
        <f t="array" ref="G25:I25">P.H.Amortization.Expense</f>
        <v>250</v>
      </c>
      <c r="H25" s="4">
        <v>250</v>
      </c>
      <c r="I25" s="4">
        <v>250</v>
      </c>
      <c r="J25" s="58"/>
      <c r="K25" s="4" cm="1">
        <f t="array" ref="K25:O25">P.F.AMORT</f>
        <v>2476.6996626755363</v>
      </c>
      <c r="L25" s="75">
        <v>2476.6996626755363</v>
      </c>
      <c r="M25" s="75">
        <v>2476.6996626755363</v>
      </c>
      <c r="N25" s="75">
        <v>2476.6996626755363</v>
      </c>
      <c r="O25" s="76">
        <v>2476.6996626755363</v>
      </c>
    </row>
    <row r="26" spans="2:16" x14ac:dyDescent="0.25">
      <c r="B26" s="101"/>
      <c r="C26" s="102" t="s">
        <v>35</v>
      </c>
      <c r="D26" s="102"/>
      <c r="E26" s="102"/>
      <c r="F26" s="103"/>
      <c r="G26" s="3">
        <f t="shared" ref="G26:O26" si="3">SUM(G19:G25)</f>
        <v>5956.1471961756279</v>
      </c>
      <c r="H26" s="3">
        <f t="shared" si="3"/>
        <v>6789.2063502079736</v>
      </c>
      <c r="I26" s="3">
        <f t="shared" si="3"/>
        <v>6533.8299424343832</v>
      </c>
      <c r="J26" s="59"/>
      <c r="K26" s="3">
        <f>SUM(K19:K25)</f>
        <v>8949.395211544208</v>
      </c>
      <c r="L26" s="3">
        <f t="shared" si="3"/>
        <v>9223.0979592112344</v>
      </c>
      <c r="M26" s="3">
        <f t="shared" si="3"/>
        <v>9296.8844381324252</v>
      </c>
      <c r="N26" s="3">
        <f t="shared" si="3"/>
        <v>9488.6283841921031</v>
      </c>
      <c r="O26" s="22">
        <f t="shared" si="3"/>
        <v>9683.5817628193472</v>
      </c>
    </row>
    <row r="27" spans="2:16" x14ac:dyDescent="0.25">
      <c r="B27" s="101"/>
      <c r="C27" s="102"/>
      <c r="D27" s="102"/>
      <c r="E27" s="102"/>
      <c r="F27" s="103"/>
      <c r="G27" s="4"/>
      <c r="H27" s="4"/>
      <c r="I27" s="4"/>
      <c r="J27" s="58"/>
      <c r="K27" s="4"/>
      <c r="O27" s="43"/>
    </row>
    <row r="28" spans="2:16" x14ac:dyDescent="0.25">
      <c r="B28" s="101"/>
      <c r="C28" s="102" t="s">
        <v>36</v>
      </c>
      <c r="D28" s="102"/>
      <c r="E28" s="102"/>
      <c r="F28" s="103"/>
      <c r="G28" s="3" cm="1">
        <f t="array" ref="G28:I28">H.Gross.Margin-H.Fixed.Costs</f>
        <v>6089.8249991196544</v>
      </c>
      <c r="H28" s="3">
        <v>5948.5304909451361</v>
      </c>
      <c r="I28" s="3">
        <v>5980.6853024878246</v>
      </c>
      <c r="J28" s="59"/>
      <c r="K28" s="3" cm="1">
        <f t="array" ref="K28:O28">F.MARGIN-F.FIXED.COSTS</f>
        <v>4208.2188324788294</v>
      </c>
      <c r="L28" s="3">
        <v>4315.3704070159474</v>
      </c>
      <c r="M28" s="3">
        <v>4535.9204641637552</v>
      </c>
      <c r="N28" s="3">
        <v>4814.8064579733709</v>
      </c>
      <c r="O28" s="22">
        <v>5031.9507445863237</v>
      </c>
    </row>
    <row r="29" spans="2:16" x14ac:dyDescent="0.25">
      <c r="B29" s="101"/>
      <c r="C29" s="102"/>
      <c r="D29" s="109" t="s">
        <v>34</v>
      </c>
      <c r="E29" s="102"/>
      <c r="F29" s="103"/>
      <c r="G29" s="14" cm="1">
        <f t="array" ref="G29:I29">H.Operating.Income/H.Revenues</f>
        <v>0.23918247512350868</v>
      </c>
      <c r="H29" s="14">
        <v>0.22662795226093935</v>
      </c>
      <c r="I29" s="14">
        <v>0.22191782198470592</v>
      </c>
      <c r="J29" s="66"/>
      <c r="K29" s="14" cm="1">
        <f t="array" ref="K29:O29">F.EBIT/F.REV</f>
        <v>0.1517215153055578</v>
      </c>
      <c r="L29" s="14">
        <v>0.15129644766477604</v>
      </c>
      <c r="M29" s="14">
        <v>0.15452790211953638</v>
      </c>
      <c r="N29" s="14">
        <v>0.15938979337763254</v>
      </c>
      <c r="O29" s="67">
        <v>0.16180788769727106</v>
      </c>
      <c r="P29" s="2"/>
    </row>
    <row r="30" spans="2:16" x14ac:dyDescent="0.25">
      <c r="B30" s="101"/>
      <c r="C30" s="102"/>
      <c r="D30" s="102"/>
      <c r="E30" s="102"/>
      <c r="F30" s="103"/>
      <c r="G30" s="4"/>
      <c r="H30" s="4"/>
      <c r="I30" s="4"/>
      <c r="J30" s="58"/>
      <c r="K30" s="4"/>
      <c r="L30" s="4"/>
      <c r="O30" s="43"/>
    </row>
    <row r="31" spans="2:16" x14ac:dyDescent="0.25">
      <c r="B31" s="101"/>
      <c r="C31" s="102" t="s">
        <v>37</v>
      </c>
      <c r="D31" s="102"/>
      <c r="E31" s="102"/>
      <c r="F31" s="103"/>
      <c r="G31" s="5" cm="1">
        <f t="array" ref="G31:I31">D.H.Interest.Expense</f>
        <v>525.5</v>
      </c>
      <c r="H31" s="5">
        <v>509.375</v>
      </c>
      <c r="I31" s="5">
        <v>370.25</v>
      </c>
      <c r="J31" s="60"/>
      <c r="K31" s="5" cm="1">
        <f t="array" aca="1" ref="K31:O31" ca="1">D.F.INTEREST</f>
        <v>3324.1992957682423</v>
      </c>
      <c r="L31" s="5">
        <f ca="1"/>
        <v>3122.8633317489184</v>
      </c>
      <c r="M31" s="8">
        <f ca="1"/>
        <v>2869.5526741706317</v>
      </c>
      <c r="N31" s="8">
        <f ca="1"/>
        <v>2587.7441111277094</v>
      </c>
      <c r="O31" s="68">
        <f ca="1"/>
        <v>2260.8680647852261</v>
      </c>
    </row>
    <row r="32" spans="2:16" x14ac:dyDescent="0.25">
      <c r="B32" s="101"/>
      <c r="C32" s="102"/>
      <c r="D32" s="102"/>
      <c r="E32" s="102"/>
      <c r="F32" s="103"/>
      <c r="G32" s="4"/>
      <c r="H32" s="4"/>
      <c r="I32" s="4"/>
      <c r="J32" s="58"/>
      <c r="K32" s="4"/>
      <c r="L32" s="4"/>
      <c r="O32" s="43"/>
    </row>
    <row r="33" spans="2:16" x14ac:dyDescent="0.25">
      <c r="B33" s="101"/>
      <c r="C33" s="102" t="s">
        <v>38</v>
      </c>
      <c r="D33" s="102"/>
      <c r="E33" s="102"/>
      <c r="F33" s="103"/>
      <c r="G33" s="4" cm="1">
        <f t="array" ref="G33:I33">H.EBIT-G31:I31</f>
        <v>5564.3249991196544</v>
      </c>
      <c r="H33" s="4">
        <v>5439.1554909451361</v>
      </c>
      <c r="I33" s="4">
        <v>5610.4353024878246</v>
      </c>
      <c r="J33" s="58"/>
      <c r="K33" s="4">
        <f ca="1">K28-K31</f>
        <v>884.01953671058709</v>
      </c>
      <c r="L33" s="4">
        <f t="shared" ref="L33:O33" ca="1" si="4">L28-L31</f>
        <v>1192.507075267029</v>
      </c>
      <c r="M33" s="4">
        <f t="shared" ca="1" si="4"/>
        <v>1666.3677899931236</v>
      </c>
      <c r="N33" s="4">
        <f t="shared" ca="1" si="4"/>
        <v>2227.0623468456615</v>
      </c>
      <c r="O33" s="23">
        <f t="shared" ca="1" si="4"/>
        <v>2771.0826798010976</v>
      </c>
    </row>
    <row r="34" spans="2:16" x14ac:dyDescent="0.25">
      <c r="B34" s="101"/>
      <c r="C34" s="102"/>
      <c r="D34" s="102"/>
      <c r="E34" s="102"/>
      <c r="F34" s="103"/>
      <c r="G34" s="4"/>
      <c r="H34" s="4"/>
      <c r="I34" s="4"/>
      <c r="J34" s="58"/>
      <c r="K34" s="4"/>
      <c r="L34" s="4"/>
      <c r="O34" s="43"/>
    </row>
    <row r="35" spans="2:16" x14ac:dyDescent="0.25">
      <c r="B35" s="101"/>
      <c r="C35" s="102" t="s">
        <v>39</v>
      </c>
      <c r="D35" s="102"/>
      <c r="E35" s="102"/>
      <c r="F35" s="103"/>
      <c r="G35" s="5" cm="1">
        <f t="array" ref="G35:I35">+_xlfn.ANCHORARRAY(G33)*tax.rate</f>
        <v>1168.5082498151273</v>
      </c>
      <c r="H35" s="5">
        <v>1142.2226530984785</v>
      </c>
      <c r="I35" s="5">
        <v>1178.1914135224431</v>
      </c>
      <c r="J35" s="60"/>
      <c r="K35" s="5">
        <f ca="1">K33*tax.rate</f>
        <v>185.64410270922329</v>
      </c>
      <c r="L35" s="5">
        <f ca="1">L33*tax.rate</f>
        <v>250.42648580607607</v>
      </c>
      <c r="M35" s="5">
        <f ca="1">M33*tax.rate</f>
        <v>349.93723589855591</v>
      </c>
      <c r="N35" s="5">
        <f ca="1">N33*tax.rate</f>
        <v>467.6830928375889</v>
      </c>
      <c r="O35" s="69">
        <f ca="1">O33*tax.rate</f>
        <v>581.92736275823052</v>
      </c>
    </row>
    <row r="36" spans="2:16" x14ac:dyDescent="0.25">
      <c r="B36" s="101"/>
      <c r="C36" s="102"/>
      <c r="D36" s="102"/>
      <c r="E36" s="102"/>
      <c r="F36" s="103"/>
      <c r="G36" s="4"/>
      <c r="H36" s="4"/>
      <c r="I36" s="4"/>
      <c r="J36" s="58"/>
      <c r="K36" s="4"/>
      <c r="L36" s="4"/>
      <c r="O36" s="43"/>
    </row>
    <row r="37" spans="2:16" ht="15.75" thickBot="1" x14ac:dyDescent="0.3">
      <c r="B37" s="101"/>
      <c r="C37" s="102" t="s">
        <v>40</v>
      </c>
      <c r="D37" s="102"/>
      <c r="E37" s="102"/>
      <c r="F37" s="103"/>
      <c r="G37" s="10" cm="1">
        <f t="array" ref="G37:I37">+_xlfn.ANCHORARRAY(G33)-_xlfn.ANCHORARRAY(G35)</f>
        <v>4395.8167493045275</v>
      </c>
      <c r="H37" s="10">
        <v>4296.932837846658</v>
      </c>
      <c r="I37" s="10">
        <v>4432.2438889653813</v>
      </c>
      <c r="J37" s="61"/>
      <c r="K37" s="10">
        <f ca="1">K33-K35</f>
        <v>698.37543400136383</v>
      </c>
      <c r="L37" s="10">
        <f t="shared" ref="L37:O37" ca="1" si="5">L33-L35</f>
        <v>942.08058946095298</v>
      </c>
      <c r="M37" s="10">
        <f t="shared" ca="1" si="5"/>
        <v>1316.4305540945677</v>
      </c>
      <c r="N37" s="10">
        <f t="shared" ca="1" si="5"/>
        <v>1759.3792540080726</v>
      </c>
      <c r="O37" s="70">
        <f t="shared" ca="1" si="5"/>
        <v>2189.155317042867</v>
      </c>
    </row>
    <row r="38" spans="2:16" ht="15.75" thickTop="1" x14ac:dyDescent="0.25">
      <c r="B38" s="101"/>
      <c r="C38" s="102"/>
      <c r="D38" s="102"/>
      <c r="E38" s="102"/>
      <c r="F38" s="103"/>
      <c r="G38" s="4"/>
      <c r="H38" s="4"/>
      <c r="I38" s="4"/>
      <c r="J38" s="58"/>
      <c r="K38" s="4"/>
      <c r="L38" s="4"/>
      <c r="O38" s="43"/>
    </row>
    <row r="39" spans="2:16" x14ac:dyDescent="0.25">
      <c r="B39" s="101"/>
      <c r="C39" s="102" t="s">
        <v>41</v>
      </c>
      <c r="D39" s="102"/>
      <c r="E39" s="102"/>
      <c r="F39" s="103"/>
      <c r="G39" s="5" cm="1">
        <f t="array" ref="G39:I39">-P.H.Dividends</f>
        <v>-1500</v>
      </c>
      <c r="H39" s="5">
        <v>-1500</v>
      </c>
      <c r="I39" s="5">
        <v>-1500</v>
      </c>
      <c r="J39" s="60"/>
      <c r="K39" s="5" cm="1">
        <f t="array" ref="K39:O39">-P.F.DIV</f>
        <v>0</v>
      </c>
      <c r="L39" s="5">
        <v>0</v>
      </c>
      <c r="M39" s="5">
        <v>0</v>
      </c>
      <c r="N39" s="5">
        <v>0</v>
      </c>
      <c r="O39" s="69">
        <v>0</v>
      </c>
    </row>
    <row r="40" spans="2:16" x14ac:dyDescent="0.25">
      <c r="B40" s="101"/>
      <c r="C40" s="102" t="s">
        <v>42</v>
      </c>
      <c r="D40" s="102"/>
      <c r="E40" s="102"/>
      <c r="F40" s="103"/>
      <c r="G40" s="4" cm="1">
        <f t="array" ref="G40:I40">+_xlfn.ANCHORARRAY(G37)+_xlfn.ANCHORARRAY(G39)</f>
        <v>2895.8167493045275</v>
      </c>
      <c r="H40" s="4">
        <v>2796.932837846658</v>
      </c>
      <c r="I40" s="4">
        <v>2932.2438889653813</v>
      </c>
      <c r="J40" s="58"/>
      <c r="K40" s="4">
        <f ca="1">+K37+K39</f>
        <v>698.37543400136383</v>
      </c>
      <c r="L40" s="4">
        <f t="shared" ref="L40:O40" ca="1" si="6">+L37+L39</f>
        <v>942.08058946095298</v>
      </c>
      <c r="M40" s="4">
        <f t="shared" ca="1" si="6"/>
        <v>1316.4305540945677</v>
      </c>
      <c r="N40" s="4">
        <f t="shared" ca="1" si="6"/>
        <v>1759.3792540080726</v>
      </c>
      <c r="O40" s="23">
        <f t="shared" ca="1" si="6"/>
        <v>2189.155317042867</v>
      </c>
    </row>
    <row r="41" spans="2:16" x14ac:dyDescent="0.25">
      <c r="B41" s="101"/>
      <c r="C41" s="102"/>
      <c r="D41" s="102"/>
      <c r="E41" s="102"/>
      <c r="F41" s="103"/>
      <c r="G41" s="4"/>
      <c r="H41" s="4"/>
      <c r="I41" s="4"/>
      <c r="J41" s="58"/>
      <c r="K41" s="4"/>
      <c r="L41" s="4"/>
      <c r="O41" s="43"/>
    </row>
    <row r="42" spans="2:16" ht="15.75" thickBot="1" x14ac:dyDescent="0.3">
      <c r="B42" s="101"/>
      <c r="C42" s="102"/>
      <c r="D42" s="102"/>
      <c r="E42" s="102"/>
      <c r="F42" s="103"/>
      <c r="G42" s="4"/>
      <c r="H42" s="4"/>
      <c r="I42" s="4"/>
      <c r="J42" s="58"/>
      <c r="K42" s="4"/>
      <c r="L42" s="4"/>
      <c r="O42" s="43"/>
    </row>
    <row r="43" spans="2:16" ht="15.75" thickBot="1" x14ac:dyDescent="0.3">
      <c r="B43" s="218" t="s">
        <v>18</v>
      </c>
      <c r="C43" s="219"/>
      <c r="D43" s="219"/>
      <c r="E43" s="219"/>
      <c r="F43" s="220"/>
      <c r="G43" s="84" cm="1">
        <f t="array" ref="G43:I43">dates.hist</f>
        <v>2022</v>
      </c>
      <c r="H43" s="85">
        <v>2023</v>
      </c>
      <c r="I43" s="85">
        <v>2024</v>
      </c>
      <c r="J43" s="88" t="s">
        <v>203</v>
      </c>
      <c r="K43" s="86" cm="1">
        <f t="array" ref="K43:O43">dates.forecast</f>
        <v>2025</v>
      </c>
      <c r="L43" s="86">
        <v>2026</v>
      </c>
      <c r="M43" s="86">
        <v>2027</v>
      </c>
      <c r="N43" s="86">
        <v>2028</v>
      </c>
      <c r="O43" s="87">
        <v>2029</v>
      </c>
    </row>
    <row r="44" spans="2:16" x14ac:dyDescent="0.25">
      <c r="B44" s="101"/>
      <c r="C44" s="102" t="s">
        <v>43</v>
      </c>
      <c r="D44" s="102"/>
      <c r="E44" s="102"/>
      <c r="F44" s="103"/>
      <c r="G44" s="4"/>
      <c r="H44" s="4"/>
      <c r="I44" s="4"/>
      <c r="J44" s="58"/>
      <c r="K44" s="4"/>
      <c r="L44" s="4"/>
      <c r="O44" s="43"/>
    </row>
    <row r="45" spans="2:16" x14ac:dyDescent="0.25">
      <c r="B45" s="101"/>
      <c r="C45" s="102"/>
      <c r="D45" s="102" t="s">
        <v>44</v>
      </c>
      <c r="E45" s="102"/>
      <c r="F45" s="103"/>
      <c r="G45" s="4"/>
      <c r="H45" s="4"/>
      <c r="I45" s="4"/>
      <c r="J45" s="58"/>
      <c r="K45" s="4"/>
      <c r="L45" s="4"/>
      <c r="O45" s="43"/>
    </row>
    <row r="46" spans="2:16" x14ac:dyDescent="0.25">
      <c r="B46" s="101"/>
      <c r="C46" s="102"/>
      <c r="D46" s="102"/>
      <c r="E46" s="102" t="s">
        <v>45</v>
      </c>
      <c r="F46" s="103"/>
      <c r="G46" s="71" cm="1">
        <f t="array" ref="G46:I46">H.Cash</f>
        <v>4500</v>
      </c>
      <c r="H46" s="71">
        <v>5168.3457311683742</v>
      </c>
      <c r="I46" s="71">
        <v>3992.7969209246939</v>
      </c>
      <c r="J46" s="72">
        <f>min.cash</f>
        <v>5000</v>
      </c>
      <c r="K46" s="4" cm="1">
        <f t="array" aca="1" ref="K46:O46" ca="1">f.cash</f>
        <v>5342.9453190103404</v>
      </c>
      <c r="L46" s="4">
        <f ca="1"/>
        <v>5605.8018596188404</v>
      </c>
      <c r="M46" s="4">
        <f ca="1"/>
        <v>6042.9636214464017</v>
      </c>
      <c r="N46" s="4">
        <f ca="1"/>
        <v>6429.1792403874424</v>
      </c>
      <c r="O46" s="23">
        <f ca="1"/>
        <v>6887.389892796562</v>
      </c>
      <c r="P46" s="44"/>
    </row>
    <row r="47" spans="2:16" x14ac:dyDescent="0.25">
      <c r="B47" s="101"/>
      <c r="C47" s="102"/>
      <c r="D47" s="102"/>
      <c r="E47" s="102" t="s">
        <v>46</v>
      </c>
      <c r="F47" s="103"/>
      <c r="G47" s="4" cm="1">
        <f t="array" ref="G47:I47">H.Revenues*(P.H.Accounts.Rec.Days/365)</f>
        <v>4185.3698630136987</v>
      </c>
      <c r="H47" s="4">
        <v>4314.7397260273974</v>
      </c>
      <c r="I47" s="4">
        <v>4430.1369863013697</v>
      </c>
      <c r="J47" s="58">
        <f>+I47</f>
        <v>4430.1369863013697</v>
      </c>
      <c r="K47" s="4" cm="1">
        <f t="array" ref="K47:O47">F.REV*(p.f.rec.days/365)</f>
        <v>4407.4386232180404</v>
      </c>
      <c r="L47" s="4">
        <v>4532.3608231246972</v>
      </c>
      <c r="M47" s="4">
        <v>4503.536476400026</v>
      </c>
      <c r="N47" s="4">
        <v>4634.6131471421286</v>
      </c>
      <c r="O47" s="23">
        <v>4600.8448504260459</v>
      </c>
      <c r="P47" s="44"/>
    </row>
    <row r="48" spans="2:16" x14ac:dyDescent="0.25">
      <c r="B48" s="101"/>
      <c r="C48" s="102"/>
      <c r="D48" s="102"/>
      <c r="E48" s="102" t="s">
        <v>47</v>
      </c>
      <c r="F48" s="103"/>
      <c r="G48" s="4" cm="1">
        <f t="array" ref="G48:I48">H.COGS*(P.H.Inventory.Days/365)</f>
        <v>1176.1120267138383</v>
      </c>
      <c r="H48" s="4">
        <v>1184.4614276249329</v>
      </c>
      <c r="I48" s="4">
        <v>1265.5767456506558</v>
      </c>
      <c r="J48" s="58">
        <f t="shared" ref="J48:J49" si="7">+I48</f>
        <v>1265.5767456506558</v>
      </c>
      <c r="K48" s="4" cm="1">
        <f t="array" ref="K48:O48">F.COGS*(p.f.invent.cogs/365)</f>
        <v>1198.2619030532574</v>
      </c>
      <c r="L48" s="4">
        <v>1231.573739063776</v>
      </c>
      <c r="M48" s="4">
        <v>1190.6215607635938</v>
      </c>
      <c r="N48" s="4">
        <v>1220.0567774597403</v>
      </c>
      <c r="O48" s="23">
        <v>1166.991881793283</v>
      </c>
      <c r="P48" s="44"/>
    </row>
    <row r="49" spans="2:18" x14ac:dyDescent="0.25">
      <c r="B49" s="101"/>
      <c r="C49" s="102"/>
      <c r="D49" s="102"/>
      <c r="E49" s="102" t="s">
        <v>22</v>
      </c>
      <c r="F49" s="103"/>
      <c r="G49" s="4" cm="1">
        <f t="array" ref="G49:I49">P.H.Prepaids*H.Revenues</f>
        <v>763.82999999999993</v>
      </c>
      <c r="H49" s="4">
        <v>787.43999999999994</v>
      </c>
      <c r="I49" s="4">
        <v>808.5</v>
      </c>
      <c r="J49" s="60">
        <f t="shared" si="7"/>
        <v>808.5</v>
      </c>
      <c r="K49" s="5" cm="1">
        <f t="array" ref="K49:O49">p.f.prepaid*F.REV</f>
        <v>832.09401593512996</v>
      </c>
      <c r="L49" s="5">
        <v>855.6784657450936</v>
      </c>
      <c r="M49" s="5">
        <v>880.60222172464785</v>
      </c>
      <c r="N49" s="5">
        <v>906.23239216439833</v>
      </c>
      <c r="O49" s="69">
        <v>932.94909466972581</v>
      </c>
      <c r="P49" s="44"/>
    </row>
    <row r="50" spans="2:18" x14ac:dyDescent="0.25">
      <c r="B50" s="101"/>
      <c r="C50" s="102"/>
      <c r="D50" s="102" t="s">
        <v>48</v>
      </c>
      <c r="E50" s="102"/>
      <c r="F50" s="103"/>
      <c r="G50" s="3">
        <f t="shared" ref="G50:I50" si="8">SUM(G46:G49)</f>
        <v>10625.311889727536</v>
      </c>
      <c r="H50" s="3">
        <f t="shared" si="8"/>
        <v>11454.986884820704</v>
      </c>
      <c r="I50" s="3">
        <f t="shared" si="8"/>
        <v>10497.010652876719</v>
      </c>
      <c r="J50" s="58">
        <f>SUM(J46:J49)</f>
        <v>11504.213731952026</v>
      </c>
      <c r="K50" s="4">
        <f ca="1">SUM(K46:K49)</f>
        <v>11780.739861216769</v>
      </c>
      <c r="L50" s="4">
        <f t="shared" ref="L50:O50" ca="1" si="9">SUM(L46:L49)</f>
        <v>12225.414887552406</v>
      </c>
      <c r="M50" s="4">
        <f t="shared" ca="1" si="9"/>
        <v>12617.723880334668</v>
      </c>
      <c r="N50" s="4">
        <f t="shared" ca="1" si="9"/>
        <v>13190.08155715371</v>
      </c>
      <c r="O50" s="23">
        <f t="shared" ca="1" si="9"/>
        <v>13588.175719685618</v>
      </c>
    </row>
    <row r="51" spans="2:18" x14ac:dyDescent="0.25">
      <c r="B51" s="101"/>
      <c r="C51" s="102"/>
      <c r="D51" s="102"/>
      <c r="E51" s="102"/>
      <c r="F51" s="103"/>
      <c r="G51" s="4"/>
      <c r="H51" s="4"/>
      <c r="I51" s="4"/>
      <c r="J51" s="58"/>
      <c r="K51" s="4"/>
      <c r="L51" s="4"/>
      <c r="O51" s="43"/>
    </row>
    <row r="52" spans="2:18" x14ac:dyDescent="0.25">
      <c r="B52" s="101"/>
      <c r="C52" s="102"/>
      <c r="D52" s="102" t="s">
        <v>49</v>
      </c>
      <c r="E52" s="102"/>
      <c r="F52" s="103"/>
      <c r="G52" s="4"/>
      <c r="H52" s="4"/>
      <c r="I52" s="4"/>
      <c r="J52" s="58"/>
      <c r="K52" s="4"/>
      <c r="L52" s="4"/>
      <c r="O52" s="43"/>
    </row>
    <row r="53" spans="2:18" x14ac:dyDescent="0.25">
      <c r="B53" s="101"/>
      <c r="C53" s="102"/>
      <c r="D53" s="102"/>
      <c r="E53" s="102" t="s">
        <v>50</v>
      </c>
      <c r="F53" s="103"/>
      <c r="G53" s="4">
        <f>Starting.PPE</f>
        <v>6000</v>
      </c>
      <c r="H53" s="4">
        <f>+G53+Parms!H32</f>
        <v>8500</v>
      </c>
      <c r="I53" s="4">
        <f>+H53+Parms!I32</f>
        <v>11000</v>
      </c>
      <c r="J53" s="58">
        <f>I53</f>
        <v>11000</v>
      </c>
      <c r="K53" s="4">
        <f>J53+Parms!J32</f>
        <v>12750</v>
      </c>
      <c r="L53" s="4">
        <f>K53+Parms!K32</f>
        <v>14500</v>
      </c>
      <c r="M53" s="4">
        <f>L53+Parms!L32</f>
        <v>16000</v>
      </c>
      <c r="N53" s="4">
        <f>M53+Parms!M32</f>
        <v>17500</v>
      </c>
      <c r="O53" s="23">
        <f>N53+Parms!N32</f>
        <v>19000</v>
      </c>
    </row>
    <row r="54" spans="2:18" ht="15.75" thickBot="1" x14ac:dyDescent="0.3">
      <c r="B54" s="101"/>
      <c r="C54" s="102"/>
      <c r="D54" s="102"/>
      <c r="E54" s="102" t="s">
        <v>51</v>
      </c>
      <c r="F54" s="103"/>
      <c r="G54" s="4">
        <f>-Starting.Acc.Dep</f>
        <v>-1500</v>
      </c>
      <c r="H54" s="4">
        <f>+G54-H24</f>
        <v>-2500</v>
      </c>
      <c r="I54" s="4">
        <f>+H54-I24</f>
        <v>-3500</v>
      </c>
      <c r="J54" s="58">
        <f>I54</f>
        <v>-3500</v>
      </c>
      <c r="K54" s="4">
        <f t="shared" ref="K54:O54" si="10">J54-K24</f>
        <v>-4500</v>
      </c>
      <c r="L54" s="4">
        <f t="shared" si="10"/>
        <v>-5500</v>
      </c>
      <c r="M54" s="4">
        <f t="shared" si="10"/>
        <v>-6500</v>
      </c>
      <c r="N54" s="4">
        <f t="shared" si="10"/>
        <v>-7500</v>
      </c>
      <c r="O54" s="23">
        <f t="shared" si="10"/>
        <v>-8500</v>
      </c>
    </row>
    <row r="55" spans="2:18" x14ac:dyDescent="0.25">
      <c r="B55" s="101"/>
      <c r="C55" s="102"/>
      <c r="D55" s="102"/>
      <c r="E55" s="107" t="s">
        <v>52</v>
      </c>
      <c r="F55" s="103"/>
      <c r="G55" s="3">
        <f t="shared" ref="G55:O55" si="11">SUM(G53:G54)</f>
        <v>4500</v>
      </c>
      <c r="H55" s="3">
        <f t="shared" si="11"/>
        <v>6000</v>
      </c>
      <c r="I55" s="3">
        <f t="shared" si="11"/>
        <v>7500</v>
      </c>
      <c r="J55" s="59">
        <f>I55</f>
        <v>7500</v>
      </c>
      <c r="K55" s="3">
        <f t="shared" ref="K55" si="12">SUM(K53:K54)</f>
        <v>8250</v>
      </c>
      <c r="L55" s="3">
        <f t="shared" si="11"/>
        <v>9000</v>
      </c>
      <c r="M55" s="3">
        <f t="shared" si="11"/>
        <v>9500</v>
      </c>
      <c r="N55" s="3">
        <f t="shared" si="11"/>
        <v>10000</v>
      </c>
      <c r="O55" s="22">
        <f t="shared" si="11"/>
        <v>10500</v>
      </c>
      <c r="P55" s="211"/>
      <c r="Q55" s="212"/>
      <c r="R55" s="213"/>
    </row>
    <row r="56" spans="2:18" x14ac:dyDescent="0.25">
      <c r="B56" s="101"/>
      <c r="C56" s="102"/>
      <c r="D56" s="102"/>
      <c r="E56" s="102" t="s">
        <v>53</v>
      </c>
      <c r="F56" s="103"/>
      <c r="G56" s="4">
        <f>starting.goodwill</f>
        <v>2000</v>
      </c>
      <c r="H56" s="4">
        <f>+G56-H25</f>
        <v>1750</v>
      </c>
      <c r="I56" s="4">
        <f>+H56-I25</f>
        <v>1500</v>
      </c>
      <c r="J56" s="58">
        <f>I56+LBO.Goodwill</f>
        <v>46033.993253510722</v>
      </c>
      <c r="K56" s="4">
        <f t="shared" ref="K56:O56" si="13">+J56-K25</f>
        <v>43557.293590835186</v>
      </c>
      <c r="L56" s="4">
        <f t="shared" si="13"/>
        <v>41080.593928159651</v>
      </c>
      <c r="M56" s="4">
        <f t="shared" si="13"/>
        <v>38603.894265484116</v>
      </c>
      <c r="N56" s="4">
        <f t="shared" si="13"/>
        <v>36127.19460280858</v>
      </c>
      <c r="O56" s="23">
        <f t="shared" si="13"/>
        <v>33650.494940133045</v>
      </c>
      <c r="P56" s="214"/>
      <c r="Q56" s="44"/>
      <c r="R56" s="65"/>
    </row>
    <row r="57" spans="2:18" ht="15.75" thickBot="1" x14ac:dyDescent="0.3">
      <c r="B57" s="101"/>
      <c r="C57" s="102"/>
      <c r="D57" s="102"/>
      <c r="E57" s="102" t="s">
        <v>54</v>
      </c>
      <c r="F57" s="103"/>
      <c r="G57" s="4">
        <v>1000</v>
      </c>
      <c r="H57" s="4">
        <f>+G57</f>
        <v>1000</v>
      </c>
      <c r="I57" s="4">
        <f>+H57</f>
        <v>1000</v>
      </c>
      <c r="J57" s="58">
        <f>I57</f>
        <v>1000</v>
      </c>
      <c r="K57" s="4">
        <f t="shared" ref="K57:O57" si="14">+J57</f>
        <v>1000</v>
      </c>
      <c r="L57" s="4">
        <f t="shared" si="14"/>
        <v>1000</v>
      </c>
      <c r="M57" s="4">
        <f t="shared" si="14"/>
        <v>1000</v>
      </c>
      <c r="N57" s="4">
        <f t="shared" si="14"/>
        <v>1000</v>
      </c>
      <c r="O57" s="23">
        <f t="shared" si="14"/>
        <v>1000</v>
      </c>
      <c r="P57" s="215"/>
      <c r="Q57" s="216"/>
      <c r="R57" s="217"/>
    </row>
    <row r="58" spans="2:18" x14ac:dyDescent="0.25">
      <c r="B58" s="101"/>
      <c r="C58" s="102"/>
      <c r="D58" s="102" t="s">
        <v>55</v>
      </c>
      <c r="E58" s="102"/>
      <c r="F58" s="103"/>
      <c r="G58" s="3">
        <f>SUM(G55:G57)</f>
        <v>7500</v>
      </c>
      <c r="H58" s="3">
        <f t="shared" ref="H58:O58" si="15">SUM(H55:H57)</f>
        <v>8750</v>
      </c>
      <c r="I58" s="3">
        <f t="shared" si="15"/>
        <v>10000</v>
      </c>
      <c r="J58" s="59">
        <f>SUM(J55:J57)</f>
        <v>54533.993253510722</v>
      </c>
      <c r="K58" s="3">
        <f t="shared" ref="K58" si="16">SUM(K55:K57)</f>
        <v>52807.293590835186</v>
      </c>
      <c r="L58" s="3">
        <f t="shared" si="15"/>
        <v>51080.593928159651</v>
      </c>
      <c r="M58" s="3">
        <f t="shared" si="15"/>
        <v>49103.894265484116</v>
      </c>
      <c r="N58" s="3">
        <f t="shared" si="15"/>
        <v>47127.19460280858</v>
      </c>
      <c r="O58" s="22">
        <f t="shared" si="15"/>
        <v>45150.494940133045</v>
      </c>
    </row>
    <row r="59" spans="2:18" x14ac:dyDescent="0.25">
      <c r="B59" s="101"/>
      <c r="C59" s="102"/>
      <c r="D59" s="102"/>
      <c r="E59" s="102"/>
      <c r="F59" s="103"/>
      <c r="G59" s="4"/>
      <c r="H59" s="4"/>
      <c r="I59" s="4"/>
      <c r="J59" s="58"/>
      <c r="K59" s="5"/>
      <c r="L59" s="5"/>
      <c r="M59" s="9"/>
      <c r="N59" s="9"/>
      <c r="O59" s="73"/>
    </row>
    <row r="60" spans="2:18" ht="15.75" thickBot="1" x14ac:dyDescent="0.3">
      <c r="B60" s="101"/>
      <c r="C60" s="102" t="s">
        <v>56</v>
      </c>
      <c r="D60" s="102"/>
      <c r="E60" s="107"/>
      <c r="F60" s="103"/>
      <c r="G60" s="6" cm="1">
        <f t="array" ref="G60:I60">+G50:I50+G58:I58</f>
        <v>18125.311889727534</v>
      </c>
      <c r="H60" s="6">
        <v>20204.986884820704</v>
      </c>
      <c r="I60" s="6">
        <v>20497.010652876721</v>
      </c>
      <c r="J60" s="62">
        <f>J58+J50</f>
        <v>66038.206985462748</v>
      </c>
      <c r="K60" s="6">
        <f ca="1">K58+K50</f>
        <v>64588.033452051954</v>
      </c>
      <c r="L60" s="6">
        <f t="shared" ref="L60:O60" ca="1" si="17">L58+L50</f>
        <v>63306.008815712055</v>
      </c>
      <c r="M60" s="6">
        <f t="shared" ca="1" si="17"/>
        <v>61721.618145818786</v>
      </c>
      <c r="N60" s="6">
        <f t="shared" ca="1" si="17"/>
        <v>60317.27615996229</v>
      </c>
      <c r="O60" s="74">
        <f t="shared" ca="1" si="17"/>
        <v>58738.670659818665</v>
      </c>
    </row>
    <row r="61" spans="2:18" ht="15.75" thickTop="1" x14ac:dyDescent="0.25">
      <c r="B61" s="101"/>
      <c r="C61" s="102"/>
      <c r="D61" s="102"/>
      <c r="E61" s="102"/>
      <c r="F61" s="103"/>
      <c r="G61" s="4"/>
      <c r="H61" s="4"/>
      <c r="I61" s="4"/>
      <c r="J61" s="58"/>
      <c r="K61" s="4"/>
      <c r="L61" s="4"/>
      <c r="O61" s="43"/>
    </row>
    <row r="62" spans="2:18" x14ac:dyDescent="0.25">
      <c r="B62" s="101"/>
      <c r="C62" s="102" t="s">
        <v>57</v>
      </c>
      <c r="D62" s="102"/>
      <c r="E62" s="102"/>
      <c r="F62" s="103"/>
      <c r="G62" s="4"/>
      <c r="H62" s="4"/>
      <c r="I62" s="4"/>
      <c r="J62" s="58"/>
      <c r="K62" s="4"/>
      <c r="L62" s="4"/>
      <c r="O62" s="43"/>
    </row>
    <row r="63" spans="2:18" x14ac:dyDescent="0.25">
      <c r="B63" s="101"/>
      <c r="C63" s="102"/>
      <c r="D63" s="102" t="s">
        <v>58</v>
      </c>
      <c r="E63" s="102"/>
      <c r="F63" s="103"/>
      <c r="G63" s="4"/>
      <c r="H63" s="4"/>
      <c r="I63" s="4"/>
      <c r="J63" s="58"/>
      <c r="K63" s="4"/>
      <c r="L63" s="4"/>
      <c r="O63" s="43"/>
    </row>
    <row r="64" spans="2:18" x14ac:dyDescent="0.25">
      <c r="B64" s="101"/>
      <c r="C64" s="102"/>
      <c r="D64" s="102"/>
      <c r="E64" s="102" t="s">
        <v>59</v>
      </c>
      <c r="F64" s="103"/>
      <c r="G64" s="4"/>
      <c r="H64" s="4"/>
      <c r="I64" s="4"/>
      <c r="J64" s="58"/>
      <c r="K64" s="4"/>
      <c r="L64" s="4"/>
      <c r="O64" s="43"/>
    </row>
    <row r="65" spans="2:15" x14ac:dyDescent="0.25">
      <c r="B65" s="101"/>
      <c r="C65" s="102"/>
      <c r="D65" s="102"/>
      <c r="E65" s="107" t="s">
        <v>60</v>
      </c>
      <c r="F65" s="103"/>
      <c r="G65" s="4" cm="1">
        <f t="array" ref="G65:I65">H.COGS*(P.H.Accounts.Pay.Days/365)</f>
        <v>1286.3725292182605</v>
      </c>
      <c r="H65" s="4">
        <v>1295.5046864647702</v>
      </c>
      <c r="I65" s="4">
        <v>1384.2245655554048</v>
      </c>
      <c r="J65" s="58">
        <f>I65</f>
        <v>1384.2245655554048</v>
      </c>
      <c r="K65" s="4" cm="1">
        <f t="array" ref="K65:O65">F.COGS*(p.f.payable.days/365)</f>
        <v>1397.9722202288001</v>
      </c>
      <c r="L65" s="4">
        <v>1518.9409448453237</v>
      </c>
      <c r="M65" s="75">
        <v>1573.3213481518917</v>
      </c>
      <c r="N65" s="75">
        <v>1699.364797176067</v>
      </c>
      <c r="O65" s="76">
        <v>1750.4878226899248</v>
      </c>
    </row>
    <row r="66" spans="2:15" x14ac:dyDescent="0.25">
      <c r="B66" s="101"/>
      <c r="C66" s="102"/>
      <c r="D66" s="102"/>
      <c r="E66" s="107" t="s">
        <v>24</v>
      </c>
      <c r="F66" s="103"/>
      <c r="G66" s="4" cm="1">
        <f t="array" ref="G66:I66">H.Revenues*P.H.Accrued.Liabs</f>
        <v>763.82999999999993</v>
      </c>
      <c r="H66" s="4">
        <v>787.43999999999994</v>
      </c>
      <c r="I66" s="4">
        <v>808.5</v>
      </c>
      <c r="J66" s="58">
        <f>I66</f>
        <v>808.5</v>
      </c>
      <c r="K66" s="4" cm="1">
        <f t="array" ref="K66:O66">F.REV*p.f.acru.lia</f>
        <v>832.09401593512996</v>
      </c>
      <c r="L66" s="4">
        <v>855.6784657450936</v>
      </c>
      <c r="M66" s="75">
        <v>880.60222172464785</v>
      </c>
      <c r="N66" s="75">
        <v>906.23239216439833</v>
      </c>
      <c r="O66" s="76">
        <v>932.94909466972581</v>
      </c>
    </row>
    <row r="67" spans="2:15" x14ac:dyDescent="0.25">
      <c r="B67" s="101"/>
      <c r="C67" s="102"/>
      <c r="D67" s="102"/>
      <c r="E67" s="107" t="s">
        <v>61</v>
      </c>
      <c r="F67" s="103"/>
      <c r="G67" s="4" cm="1">
        <f t="array" ref="G67:I67">D.H.STDebt</f>
        <v>250</v>
      </c>
      <c r="H67" s="4">
        <v>2250</v>
      </c>
      <c r="I67" s="4">
        <v>900</v>
      </c>
      <c r="J67" s="60">
        <f ca="1">LBO.stdebt</f>
        <v>2185.8906380206827</v>
      </c>
      <c r="K67" s="12" cm="1">
        <f t="array" aca="1" ref="K67:O67" ca="1">d.f.short.debt\</f>
        <v>2368.6584002273376</v>
      </c>
      <c r="L67" s="12">
        <f ca="1"/>
        <v>2980.125383273964</v>
      </c>
      <c r="M67" s="9">
        <f ca="1"/>
        <v>3315.3948593284913</v>
      </c>
      <c r="N67" s="9">
        <f ca="1"/>
        <v>3845.6005452056852</v>
      </c>
      <c r="O67" s="73">
        <f ca="1"/>
        <v>1500</v>
      </c>
    </row>
    <row r="68" spans="2:15" x14ac:dyDescent="0.25">
      <c r="B68" s="101"/>
      <c r="C68" s="102"/>
      <c r="D68" s="102"/>
      <c r="E68" s="108" t="s">
        <v>62</v>
      </c>
      <c r="F68" s="103"/>
      <c r="G68" s="3">
        <f t="shared" ref="G68:I68" si="18">SUM(G65:G67)</f>
        <v>2300.2025292182607</v>
      </c>
      <c r="H68" s="3">
        <f t="shared" si="18"/>
        <v>4332.9446864647707</v>
      </c>
      <c r="I68" s="3">
        <f t="shared" si="18"/>
        <v>3092.7245655554048</v>
      </c>
      <c r="J68" s="58">
        <f ca="1">SUM(J65:J67)</f>
        <v>4378.6152035760879</v>
      </c>
      <c r="K68" s="4">
        <f ca="1">SUM(K65:K67)</f>
        <v>4598.7246363912673</v>
      </c>
      <c r="L68" s="4">
        <f t="shared" ref="L68:O68" ca="1" si="19">SUM(L65:L67)</f>
        <v>5354.7447938643818</v>
      </c>
      <c r="M68" s="4">
        <f t="shared" ca="1" si="19"/>
        <v>5769.318429205031</v>
      </c>
      <c r="N68" s="4">
        <f t="shared" ca="1" si="19"/>
        <v>6451.197734546151</v>
      </c>
      <c r="O68" s="23">
        <f t="shared" ca="1" si="19"/>
        <v>4183.4369173596506</v>
      </c>
    </row>
    <row r="69" spans="2:15" x14ac:dyDescent="0.25">
      <c r="B69" s="101"/>
      <c r="C69" s="102"/>
      <c r="D69" s="102"/>
      <c r="E69" s="102"/>
      <c r="F69" s="103"/>
      <c r="G69" s="4"/>
      <c r="H69" s="4"/>
      <c r="I69" s="4"/>
      <c r="J69" s="58"/>
      <c r="K69" s="4"/>
      <c r="L69" s="4"/>
      <c r="O69" s="43"/>
    </row>
    <row r="70" spans="2:15" x14ac:dyDescent="0.25">
      <c r="B70" s="101"/>
      <c r="C70" s="102"/>
      <c r="D70" s="102"/>
      <c r="E70" s="108" t="s">
        <v>63</v>
      </c>
      <c r="F70" s="103"/>
      <c r="G70" s="4"/>
      <c r="H70" s="4"/>
      <c r="I70" s="4"/>
      <c r="J70" s="58"/>
      <c r="K70" s="4"/>
      <c r="L70" s="4"/>
      <c r="O70" s="43"/>
    </row>
    <row r="71" spans="2:15" x14ac:dyDescent="0.25">
      <c r="B71" s="101"/>
      <c r="C71" s="102"/>
      <c r="D71" s="102"/>
      <c r="E71" s="107" t="s">
        <v>64</v>
      </c>
      <c r="F71" s="103"/>
      <c r="G71" s="4" cm="1">
        <f t="array" ref="G71:I71">D.H.LTDebt</f>
        <v>7750</v>
      </c>
      <c r="H71" s="4">
        <v>5500</v>
      </c>
      <c r="I71" s="4">
        <v>4600</v>
      </c>
      <c r="J71" s="58">
        <f ca="1">lbo.ltdebt</f>
        <v>33814.109361979317</v>
      </c>
      <c r="K71" s="4" cm="1">
        <f t="array" aca="1" ref="K71:O71" ca="1">d.f.long.debt</f>
        <v>31445.45096175198</v>
      </c>
      <c r="L71" s="4">
        <f ca="1"/>
        <v>28465.325578478016</v>
      </c>
      <c r="M71">
        <f ca="1"/>
        <v>25149.930719149525</v>
      </c>
      <c r="N71">
        <f ca="1"/>
        <v>21304.330173943839</v>
      </c>
      <c r="O71" s="43">
        <f ca="1"/>
        <v>19804.330173943839</v>
      </c>
    </row>
    <row r="72" spans="2:15" x14ac:dyDescent="0.25">
      <c r="B72" s="101"/>
      <c r="C72" s="102"/>
      <c r="D72" s="102"/>
      <c r="E72" s="107" t="s">
        <v>65</v>
      </c>
      <c r="F72" s="103"/>
      <c r="G72" s="4">
        <v>1000</v>
      </c>
      <c r="H72" s="4">
        <f>+G72</f>
        <v>1000</v>
      </c>
      <c r="I72" s="4">
        <f>+H72</f>
        <v>1000</v>
      </c>
      <c r="J72" s="58">
        <f>I72</f>
        <v>1000</v>
      </c>
      <c r="K72" s="5">
        <f>+I72</f>
        <v>1000</v>
      </c>
      <c r="L72" s="5">
        <f t="shared" ref="L72:O72" si="20">+K72</f>
        <v>1000</v>
      </c>
      <c r="M72" s="5">
        <f t="shared" si="20"/>
        <v>1000</v>
      </c>
      <c r="N72" s="5">
        <f t="shared" si="20"/>
        <v>1000</v>
      </c>
      <c r="O72" s="69">
        <f t="shared" si="20"/>
        <v>1000</v>
      </c>
    </row>
    <row r="73" spans="2:15" x14ac:dyDescent="0.25">
      <c r="B73" s="101"/>
      <c r="C73" s="102"/>
      <c r="D73" s="102"/>
      <c r="E73" s="102" t="s">
        <v>66</v>
      </c>
      <c r="F73" s="103"/>
      <c r="G73" s="3">
        <f t="shared" ref="G73:I73" si="21">SUM(G71:G72)</f>
        <v>8750</v>
      </c>
      <c r="H73" s="3">
        <f t="shared" si="21"/>
        <v>6500</v>
      </c>
      <c r="I73" s="3">
        <f t="shared" si="21"/>
        <v>5600</v>
      </c>
      <c r="J73" s="59">
        <f ca="1">SUM(J71:J72)</f>
        <v>34814.109361979317</v>
      </c>
      <c r="K73" s="4">
        <f ca="1">SUM(K71:K72)</f>
        <v>32445.45096175198</v>
      </c>
      <c r="L73" s="4">
        <f t="shared" ref="L73:O73" ca="1" si="22">SUM(L71:L72)</f>
        <v>29465.325578478016</v>
      </c>
      <c r="M73" s="4">
        <f t="shared" ca="1" si="22"/>
        <v>26149.930719149525</v>
      </c>
      <c r="N73" s="4">
        <f t="shared" ca="1" si="22"/>
        <v>22304.330173943839</v>
      </c>
      <c r="O73" s="23">
        <f t="shared" ca="1" si="22"/>
        <v>20804.330173943839</v>
      </c>
    </row>
    <row r="74" spans="2:15" x14ac:dyDescent="0.25">
      <c r="B74" s="101"/>
      <c r="C74" s="102"/>
      <c r="D74" s="102"/>
      <c r="E74" s="102"/>
      <c r="F74" s="103"/>
      <c r="G74" s="4"/>
      <c r="H74" s="4"/>
      <c r="I74" s="4"/>
      <c r="J74" s="58"/>
      <c r="K74" s="5"/>
      <c r="L74" s="5"/>
      <c r="M74" s="9"/>
      <c r="N74" s="9"/>
      <c r="O74" s="73"/>
    </row>
    <row r="75" spans="2:15" x14ac:dyDescent="0.25">
      <c r="B75" s="101"/>
      <c r="C75" s="102"/>
      <c r="D75" s="102" t="s">
        <v>67</v>
      </c>
      <c r="E75" s="102"/>
      <c r="F75" s="103"/>
      <c r="G75" s="7" cm="1">
        <f t="array" ref="G75:I75">+G68:I68+G73:I73</f>
        <v>11050.202529218261</v>
      </c>
      <c r="H75" s="7">
        <v>10832.944686464771</v>
      </c>
      <c r="I75" s="7">
        <v>8692.7245655554052</v>
      </c>
      <c r="J75" s="59">
        <f ca="1">J73+J68</f>
        <v>39192.724565555407</v>
      </c>
      <c r="K75" s="4">
        <f ca="1">SUM(K73+K68)</f>
        <v>37044.175598143251</v>
      </c>
      <c r="L75" s="4">
        <f t="shared" ref="L75:O75" ca="1" si="23">SUM(L73+L68)</f>
        <v>34820.070372342394</v>
      </c>
      <c r="M75" s="4">
        <f t="shared" ca="1" si="23"/>
        <v>31919.249148354556</v>
      </c>
      <c r="N75" s="4">
        <f t="shared" ca="1" si="23"/>
        <v>28755.527908489988</v>
      </c>
      <c r="O75" s="23">
        <f t="shared" ca="1" si="23"/>
        <v>24987.767091303489</v>
      </c>
    </row>
    <row r="76" spans="2:15" x14ac:dyDescent="0.25">
      <c r="B76" s="101"/>
      <c r="C76" s="102"/>
      <c r="D76" s="102"/>
      <c r="E76" s="102"/>
      <c r="F76" s="103"/>
      <c r="G76" s="19"/>
      <c r="H76" s="19"/>
      <c r="I76" s="19"/>
      <c r="J76" s="58"/>
      <c r="K76" s="4"/>
      <c r="L76" s="4"/>
      <c r="O76" s="43"/>
    </row>
    <row r="77" spans="2:15" x14ac:dyDescent="0.25">
      <c r="B77" s="101"/>
      <c r="C77" s="102"/>
      <c r="D77" s="102" t="s">
        <v>68</v>
      </c>
      <c r="E77" s="102"/>
      <c r="F77" s="103"/>
      <c r="G77" s="19"/>
      <c r="H77" s="19"/>
      <c r="I77" s="19"/>
      <c r="J77" s="58"/>
      <c r="K77" s="4"/>
      <c r="L77" s="4"/>
      <c r="O77" s="43"/>
    </row>
    <row r="78" spans="2:15" x14ac:dyDescent="0.25">
      <c r="B78" s="101"/>
      <c r="C78" s="102"/>
      <c r="D78" s="102"/>
      <c r="E78" s="102" t="s">
        <v>69</v>
      </c>
      <c r="F78" s="103"/>
      <c r="G78" s="19">
        <v>1500</v>
      </c>
      <c r="H78" s="19">
        <f>+G78</f>
        <v>1500</v>
      </c>
      <c r="I78" s="19">
        <f>+H78</f>
        <v>1500</v>
      </c>
      <c r="J78" s="58">
        <v>0</v>
      </c>
      <c r="K78" s="4">
        <f>+J78</f>
        <v>0</v>
      </c>
      <c r="L78" s="4">
        <f t="shared" ref="L78:O78" si="24">+K78</f>
        <v>0</v>
      </c>
      <c r="M78" s="4">
        <f t="shared" si="24"/>
        <v>0</v>
      </c>
      <c r="N78" s="4">
        <f t="shared" si="24"/>
        <v>0</v>
      </c>
      <c r="O78" s="23">
        <f t="shared" si="24"/>
        <v>0</v>
      </c>
    </row>
    <row r="79" spans="2:15" x14ac:dyDescent="0.25">
      <c r="B79" s="101"/>
      <c r="C79" s="102"/>
      <c r="D79" s="102"/>
      <c r="E79" s="102" t="s">
        <v>70</v>
      </c>
      <c r="F79" s="103"/>
      <c r="G79" s="19">
        <v>3500</v>
      </c>
      <c r="H79" s="19">
        <f>+G79</f>
        <v>3500</v>
      </c>
      <c r="I79" s="19">
        <f>+H79</f>
        <v>3500</v>
      </c>
      <c r="J79" s="58">
        <f>LBO.equity</f>
        <v>31605.48241990259</v>
      </c>
      <c r="K79" s="4">
        <f>J79</f>
        <v>31605.48241990259</v>
      </c>
      <c r="L79" s="4">
        <f t="shared" ref="L79:O79" si="25">+K79</f>
        <v>31605.48241990259</v>
      </c>
      <c r="M79" s="4">
        <f t="shared" si="25"/>
        <v>31605.48241990259</v>
      </c>
      <c r="N79" s="4">
        <f t="shared" si="25"/>
        <v>31605.48241990259</v>
      </c>
      <c r="O79" s="23">
        <f t="shared" si="25"/>
        <v>31605.48241990259</v>
      </c>
    </row>
    <row r="80" spans="2:15" x14ac:dyDescent="0.25">
      <c r="B80" s="101"/>
      <c r="C80" s="102"/>
      <c r="D80" s="102"/>
      <c r="E80" s="102" t="s">
        <v>71</v>
      </c>
      <c r="F80" s="103"/>
      <c r="G80" s="19">
        <f>-Parms!G24</f>
        <v>-500</v>
      </c>
      <c r="H80" s="19">
        <f>+G80-Parms!H24</f>
        <v>-1000</v>
      </c>
      <c r="I80" s="19">
        <f>+H80-Parms!I24</f>
        <v>-1500</v>
      </c>
      <c r="J80" s="58">
        <v>0</v>
      </c>
      <c r="K80" s="19">
        <f>J80</f>
        <v>0</v>
      </c>
      <c r="L80" s="19">
        <f>+K80-Parms!K24</f>
        <v>0</v>
      </c>
      <c r="M80" s="19">
        <f>+L80-Parms!L24</f>
        <v>0</v>
      </c>
      <c r="N80" s="19">
        <f>+M80-Parms!M24</f>
        <v>0</v>
      </c>
      <c r="O80" s="77">
        <f>+N80-Parms!N24</f>
        <v>0</v>
      </c>
    </row>
    <row r="81" spans="2:22" x14ac:dyDescent="0.25">
      <c r="B81" s="101"/>
      <c r="C81" s="102"/>
      <c r="D81" s="102"/>
      <c r="E81" s="102" t="s">
        <v>72</v>
      </c>
      <c r="F81" s="103"/>
      <c r="G81" s="19">
        <f>+G40+197.436-518.143-0.0003888</f>
        <v>2575.1093605045276</v>
      </c>
      <c r="H81" s="19">
        <f>+G81+H40</f>
        <v>5372.042198351186</v>
      </c>
      <c r="I81" s="19">
        <f>+H81+I40</f>
        <v>8304.2860873165664</v>
      </c>
      <c r="J81" s="58">
        <f>-goldman.fee-PNC.fee</f>
        <v>-4760</v>
      </c>
      <c r="K81" s="19">
        <f ca="1">J81+K40</f>
        <v>-4061.6245659986362</v>
      </c>
      <c r="L81" s="19">
        <f t="shared" ref="L81:O81" ca="1" si="26">K81+L40</f>
        <v>-3119.5439765376832</v>
      </c>
      <c r="M81" s="19">
        <f t="shared" ca="1" si="26"/>
        <v>-1803.1134224431155</v>
      </c>
      <c r="N81" s="19">
        <f t="shared" ca="1" si="26"/>
        <v>-43.734168435042875</v>
      </c>
      <c r="O81" s="77">
        <f t="shared" ca="1" si="26"/>
        <v>2145.4211486078239</v>
      </c>
    </row>
    <row r="82" spans="2:22" x14ac:dyDescent="0.25">
      <c r="B82" s="101"/>
      <c r="C82" s="102"/>
      <c r="D82" s="102" t="s">
        <v>73</v>
      </c>
      <c r="E82" s="102"/>
      <c r="F82" s="103"/>
      <c r="G82" s="7">
        <f t="shared" ref="G82:O82" si="27">SUM(G78:G81)</f>
        <v>7075.109360504528</v>
      </c>
      <c r="H82" s="7">
        <f t="shared" si="27"/>
        <v>9372.042198351186</v>
      </c>
      <c r="I82" s="7">
        <f t="shared" si="27"/>
        <v>11804.286087316566</v>
      </c>
      <c r="J82" s="59">
        <f>SUM(J78:J81)</f>
        <v>26845.48241990259</v>
      </c>
      <c r="K82" s="7">
        <f t="shared" ca="1" si="27"/>
        <v>27543.857853903952</v>
      </c>
      <c r="L82" s="7">
        <f t="shared" ca="1" si="27"/>
        <v>28485.938443364907</v>
      </c>
      <c r="M82" s="7">
        <f t="shared" ca="1" si="27"/>
        <v>29802.368997459474</v>
      </c>
      <c r="N82" s="7">
        <f t="shared" ca="1" si="27"/>
        <v>31561.748251467547</v>
      </c>
      <c r="O82" s="78">
        <f t="shared" ca="1" si="27"/>
        <v>33750.903568510417</v>
      </c>
    </row>
    <row r="83" spans="2:22" x14ac:dyDescent="0.25">
      <c r="B83" s="101"/>
      <c r="C83" s="102"/>
      <c r="D83" s="102"/>
      <c r="E83" s="102"/>
      <c r="F83" s="103"/>
      <c r="G83" s="4"/>
      <c r="H83" s="4"/>
      <c r="I83" s="4"/>
      <c r="J83" s="58"/>
      <c r="K83" s="5"/>
      <c r="L83" s="5"/>
      <c r="M83" s="9"/>
      <c r="N83" s="9"/>
      <c r="O83" s="73"/>
    </row>
    <row r="84" spans="2:22" ht="15.75" thickBot="1" x14ac:dyDescent="0.3">
      <c r="B84" s="101"/>
      <c r="C84" s="102"/>
      <c r="D84" s="102" t="s">
        <v>74</v>
      </c>
      <c r="E84" s="102"/>
      <c r="F84" s="103"/>
      <c r="G84" s="11" cm="1">
        <f t="array" ref="G84:I84">+_xlfn.ANCHORARRAY(G75)+G82:I82</f>
        <v>18125.311889722791</v>
      </c>
      <c r="H84" s="11">
        <v>20204.986884815957</v>
      </c>
      <c r="I84" s="11">
        <v>20497.01065287197</v>
      </c>
      <c r="J84" s="63">
        <f ca="1">J75+J82</f>
        <v>66038.206985458004</v>
      </c>
      <c r="K84" s="11">
        <f ca="1">K82+K75</f>
        <v>64588.033452047202</v>
      </c>
      <c r="L84" s="11">
        <f t="shared" ref="L84:O84" ca="1" si="28">L82+L75</f>
        <v>63306.008815707304</v>
      </c>
      <c r="M84" s="11">
        <f t="shared" ca="1" si="28"/>
        <v>61721.618145814035</v>
      </c>
      <c r="N84" s="11">
        <f t="shared" ca="1" si="28"/>
        <v>60317.276159957531</v>
      </c>
      <c r="O84" s="79">
        <f t="shared" ca="1" si="28"/>
        <v>58738.670659813906</v>
      </c>
    </row>
    <row r="85" spans="2:22" x14ac:dyDescent="0.25">
      <c r="B85" s="101"/>
      <c r="C85" s="102"/>
      <c r="D85" s="102"/>
      <c r="E85" s="102"/>
      <c r="F85" s="103"/>
      <c r="G85" s="4"/>
      <c r="H85" s="4"/>
      <c r="I85" s="4"/>
      <c r="J85" s="58"/>
      <c r="K85" s="4"/>
      <c r="L85" s="4"/>
      <c r="O85" s="43"/>
    </row>
    <row r="86" spans="2:22" x14ac:dyDescent="0.25">
      <c r="B86" s="101"/>
      <c r="C86" s="102"/>
      <c r="D86" s="102"/>
      <c r="E86" s="102" t="s">
        <v>75</v>
      </c>
      <c r="F86" s="103"/>
      <c r="G86" s="4" cm="1">
        <f t="array" ref="G86:I86">H.Total.Assets-H.Capital</f>
        <v>4.7439243644475937E-9</v>
      </c>
      <c r="H86" s="4">
        <v>4.7475623432546854E-9</v>
      </c>
      <c r="I86" s="4">
        <v>4.7512003220617771E-9</v>
      </c>
      <c r="J86" s="58">
        <f ca="1">J60-J84</f>
        <v>4.7439243644475937E-9</v>
      </c>
      <c r="K86" s="4">
        <f ca="1">+K60-K84</f>
        <v>4.7512003220617771E-9</v>
      </c>
      <c r="L86" s="4">
        <f t="shared" ref="L86:O86" ca="1" si="29">+L60-L84</f>
        <v>4.7512003220617771E-9</v>
      </c>
      <c r="M86" s="4">
        <f t="shared" ca="1" si="29"/>
        <v>4.7512003220617771E-9</v>
      </c>
      <c r="N86" s="4">
        <f t="shared" ca="1" si="29"/>
        <v>4.7584762796759605E-9</v>
      </c>
      <c r="O86" s="23">
        <f t="shared" ca="1" si="29"/>
        <v>4.7584762796759605E-9</v>
      </c>
    </row>
    <row r="87" spans="2:22" x14ac:dyDescent="0.25">
      <c r="B87" s="101"/>
      <c r="C87" s="102"/>
      <c r="D87" s="102"/>
      <c r="E87" s="102"/>
      <c r="F87" s="103"/>
      <c r="G87" s="4"/>
      <c r="H87" s="4"/>
      <c r="I87" s="4"/>
      <c r="J87" s="58"/>
      <c r="K87" s="4"/>
      <c r="L87" s="4"/>
      <c r="O87" s="43"/>
    </row>
    <row r="88" spans="2:22" ht="15.75" thickBot="1" x14ac:dyDescent="0.3">
      <c r="B88" s="101"/>
      <c r="C88" s="102"/>
      <c r="D88" s="102"/>
      <c r="E88" s="102"/>
      <c r="F88" s="103"/>
      <c r="G88" s="4"/>
      <c r="H88" s="4"/>
      <c r="I88" s="4"/>
      <c r="J88" s="58"/>
      <c r="K88" s="4"/>
      <c r="L88" s="4"/>
      <c r="M88" s="4"/>
      <c r="N88" s="4"/>
      <c r="O88" s="23"/>
      <c r="P88" s="1"/>
      <c r="Q88" s="1"/>
      <c r="R88" s="1"/>
      <c r="S88" s="1"/>
      <c r="T88" s="1"/>
      <c r="U88" s="1"/>
      <c r="V88" s="1"/>
    </row>
    <row r="89" spans="2:22" ht="15.75" thickBot="1" x14ac:dyDescent="0.3">
      <c r="B89" s="218" t="s">
        <v>76</v>
      </c>
      <c r="C89" s="219"/>
      <c r="D89" s="219"/>
      <c r="E89" s="219"/>
      <c r="F89" s="220"/>
      <c r="G89" s="84" cm="1">
        <f t="array" ref="G89:I89">dates.hist</f>
        <v>2022</v>
      </c>
      <c r="H89" s="85">
        <v>2023</v>
      </c>
      <c r="I89" s="85">
        <v>2024</v>
      </c>
      <c r="J89" s="88" t="s">
        <v>203</v>
      </c>
      <c r="K89" s="86" cm="1">
        <f t="array" ref="K89:O89">dates.forecast</f>
        <v>2025</v>
      </c>
      <c r="L89" s="86">
        <v>2026</v>
      </c>
      <c r="M89" s="86">
        <v>2027</v>
      </c>
      <c r="N89" s="86">
        <v>2028</v>
      </c>
      <c r="O89" s="87">
        <v>2029</v>
      </c>
    </row>
    <row r="90" spans="2:22" x14ac:dyDescent="0.25">
      <c r="B90" s="101"/>
      <c r="C90" s="102"/>
      <c r="D90" s="102" t="s">
        <v>77</v>
      </c>
      <c r="E90" s="102"/>
      <c r="F90" s="103"/>
      <c r="G90" s="4"/>
      <c r="H90" s="4"/>
      <c r="I90" s="4"/>
      <c r="J90" s="58"/>
      <c r="K90" s="4"/>
      <c r="L90" s="4"/>
      <c r="O90" s="43"/>
    </row>
    <row r="91" spans="2:22" x14ac:dyDescent="0.25">
      <c r="B91" s="101"/>
      <c r="C91" s="102"/>
      <c r="D91" s="102"/>
      <c r="E91" s="102" t="s">
        <v>40</v>
      </c>
      <c r="F91" s="103"/>
      <c r="G91" s="4" cm="1">
        <f t="array" ref="G91:I91">H.Net.Income</f>
        <v>4395.8167493045275</v>
      </c>
      <c r="H91" s="4">
        <v>4296.932837846658</v>
      </c>
      <c r="I91" s="4">
        <v>4432.2438889653813</v>
      </c>
      <c r="J91" s="58"/>
      <c r="K91" s="4" cm="1">
        <f t="array" aca="1" ref="K91:O91" ca="1">f.net.income</f>
        <v>698.37543400136383</v>
      </c>
      <c r="L91" s="4">
        <f ca="1"/>
        <v>942.08058946095298</v>
      </c>
      <c r="M91" s="44">
        <f ca="1"/>
        <v>1316.4305540945677</v>
      </c>
      <c r="N91" s="44">
        <f ca="1"/>
        <v>1759.3792540080726</v>
      </c>
      <c r="O91" s="65">
        <f ca="1"/>
        <v>2189.155317042867</v>
      </c>
    </row>
    <row r="92" spans="2:22" x14ac:dyDescent="0.25">
      <c r="B92" s="101"/>
      <c r="C92" s="102"/>
      <c r="D92" s="102"/>
      <c r="E92" s="102" t="s">
        <v>78</v>
      </c>
      <c r="F92" s="103"/>
      <c r="G92" s="4"/>
      <c r="H92" s="4"/>
      <c r="I92" s="4"/>
      <c r="J92" s="58"/>
      <c r="K92" s="4"/>
      <c r="L92" s="4"/>
      <c r="O92" s="43"/>
    </row>
    <row r="93" spans="2:22" x14ac:dyDescent="0.25">
      <c r="B93" s="101"/>
      <c r="C93" s="102"/>
      <c r="D93" s="102"/>
      <c r="E93" s="102"/>
      <c r="F93" s="103" t="s">
        <v>13</v>
      </c>
      <c r="G93" s="4" cm="1">
        <f t="array" ref="G93:I93">P.H.Depreciation.Expense</f>
        <v>1000</v>
      </c>
      <c r="H93" s="4">
        <v>1000</v>
      </c>
      <c r="I93" s="4">
        <v>1000</v>
      </c>
      <c r="J93" s="58"/>
      <c r="K93" s="4" cm="1">
        <f t="array" ref="K93:O93">P.F.DEPREC</f>
        <v>1000</v>
      </c>
      <c r="L93" s="4">
        <v>1000</v>
      </c>
      <c r="M93">
        <v>1000</v>
      </c>
      <c r="N93">
        <v>1000</v>
      </c>
      <c r="O93" s="43">
        <v>1000</v>
      </c>
    </row>
    <row r="94" spans="2:22" x14ac:dyDescent="0.25">
      <c r="B94" s="101"/>
      <c r="C94" s="102"/>
      <c r="D94" s="102"/>
      <c r="E94" s="102"/>
      <c r="F94" s="103" t="s">
        <v>14</v>
      </c>
      <c r="G94" s="4" cm="1">
        <f t="array" ref="G94:I94">P.H.Amortization.Expense</f>
        <v>250</v>
      </c>
      <c r="H94" s="4">
        <v>250</v>
      </c>
      <c r="I94" s="4">
        <v>250</v>
      </c>
      <c r="J94" s="58"/>
      <c r="K94" s="4" cm="1">
        <f t="array" ref="K94:O94">P.F.AMORT</f>
        <v>2476.6996626755363</v>
      </c>
      <c r="L94" s="4">
        <v>2476.6996626755363</v>
      </c>
      <c r="M94">
        <v>2476.6996626755363</v>
      </c>
      <c r="N94">
        <v>2476.6996626755363</v>
      </c>
      <c r="O94" s="43">
        <v>2476.6996626755363</v>
      </c>
    </row>
    <row r="95" spans="2:22" x14ac:dyDescent="0.25">
      <c r="B95" s="101"/>
      <c r="C95" s="102"/>
      <c r="D95" s="102"/>
      <c r="E95" s="102" t="s">
        <v>79</v>
      </c>
      <c r="F95" s="103"/>
      <c r="G95" s="4"/>
      <c r="H95" s="4"/>
      <c r="I95" s="4"/>
      <c r="J95" s="58"/>
      <c r="K95" s="4"/>
      <c r="L95" s="4"/>
      <c r="O95" s="43"/>
    </row>
    <row r="96" spans="2:22" x14ac:dyDescent="0.25">
      <c r="B96" s="101"/>
      <c r="C96" s="102"/>
      <c r="D96" s="102"/>
      <c r="E96" s="102"/>
      <c r="F96" s="103" t="str" cm="1">
        <f t="array" ref="F96:F98">E47:E49</f>
        <v>Accounts Receivable</v>
      </c>
      <c r="G96" s="19"/>
      <c r="H96" s="19" cm="1">
        <f t="array" ref="H96:H98">+G47:G49-H47:H49</f>
        <v>-129.3698630136987</v>
      </c>
      <c r="I96" s="19" cm="1">
        <f t="array" ref="I96:I98">+H47:H49-I47:I49</f>
        <v>-115.39726027397228</v>
      </c>
      <c r="J96" s="58"/>
      <c r="K96" s="19">
        <f>-K47+I47</f>
        <v>22.698363083329241</v>
      </c>
      <c r="L96" s="19" cm="1">
        <f t="array" ref="L96:L98">+K47:K49-L47:L49</f>
        <v>-124.92219990665672</v>
      </c>
      <c r="M96" s="19" cm="1">
        <f t="array" ref="M96:M98">+L47:L49-M47:M49</f>
        <v>28.824346724671159</v>
      </c>
      <c r="N96" s="19" cm="1">
        <f t="array" ref="N96:N98">+M47:M49-N47:N49</f>
        <v>-131.07667074210258</v>
      </c>
      <c r="O96" s="77" cm="1">
        <f t="array" ref="O96:O98">+N47:N49-O47:O49</f>
        <v>33.768296716082659</v>
      </c>
    </row>
    <row r="97" spans="2:15" x14ac:dyDescent="0.25">
      <c r="B97" s="101"/>
      <c r="C97" s="102"/>
      <c r="D97" s="102"/>
      <c r="E97" s="102"/>
      <c r="F97" s="103" t="str">
        <v>Inventory</v>
      </c>
      <c r="G97" s="19"/>
      <c r="H97" s="19">
        <v>-8.3494009110945626</v>
      </c>
      <c r="I97" s="19">
        <v>-81.1153180257229</v>
      </c>
      <c r="J97" s="58"/>
      <c r="K97" s="19">
        <f t="shared" ref="K97:K98" si="30">-K48+I48</f>
        <v>67.31484259739841</v>
      </c>
      <c r="L97" s="19">
        <v>-33.311836010518618</v>
      </c>
      <c r="M97" s="19">
        <v>40.95217830018214</v>
      </c>
      <c r="N97" s="19">
        <v>-29.435216696146426</v>
      </c>
      <c r="O97" s="77">
        <v>53.064895666457232</v>
      </c>
    </row>
    <row r="98" spans="2:15" x14ac:dyDescent="0.25">
      <c r="B98" s="101"/>
      <c r="C98" s="102"/>
      <c r="D98" s="102"/>
      <c r="E98" s="102"/>
      <c r="F98" s="103" t="str">
        <v>Prepaid Expenses</v>
      </c>
      <c r="G98" s="19"/>
      <c r="H98" s="19">
        <v>-23.610000000000014</v>
      </c>
      <c r="I98" s="19">
        <v>-21.060000000000059</v>
      </c>
      <c r="J98" s="58"/>
      <c r="K98" s="19">
        <f t="shared" si="30"/>
        <v>-23.59401593512996</v>
      </c>
      <c r="L98" s="19">
        <v>-23.584449809963644</v>
      </c>
      <c r="M98" s="19">
        <v>-24.923755979554244</v>
      </c>
      <c r="N98" s="19">
        <v>-25.630170439750486</v>
      </c>
      <c r="O98" s="77">
        <v>-26.716702505327476</v>
      </c>
    </row>
    <row r="99" spans="2:15" x14ac:dyDescent="0.25">
      <c r="B99" s="101"/>
      <c r="C99" s="102"/>
      <c r="D99" s="102"/>
      <c r="E99" s="102"/>
      <c r="F99" s="103" t="str" cm="1">
        <f t="array" ref="F99:F100">+E65:E66</f>
        <v>Accounts Payable</v>
      </c>
      <c r="G99" s="19"/>
      <c r="H99" s="19" cm="1">
        <f t="array" ref="H99:H100">+H65:H66-G65:G66</f>
        <v>9.1321572465096779</v>
      </c>
      <c r="I99" s="19" cm="1">
        <f t="array" ref="I99:I100">+I65:I66-H65:H66</f>
        <v>88.719879090634549</v>
      </c>
      <c r="J99" s="58"/>
      <c r="K99" s="19" cm="1">
        <f t="array" ref="K99:K100">+K65:K66-I65:I66</f>
        <v>13.747654673395346</v>
      </c>
      <c r="L99" s="19" cm="1">
        <f t="array" ref="L99:L100">+L65:L66-K65:K66</f>
        <v>120.96872461652356</v>
      </c>
      <c r="M99" s="19" cm="1">
        <f t="array" ref="M99:M100">+M65:M66-L65:L66</f>
        <v>54.380403306568041</v>
      </c>
      <c r="N99" s="19" cm="1">
        <f t="array" ref="N99:N100">+N65:N66-M65:M66</f>
        <v>126.04344902417529</v>
      </c>
      <c r="O99" s="77" cm="1">
        <f t="array" ref="O99:O100">+O65:O66-N65:N66</f>
        <v>51.123025513857783</v>
      </c>
    </row>
    <row r="100" spans="2:15" x14ac:dyDescent="0.25">
      <c r="B100" s="101"/>
      <c r="C100" s="102"/>
      <c r="D100" s="102"/>
      <c r="E100" s="102"/>
      <c r="F100" s="103" t="str">
        <v>Accrued Liabilities</v>
      </c>
      <c r="G100" s="19"/>
      <c r="H100" s="19">
        <v>23.610000000000014</v>
      </c>
      <c r="I100" s="19">
        <v>21.060000000000059</v>
      </c>
      <c r="J100" s="58"/>
      <c r="K100" s="19">
        <v>23.59401593512996</v>
      </c>
      <c r="L100" s="19">
        <v>23.584449809963644</v>
      </c>
      <c r="M100" s="4">
        <v>24.923755979554244</v>
      </c>
      <c r="N100" s="4">
        <v>25.630170439750486</v>
      </c>
      <c r="O100" s="23">
        <v>26.716702505327476</v>
      </c>
    </row>
    <row r="101" spans="2:15" x14ac:dyDescent="0.25">
      <c r="B101" s="101"/>
      <c r="C101" s="102"/>
      <c r="D101" s="102" t="s">
        <v>80</v>
      </c>
      <c r="E101" s="102"/>
      <c r="F101" s="103"/>
      <c r="G101" s="83"/>
      <c r="H101" s="3">
        <f>SUM(H91:H100)</f>
        <v>5418.3457311683742</v>
      </c>
      <c r="I101" s="3">
        <f>SUM(I91:I100)</f>
        <v>5574.4511897563198</v>
      </c>
      <c r="J101" s="59"/>
      <c r="K101" s="3">
        <f ca="1">SUM(K91:K100)</f>
        <v>4278.8359570310231</v>
      </c>
      <c r="L101" s="3">
        <f t="shared" ref="L101:O101" ca="1" si="31">SUM(L91:L100)</f>
        <v>4381.5149408358375</v>
      </c>
      <c r="M101" s="3">
        <f t="shared" ca="1" si="31"/>
        <v>4917.2871451015253</v>
      </c>
      <c r="N101" s="3">
        <f t="shared" ca="1" si="31"/>
        <v>5201.6104782695356</v>
      </c>
      <c r="O101" s="22">
        <f t="shared" ca="1" si="31"/>
        <v>5803.8111976148011</v>
      </c>
    </row>
    <row r="102" spans="2:15" x14ac:dyDescent="0.25">
      <c r="B102" s="101"/>
      <c r="C102" s="102"/>
      <c r="D102" s="102"/>
      <c r="E102" s="102"/>
      <c r="F102" s="103"/>
      <c r="G102" s="4"/>
      <c r="H102" s="4"/>
      <c r="I102" s="4"/>
      <c r="J102" s="58"/>
      <c r="K102" s="4"/>
      <c r="L102" s="4"/>
      <c r="O102" s="43"/>
    </row>
    <row r="103" spans="2:15" x14ac:dyDescent="0.25">
      <c r="B103" s="101"/>
      <c r="C103" s="102"/>
      <c r="D103" s="102" t="s">
        <v>81</v>
      </c>
      <c r="E103" s="102"/>
      <c r="F103" s="103"/>
      <c r="G103" s="4"/>
      <c r="H103" s="4"/>
      <c r="I103" s="4"/>
      <c r="J103" s="58"/>
      <c r="K103" s="4"/>
      <c r="L103" s="4"/>
      <c r="O103" s="43"/>
    </row>
    <row r="104" spans="2:15" x14ac:dyDescent="0.25">
      <c r="B104" s="101"/>
      <c r="C104" s="102"/>
      <c r="D104" s="102"/>
      <c r="E104" s="102" t="s">
        <v>82</v>
      </c>
      <c r="F104" s="103"/>
      <c r="G104" s="4" cm="1">
        <f t="array" ref="G104:I104">-P.H.CAPEX</f>
        <v>0</v>
      </c>
      <c r="H104" s="4">
        <v>-2500</v>
      </c>
      <c r="I104" s="4">
        <v>-2500</v>
      </c>
      <c r="J104" s="58"/>
      <c r="K104" s="4" cm="1">
        <f t="array" ref="K104:O104">-p.f.capex</f>
        <v>-1750</v>
      </c>
      <c r="L104" s="4">
        <v>-1750</v>
      </c>
      <c r="M104" s="4">
        <v>-1500</v>
      </c>
      <c r="N104" s="4">
        <v>-1500</v>
      </c>
      <c r="O104" s="23">
        <v>-1500</v>
      </c>
    </row>
    <row r="105" spans="2:15" x14ac:dyDescent="0.25">
      <c r="B105" s="101"/>
      <c r="C105" s="102"/>
      <c r="D105" s="102"/>
      <c r="E105" s="102" t="s">
        <v>83</v>
      </c>
      <c r="F105" s="103"/>
      <c r="G105" s="4">
        <v>0</v>
      </c>
      <c r="H105" s="4">
        <f>+G105</f>
        <v>0</v>
      </c>
      <c r="I105" s="4">
        <f>+H105</f>
        <v>0</v>
      </c>
      <c r="J105" s="58"/>
      <c r="K105" s="4">
        <f>+I105</f>
        <v>0</v>
      </c>
      <c r="L105" s="4">
        <f t="shared" ref="L105:O105" si="32">+K105</f>
        <v>0</v>
      </c>
      <c r="M105" s="4">
        <f t="shared" si="32"/>
        <v>0</v>
      </c>
      <c r="N105" s="4">
        <f t="shared" si="32"/>
        <v>0</v>
      </c>
      <c r="O105" s="23">
        <f t="shared" si="32"/>
        <v>0</v>
      </c>
    </row>
    <row r="106" spans="2:15" x14ac:dyDescent="0.25">
      <c r="B106" s="101"/>
      <c r="C106" s="102"/>
      <c r="D106" s="102" t="s">
        <v>84</v>
      </c>
      <c r="E106" s="102"/>
      <c r="F106" s="103"/>
      <c r="G106" s="83"/>
      <c r="H106" s="3">
        <f t="shared" ref="H106:N106" si="33">SUM(H104:H105)</f>
        <v>-2500</v>
      </c>
      <c r="I106" s="3">
        <f t="shared" si="33"/>
        <v>-2500</v>
      </c>
      <c r="J106" s="59"/>
      <c r="K106" s="3">
        <f t="shared" si="33"/>
        <v>-1750</v>
      </c>
      <c r="L106" s="3">
        <f t="shared" si="33"/>
        <v>-1750</v>
      </c>
      <c r="M106" s="3">
        <f t="shared" si="33"/>
        <v>-1500</v>
      </c>
      <c r="N106" s="3">
        <f t="shared" si="33"/>
        <v>-1500</v>
      </c>
      <c r="O106" s="22">
        <f>SUM(O104:O105)</f>
        <v>-1500</v>
      </c>
    </row>
    <row r="107" spans="2:15" x14ac:dyDescent="0.25">
      <c r="B107" s="101"/>
      <c r="C107" s="102"/>
      <c r="D107" s="102"/>
      <c r="E107" s="102"/>
      <c r="F107" s="103"/>
      <c r="G107" s="4"/>
      <c r="H107" s="4"/>
      <c r="I107" s="4"/>
      <c r="J107" s="58"/>
      <c r="K107" s="4"/>
      <c r="L107" s="4"/>
      <c r="O107" s="43"/>
    </row>
    <row r="108" spans="2:15" x14ac:dyDescent="0.25">
      <c r="B108" s="101"/>
      <c r="C108" s="102"/>
      <c r="D108" s="102" t="s">
        <v>85</v>
      </c>
      <c r="E108" s="102"/>
      <c r="F108" s="103"/>
      <c r="G108" s="4"/>
      <c r="H108" s="4"/>
      <c r="I108" s="4"/>
      <c r="J108" s="58"/>
      <c r="K108" s="4"/>
      <c r="L108" s="4"/>
      <c r="O108" s="43"/>
    </row>
    <row r="109" spans="2:15" x14ac:dyDescent="0.25">
      <c r="B109" s="101"/>
      <c r="C109" s="102"/>
      <c r="D109" s="102"/>
      <c r="E109" s="102" t="s">
        <v>86</v>
      </c>
      <c r="F109" s="103"/>
      <c r="G109" s="4"/>
      <c r="H109" s="4">
        <f>+DebtSchedule!H9-DebtSchedule!G9</f>
        <v>-250</v>
      </c>
      <c r="I109" s="4">
        <f>+DebtSchedule!I9-DebtSchedule!H9</f>
        <v>-2250</v>
      </c>
      <c r="J109" s="58"/>
      <c r="K109" s="4">
        <f ca="1">+DebtSchedule!K9-DebtSchedule!J9</f>
        <v>-2185.8906380206827</v>
      </c>
      <c r="L109" s="4">
        <f ca="1">+DebtSchedule!L9-DebtSchedule!K9</f>
        <v>-2368.6584002273376</v>
      </c>
      <c r="M109" s="4">
        <f ca="1">+DebtSchedule!M9-DebtSchedule!L9</f>
        <v>-2980.125383273964</v>
      </c>
      <c r="N109" s="4">
        <f ca="1">+DebtSchedule!N9-DebtSchedule!M9</f>
        <v>-3315.3948593284913</v>
      </c>
      <c r="O109" s="23">
        <f ca="1">+DebtSchedule!O9-DebtSchedule!N9</f>
        <v>-3845.6005452056852</v>
      </c>
    </row>
    <row r="110" spans="2:15" x14ac:dyDescent="0.25">
      <c r="B110" s="101"/>
      <c r="C110" s="102"/>
      <c r="D110" s="102"/>
      <c r="E110" s="102" t="s">
        <v>87</v>
      </c>
      <c r="F110" s="103"/>
      <c r="G110" s="4"/>
      <c r="H110" s="4">
        <v>0</v>
      </c>
      <c r="I110" s="4">
        <v>0</v>
      </c>
      <c r="J110" s="58"/>
      <c r="K110" s="4">
        <v>0</v>
      </c>
      <c r="L110" s="4">
        <v>0</v>
      </c>
      <c r="M110" s="4">
        <v>0</v>
      </c>
      <c r="N110" s="4">
        <v>0</v>
      </c>
      <c r="O110" s="23">
        <v>0</v>
      </c>
    </row>
    <row r="111" spans="2:15" x14ac:dyDescent="0.25">
      <c r="B111" s="101"/>
      <c r="C111" s="102"/>
      <c r="D111" s="102"/>
      <c r="E111" s="102" t="s">
        <v>88</v>
      </c>
      <c r="F111" s="103"/>
      <c r="G111" s="4" cm="1">
        <f t="array" ref="G111:I111">-P.H.Dividends</f>
        <v>-1500</v>
      </c>
      <c r="H111" s="4">
        <v>-1500</v>
      </c>
      <c r="I111" s="4">
        <v>-1500</v>
      </c>
      <c r="J111" s="58"/>
      <c r="K111" s="4" cm="1">
        <f t="array" ref="K111:O111">P.F.DIV</f>
        <v>0</v>
      </c>
      <c r="L111" s="4">
        <v>0</v>
      </c>
      <c r="M111" s="4">
        <v>0</v>
      </c>
      <c r="N111" s="4">
        <v>0</v>
      </c>
      <c r="O111" s="23">
        <v>0</v>
      </c>
    </row>
    <row r="112" spans="2:15" x14ac:dyDescent="0.25">
      <c r="B112" s="101"/>
      <c r="C112" s="102"/>
      <c r="D112" s="102"/>
      <c r="E112" s="102" t="s">
        <v>17</v>
      </c>
      <c r="F112" s="103"/>
      <c r="G112" s="4" cm="1">
        <f t="array" ref="G112:I112">-P.H.Buybacks</f>
        <v>-500</v>
      </c>
      <c r="H112" s="4">
        <v>-500</v>
      </c>
      <c r="I112" s="4">
        <v>-500</v>
      </c>
      <c r="J112" s="58"/>
      <c r="K112" s="4" cm="1">
        <f t="array" ref="K112:O112">-P.F.BUYBACK</f>
        <v>0</v>
      </c>
      <c r="L112" s="4">
        <v>0</v>
      </c>
      <c r="M112" s="4">
        <v>0</v>
      </c>
      <c r="N112" s="4">
        <v>0</v>
      </c>
      <c r="O112" s="23">
        <v>0</v>
      </c>
    </row>
    <row r="113" spans="2:15" x14ac:dyDescent="0.25">
      <c r="B113" s="101"/>
      <c r="C113" s="102"/>
      <c r="D113" s="102" t="s">
        <v>89</v>
      </c>
      <c r="E113" s="102"/>
      <c r="F113" s="103"/>
      <c r="G113" s="83"/>
      <c r="H113" s="3">
        <f t="shared" ref="H113:N113" si="34">SUM(H109:H112)</f>
        <v>-2250</v>
      </c>
      <c r="I113" s="3">
        <f t="shared" si="34"/>
        <v>-4250</v>
      </c>
      <c r="J113" s="59"/>
      <c r="K113" s="13">
        <f t="shared" ca="1" si="34"/>
        <v>-2185.8906380206827</v>
      </c>
      <c r="L113" s="13">
        <f t="shared" ca="1" si="34"/>
        <v>-2368.6584002273376</v>
      </c>
      <c r="M113" s="13">
        <f t="shared" ca="1" si="34"/>
        <v>-2980.125383273964</v>
      </c>
      <c r="N113" s="13">
        <f t="shared" ca="1" si="34"/>
        <v>-3315.3948593284913</v>
      </c>
      <c r="O113" s="80">
        <f ca="1">SUM(O109:O112)</f>
        <v>-3845.6005452056852</v>
      </c>
    </row>
    <row r="114" spans="2:15" x14ac:dyDescent="0.25">
      <c r="B114" s="101"/>
      <c r="C114" s="102"/>
      <c r="D114" s="102"/>
      <c r="E114" s="102"/>
      <c r="F114" s="103"/>
      <c r="G114" s="4"/>
      <c r="H114" s="4"/>
      <c r="I114" s="4"/>
      <c r="J114" s="58"/>
      <c r="K114" s="4"/>
      <c r="L114" s="4"/>
      <c r="O114" s="43"/>
    </row>
    <row r="115" spans="2:15" x14ac:dyDescent="0.25">
      <c r="B115" s="101"/>
      <c r="C115" s="102"/>
      <c r="D115" s="102" t="s">
        <v>90</v>
      </c>
      <c r="E115" s="102"/>
      <c r="F115" s="103"/>
      <c r="G115" s="83"/>
      <c r="H115" s="3" cm="1">
        <f t="array" ref="H115:I115">H.Cash.Financing+H.Cash.From.Ops+H.Cash.Investment</f>
        <v>668.34573116837419</v>
      </c>
      <c r="I115" s="3">
        <v>-1175.5488102436802</v>
      </c>
      <c r="J115" s="59"/>
      <c r="K115" s="7" cm="1">
        <f t="array" aca="1" ref="K115:O115" ca="1">F.cash.ops+f.cash.investment+f.cash.financing</f>
        <v>342.94531901034043</v>
      </c>
      <c r="L115" s="7">
        <f ca="1"/>
        <v>262.85654060849993</v>
      </c>
      <c r="M115" s="7">
        <f ca="1"/>
        <v>437.16176182756135</v>
      </c>
      <c r="N115" s="7">
        <f ca="1"/>
        <v>386.21561894104434</v>
      </c>
      <c r="O115" s="78">
        <f ca="1"/>
        <v>458.21065240911594</v>
      </c>
    </row>
    <row r="116" spans="2:15" x14ac:dyDescent="0.25">
      <c r="B116" s="101"/>
      <c r="C116" s="102"/>
      <c r="D116" s="102" t="s">
        <v>91</v>
      </c>
      <c r="E116" s="102"/>
      <c r="F116" s="103"/>
      <c r="G116" s="4"/>
      <c r="H116" s="4">
        <f>+G117</f>
        <v>4500</v>
      </c>
      <c r="I116" s="4">
        <f>+H117</f>
        <v>5168.3457311683742</v>
      </c>
      <c r="J116" s="58"/>
      <c r="K116" s="4">
        <f>J117</f>
        <v>5000</v>
      </c>
      <c r="L116" s="4">
        <f t="shared" ref="L116:O116" ca="1" si="35">+K117</f>
        <v>5342.9453190103404</v>
      </c>
      <c r="M116" s="4">
        <f t="shared" ca="1" si="35"/>
        <v>5605.8018596188404</v>
      </c>
      <c r="N116" s="4">
        <f t="shared" ca="1" si="35"/>
        <v>6042.9636214464017</v>
      </c>
      <c r="O116" s="23">
        <f t="shared" ca="1" si="35"/>
        <v>6429.1792403874424</v>
      </c>
    </row>
    <row r="117" spans="2:15" ht="15.75" thickBot="1" x14ac:dyDescent="0.3">
      <c r="B117" s="104"/>
      <c r="C117" s="105"/>
      <c r="D117" s="105" t="s">
        <v>92</v>
      </c>
      <c r="E117" s="105"/>
      <c r="F117" s="106"/>
      <c r="G117" s="81">
        <f>starting.cash</f>
        <v>4500</v>
      </c>
      <c r="H117" s="11">
        <f>+H116+H115</f>
        <v>5168.3457311683742</v>
      </c>
      <c r="I117" s="11">
        <f>+I116+I115</f>
        <v>3992.7969209246939</v>
      </c>
      <c r="J117" s="63">
        <f>min.cash</f>
        <v>5000</v>
      </c>
      <c r="K117" s="11">
        <f t="shared" ref="K117:O117" ca="1" si="36">+K116+K115</f>
        <v>5342.9453190103404</v>
      </c>
      <c r="L117" s="11">
        <f t="shared" ca="1" si="36"/>
        <v>5605.8018596188404</v>
      </c>
      <c r="M117" s="11">
        <f t="shared" ca="1" si="36"/>
        <v>6042.9636214464017</v>
      </c>
      <c r="N117" s="11">
        <f t="shared" ca="1" si="36"/>
        <v>6429.179240387446</v>
      </c>
      <c r="O117" s="79">
        <f t="shared" ca="1" si="36"/>
        <v>6887.3898927965583</v>
      </c>
    </row>
    <row r="118" spans="2:15" x14ac:dyDescent="0.25">
      <c r="G118" s="1"/>
      <c r="H118" s="1"/>
      <c r="I118" s="1"/>
      <c r="J118" s="1"/>
      <c r="K118" s="1"/>
      <c r="L118" s="1"/>
    </row>
    <row r="119" spans="2:15" x14ac:dyDescent="0.25">
      <c r="G119" s="1"/>
      <c r="H119" s="1"/>
      <c r="I119" s="1"/>
      <c r="J119" s="1"/>
      <c r="K119" s="1"/>
      <c r="L119" s="1"/>
    </row>
    <row r="120" spans="2:15" x14ac:dyDescent="0.25">
      <c r="G120" s="1"/>
      <c r="H120" s="1"/>
      <c r="I120" s="1"/>
      <c r="J120" s="1"/>
      <c r="K120" s="1"/>
      <c r="L120" s="1"/>
    </row>
    <row r="121" spans="2:15" x14ac:dyDescent="0.25">
      <c r="G121" s="1"/>
      <c r="H121" s="1"/>
      <c r="I121" s="1"/>
      <c r="J121" s="1"/>
      <c r="K121" s="1"/>
      <c r="L121" s="1"/>
    </row>
    <row r="122" spans="2:15" x14ac:dyDescent="0.25">
      <c r="G122" s="1"/>
      <c r="H122" s="1"/>
      <c r="I122" s="1"/>
      <c r="J122" s="1"/>
      <c r="K122" s="1"/>
      <c r="L122" s="1"/>
    </row>
    <row r="123" spans="2:15" x14ac:dyDescent="0.25">
      <c r="G123" s="1"/>
      <c r="H123" s="1"/>
      <c r="I123" s="1"/>
      <c r="J123" s="1"/>
      <c r="K123" s="1"/>
      <c r="L123" s="1"/>
    </row>
    <row r="124" spans="2:15" x14ac:dyDescent="0.25">
      <c r="G124" s="1"/>
      <c r="H124" s="1"/>
      <c r="I124" s="1"/>
      <c r="J124" s="1"/>
      <c r="K124" s="1"/>
      <c r="L124" s="1"/>
    </row>
    <row r="125" spans="2:15" x14ac:dyDescent="0.25">
      <c r="G125" s="1"/>
      <c r="H125" s="1"/>
      <c r="I125" s="1"/>
      <c r="J125" s="1"/>
      <c r="K125" s="1"/>
      <c r="L125" s="1"/>
    </row>
    <row r="126" spans="2:15" x14ac:dyDescent="0.25">
      <c r="G126" s="1"/>
      <c r="H126" s="1"/>
      <c r="I126" s="1"/>
      <c r="J126" s="1"/>
      <c r="K126" s="1"/>
      <c r="L126" s="1"/>
    </row>
    <row r="127" spans="2:15" x14ac:dyDescent="0.25">
      <c r="G127" s="1"/>
      <c r="H127" s="1"/>
      <c r="I127" s="1"/>
      <c r="J127" s="1"/>
      <c r="K127" s="1"/>
      <c r="L127" s="1"/>
    </row>
    <row r="128" spans="2:15" x14ac:dyDescent="0.25">
      <c r="G128" s="1"/>
      <c r="H128" s="1"/>
      <c r="I128" s="1"/>
      <c r="J128" s="1"/>
      <c r="K128" s="1"/>
      <c r="L128" s="1"/>
    </row>
    <row r="129" spans="7:12" x14ac:dyDescent="0.25">
      <c r="G129" s="1"/>
      <c r="H129" s="1"/>
      <c r="I129" s="1"/>
      <c r="J129" s="1"/>
      <c r="K129" s="1"/>
      <c r="L129" s="1"/>
    </row>
    <row r="130" spans="7:12" x14ac:dyDescent="0.25">
      <c r="G130" s="1"/>
      <c r="H130" s="1"/>
      <c r="I130" s="1"/>
      <c r="J130" s="1"/>
      <c r="K130" s="1"/>
      <c r="L130" s="1"/>
    </row>
    <row r="131" spans="7:12" x14ac:dyDescent="0.25">
      <c r="G131" s="1"/>
      <c r="H131" s="1"/>
      <c r="I131" s="1"/>
      <c r="J131" s="1"/>
      <c r="K131" s="1"/>
      <c r="L131" s="1"/>
    </row>
    <row r="132" spans="7:12" x14ac:dyDescent="0.25">
      <c r="G132" s="1"/>
      <c r="H132" s="1"/>
      <c r="I132" s="1"/>
      <c r="J132" s="1"/>
      <c r="K132" s="1"/>
      <c r="L132" s="1"/>
    </row>
    <row r="133" spans="7:12" x14ac:dyDescent="0.25">
      <c r="G133" s="1"/>
      <c r="H133" s="1"/>
      <c r="I133" s="1"/>
      <c r="J133" s="1"/>
      <c r="K133" s="1"/>
      <c r="L133" s="1"/>
    </row>
    <row r="134" spans="7:12" x14ac:dyDescent="0.25">
      <c r="G134" s="1"/>
      <c r="H134" s="1"/>
      <c r="I134" s="1"/>
      <c r="J134" s="1"/>
      <c r="K134" s="1"/>
      <c r="L134" s="1"/>
    </row>
    <row r="135" spans="7:12" x14ac:dyDescent="0.25">
      <c r="G135" s="1"/>
      <c r="H135" s="1"/>
      <c r="I135" s="1"/>
      <c r="J135" s="1"/>
      <c r="K135" s="1"/>
      <c r="L135" s="1"/>
    </row>
    <row r="136" spans="7:12" x14ac:dyDescent="0.25">
      <c r="G136" s="1"/>
      <c r="H136" s="1"/>
      <c r="I136" s="1"/>
      <c r="J136" s="1"/>
      <c r="K136" s="1"/>
      <c r="L136" s="1"/>
    </row>
    <row r="137" spans="7:12" x14ac:dyDescent="0.25">
      <c r="G137" s="1"/>
      <c r="H137" s="1"/>
      <c r="I137" s="1"/>
      <c r="J137" s="1"/>
      <c r="K137" s="1"/>
      <c r="L137" s="1"/>
    </row>
    <row r="138" spans="7:12" x14ac:dyDescent="0.25">
      <c r="G138" s="1"/>
      <c r="H138" s="1"/>
      <c r="I138" s="1"/>
      <c r="J138" s="1"/>
      <c r="K138" s="1"/>
      <c r="L138" s="1"/>
    </row>
    <row r="139" spans="7:12" x14ac:dyDescent="0.25">
      <c r="G139" s="1"/>
      <c r="H139" s="1"/>
      <c r="I139" s="1"/>
      <c r="J139" s="1"/>
      <c r="K139" s="1"/>
      <c r="L139" s="1"/>
    </row>
    <row r="140" spans="7:12" x14ac:dyDescent="0.25">
      <c r="G140" s="1"/>
      <c r="H140" s="1"/>
      <c r="I140" s="1"/>
      <c r="J140" s="1"/>
      <c r="K140" s="1"/>
      <c r="L140" s="1"/>
    </row>
    <row r="141" spans="7:12" x14ac:dyDescent="0.25">
      <c r="G141" s="1"/>
      <c r="H141" s="1"/>
      <c r="I141" s="1"/>
      <c r="J141" s="1"/>
      <c r="K141" s="1"/>
      <c r="L141" s="1"/>
    </row>
    <row r="142" spans="7:12" x14ac:dyDescent="0.25">
      <c r="G142" s="1"/>
      <c r="H142" s="1"/>
      <c r="I142" s="1"/>
      <c r="J142" s="1"/>
      <c r="K142" s="1"/>
      <c r="L142" s="1"/>
    </row>
    <row r="143" spans="7:12" x14ac:dyDescent="0.25">
      <c r="G143" s="1"/>
      <c r="H143" s="1"/>
      <c r="I143" s="1"/>
      <c r="J143" s="1"/>
      <c r="K143" s="1"/>
      <c r="L143" s="1"/>
    </row>
    <row r="144" spans="7:12" x14ac:dyDescent="0.25">
      <c r="G144" s="1"/>
      <c r="H144" s="1"/>
      <c r="I144" s="1"/>
      <c r="J144" s="1"/>
      <c r="K144" s="1"/>
      <c r="L144" s="1"/>
    </row>
    <row r="145" spans="7:12" x14ac:dyDescent="0.25">
      <c r="G145" s="1"/>
      <c r="H145" s="1"/>
      <c r="I145" s="1"/>
      <c r="J145" s="1"/>
      <c r="K145" s="1"/>
      <c r="L145" s="1"/>
    </row>
    <row r="146" spans="7:12" x14ac:dyDescent="0.25">
      <c r="G146" s="1"/>
      <c r="H146" s="1"/>
      <c r="I146" s="1"/>
      <c r="J146" s="1"/>
      <c r="K146" s="1"/>
      <c r="L146" s="1"/>
    </row>
    <row r="147" spans="7:12" x14ac:dyDescent="0.25">
      <c r="G147" s="1"/>
      <c r="H147" s="1"/>
      <c r="I147" s="1"/>
      <c r="J147" s="1"/>
      <c r="K147" s="1"/>
      <c r="L147" s="1"/>
    </row>
    <row r="148" spans="7:12" x14ac:dyDescent="0.25">
      <c r="G148" s="1"/>
      <c r="H148" s="1"/>
      <c r="I148" s="1"/>
      <c r="J148" s="1"/>
      <c r="K148" s="1"/>
      <c r="L148" s="1"/>
    </row>
    <row r="149" spans="7:12" x14ac:dyDescent="0.25">
      <c r="G149" s="1"/>
      <c r="H149" s="1"/>
      <c r="I149" s="1"/>
      <c r="J149" s="1"/>
      <c r="K149" s="1"/>
      <c r="L149" s="1"/>
    </row>
    <row r="150" spans="7:12" x14ac:dyDescent="0.25">
      <c r="G150" s="1"/>
      <c r="H150" s="1"/>
      <c r="I150" s="1"/>
      <c r="J150" s="1"/>
      <c r="K150" s="1"/>
      <c r="L150" s="1"/>
    </row>
    <row r="151" spans="7:12" x14ac:dyDescent="0.25">
      <c r="G151" s="1"/>
      <c r="H151" s="1"/>
      <c r="I151" s="1"/>
      <c r="J151" s="1"/>
      <c r="K151" s="1"/>
      <c r="L151" s="1"/>
    </row>
    <row r="152" spans="7:12" x14ac:dyDescent="0.25">
      <c r="G152" s="1"/>
      <c r="H152" s="1"/>
      <c r="I152" s="1"/>
      <c r="J152" s="1"/>
      <c r="K152" s="1"/>
      <c r="L152" s="1"/>
    </row>
    <row r="153" spans="7:12" x14ac:dyDescent="0.25">
      <c r="G153" s="1"/>
      <c r="H153" s="1"/>
      <c r="I153" s="1"/>
      <c r="J153" s="1"/>
      <c r="K153" s="1"/>
      <c r="L153" s="1"/>
    </row>
    <row r="154" spans="7:12" x14ac:dyDescent="0.25">
      <c r="G154" s="1"/>
      <c r="H154" s="1"/>
      <c r="I154" s="1"/>
      <c r="J154" s="1"/>
      <c r="K154" s="1"/>
      <c r="L154" s="1"/>
    </row>
    <row r="155" spans="7:12" x14ac:dyDescent="0.25">
      <c r="G155" s="1"/>
      <c r="H155" s="1"/>
      <c r="I155" s="1"/>
      <c r="J155" s="1"/>
      <c r="K155" s="1"/>
      <c r="L155" s="1"/>
    </row>
    <row r="156" spans="7:12" x14ac:dyDescent="0.25">
      <c r="G156" s="1"/>
      <c r="H156" s="1"/>
      <c r="I156" s="1"/>
      <c r="J156" s="1"/>
      <c r="K156" s="1"/>
      <c r="L156" s="1"/>
    </row>
    <row r="157" spans="7:12" x14ac:dyDescent="0.25">
      <c r="G157" s="1"/>
      <c r="H157" s="1"/>
      <c r="I157" s="1"/>
      <c r="J157" s="1"/>
      <c r="K157" s="1"/>
      <c r="L157" s="1"/>
    </row>
    <row r="158" spans="7:12" x14ac:dyDescent="0.25">
      <c r="G158" s="1"/>
      <c r="H158" s="1"/>
      <c r="I158" s="1"/>
      <c r="J158" s="1"/>
      <c r="K158" s="1"/>
      <c r="L158" s="1"/>
    </row>
    <row r="159" spans="7:12" x14ac:dyDescent="0.25">
      <c r="G159" s="1"/>
      <c r="H159" s="1"/>
      <c r="I159" s="1"/>
      <c r="J159" s="1"/>
      <c r="K159" s="1"/>
      <c r="L159" s="1"/>
    </row>
    <row r="160" spans="7:12" x14ac:dyDescent="0.25">
      <c r="G160" s="1"/>
      <c r="H160" s="1"/>
      <c r="I160" s="1"/>
      <c r="J160" s="1"/>
      <c r="K160" s="1"/>
      <c r="L160" s="1"/>
    </row>
    <row r="161" spans="7:12" x14ac:dyDescent="0.25">
      <c r="G161" s="1"/>
      <c r="H161" s="1"/>
      <c r="I161" s="1"/>
      <c r="J161" s="1"/>
      <c r="K161" s="1"/>
      <c r="L161" s="1"/>
    </row>
    <row r="162" spans="7:12" x14ac:dyDescent="0.25">
      <c r="G162" s="1"/>
      <c r="H162" s="1"/>
      <c r="I162" s="1"/>
      <c r="J162" s="1"/>
      <c r="K162" s="1"/>
      <c r="L162" s="1"/>
    </row>
    <row r="163" spans="7:12" x14ac:dyDescent="0.25">
      <c r="G163" s="1"/>
      <c r="H163" s="1"/>
      <c r="I163" s="1"/>
      <c r="J163" s="1"/>
      <c r="K163" s="1"/>
      <c r="L163" s="1"/>
    </row>
    <row r="164" spans="7:12" x14ac:dyDescent="0.25">
      <c r="G164" s="1"/>
      <c r="H164" s="1"/>
      <c r="I164" s="1"/>
      <c r="J164" s="1"/>
      <c r="K164" s="1"/>
      <c r="L164" s="1"/>
    </row>
    <row r="165" spans="7:12" x14ac:dyDescent="0.25">
      <c r="G165" s="1"/>
      <c r="H165" s="1"/>
      <c r="I165" s="1"/>
      <c r="J165" s="1"/>
      <c r="K165" s="1"/>
      <c r="L165" s="1"/>
    </row>
    <row r="166" spans="7:12" x14ac:dyDescent="0.25">
      <c r="G166" s="1"/>
      <c r="H166" s="1"/>
      <c r="I166" s="1"/>
      <c r="J166" s="1"/>
      <c r="K166" s="1"/>
      <c r="L166" s="1"/>
    </row>
    <row r="167" spans="7:12" x14ac:dyDescent="0.25">
      <c r="G167" s="1"/>
      <c r="H167" s="1"/>
      <c r="I167" s="1"/>
      <c r="J167" s="1"/>
      <c r="K167" s="1"/>
      <c r="L167" s="1"/>
    </row>
    <row r="168" spans="7:12" x14ac:dyDescent="0.25">
      <c r="G168" s="1"/>
      <c r="H168" s="1"/>
      <c r="I168" s="1"/>
      <c r="J168" s="1"/>
      <c r="K168" s="1"/>
      <c r="L168" s="1"/>
    </row>
    <row r="169" spans="7:12" x14ac:dyDescent="0.25">
      <c r="G169" s="1"/>
      <c r="H169" s="1"/>
      <c r="I169" s="1"/>
      <c r="J169" s="1"/>
      <c r="K169" s="1"/>
      <c r="L169" s="1"/>
    </row>
    <row r="170" spans="7:12" x14ac:dyDescent="0.25">
      <c r="G170" s="1"/>
      <c r="H170" s="1"/>
      <c r="I170" s="1"/>
      <c r="J170" s="1"/>
      <c r="K170" s="1"/>
      <c r="L170" s="1"/>
    </row>
    <row r="171" spans="7:12" x14ac:dyDescent="0.25">
      <c r="G171" s="1"/>
      <c r="H171" s="1"/>
      <c r="I171" s="1"/>
      <c r="J171" s="1"/>
      <c r="K171" s="1"/>
      <c r="L171" s="1"/>
    </row>
    <row r="172" spans="7:12" x14ac:dyDescent="0.25">
      <c r="G172" s="1"/>
      <c r="H172" s="1"/>
      <c r="I172" s="1"/>
      <c r="J172" s="1"/>
      <c r="K172" s="1"/>
      <c r="L172" s="1"/>
    </row>
    <row r="173" spans="7:12" x14ac:dyDescent="0.25">
      <c r="G173" s="1"/>
      <c r="H173" s="1"/>
      <c r="I173" s="1"/>
      <c r="J173" s="1"/>
      <c r="K173" s="1"/>
      <c r="L173" s="1"/>
    </row>
    <row r="174" spans="7:12" x14ac:dyDescent="0.25">
      <c r="G174" s="1"/>
      <c r="H174" s="1"/>
      <c r="I174" s="1"/>
      <c r="J174" s="1"/>
      <c r="K174" s="1"/>
      <c r="L174" s="1"/>
    </row>
    <row r="175" spans="7:12" x14ac:dyDescent="0.25">
      <c r="G175" s="1"/>
      <c r="H175" s="1"/>
      <c r="I175" s="1"/>
      <c r="J175" s="1"/>
      <c r="K175" s="1"/>
      <c r="L175" s="1"/>
    </row>
    <row r="176" spans="7:12" x14ac:dyDescent="0.25">
      <c r="G176" s="1"/>
      <c r="H176" s="1"/>
      <c r="I176" s="1"/>
      <c r="J176" s="1"/>
      <c r="K176" s="1"/>
      <c r="L176" s="1"/>
    </row>
    <row r="177" spans="7:12" x14ac:dyDescent="0.25">
      <c r="G177" s="1"/>
      <c r="H177" s="1"/>
      <c r="I177" s="1"/>
      <c r="J177" s="1"/>
      <c r="K177" s="1"/>
      <c r="L177" s="1"/>
    </row>
    <row r="178" spans="7:12" x14ac:dyDescent="0.25">
      <c r="G178" s="1"/>
      <c r="H178" s="1"/>
      <c r="I178" s="1"/>
      <c r="J178" s="1"/>
      <c r="K178" s="1"/>
      <c r="L178" s="1"/>
    </row>
    <row r="179" spans="7:12" x14ac:dyDescent="0.25">
      <c r="G179" s="1"/>
      <c r="H179" s="1"/>
      <c r="I179" s="1"/>
      <c r="J179" s="1"/>
      <c r="K179" s="1"/>
      <c r="L179" s="1"/>
    </row>
    <row r="180" spans="7:12" x14ac:dyDescent="0.25">
      <c r="G180" s="1"/>
      <c r="H180" s="1"/>
      <c r="I180" s="1"/>
      <c r="J180" s="1"/>
      <c r="K180" s="1"/>
      <c r="L180" s="1"/>
    </row>
    <row r="181" spans="7:12" x14ac:dyDescent="0.25">
      <c r="G181" s="1"/>
      <c r="H181" s="1"/>
      <c r="I181" s="1"/>
      <c r="J181" s="1"/>
      <c r="K181" s="1"/>
      <c r="L181" s="1"/>
    </row>
    <row r="182" spans="7:12" x14ac:dyDescent="0.25">
      <c r="G182" s="1"/>
      <c r="H182" s="1"/>
      <c r="I182" s="1"/>
      <c r="J182" s="1"/>
      <c r="K182" s="1"/>
      <c r="L182" s="1"/>
    </row>
    <row r="183" spans="7:12" x14ac:dyDescent="0.25">
      <c r="G183" s="1"/>
      <c r="H183" s="1"/>
      <c r="I183" s="1"/>
      <c r="J183" s="1"/>
      <c r="K183" s="1"/>
      <c r="L183" s="1"/>
    </row>
    <row r="184" spans="7:12" x14ac:dyDescent="0.25">
      <c r="G184" s="1"/>
      <c r="H184" s="1"/>
      <c r="I184" s="1"/>
      <c r="J184" s="1"/>
      <c r="K184" s="1"/>
      <c r="L184" s="1"/>
    </row>
    <row r="185" spans="7:12" x14ac:dyDescent="0.25">
      <c r="G185" s="1"/>
      <c r="H185" s="1"/>
      <c r="I185" s="1"/>
      <c r="J185" s="1"/>
      <c r="K185" s="1"/>
      <c r="L185" s="1"/>
    </row>
    <row r="186" spans="7:12" x14ac:dyDescent="0.25">
      <c r="G186" s="1"/>
      <c r="H186" s="1"/>
      <c r="I186" s="1"/>
      <c r="J186" s="1"/>
      <c r="K186" s="1"/>
      <c r="L186" s="1"/>
    </row>
    <row r="187" spans="7:12" x14ac:dyDescent="0.25">
      <c r="G187" s="1"/>
      <c r="H187" s="1"/>
      <c r="I187" s="1"/>
      <c r="J187" s="1"/>
      <c r="K187" s="1"/>
      <c r="L187" s="1"/>
    </row>
    <row r="188" spans="7:12" x14ac:dyDescent="0.25">
      <c r="G188" s="1"/>
      <c r="H188" s="1"/>
      <c r="I188" s="1"/>
      <c r="J188" s="1"/>
      <c r="K188" s="1"/>
      <c r="L188" s="1"/>
    </row>
    <row r="189" spans="7:12" x14ac:dyDescent="0.25">
      <c r="G189" s="1"/>
      <c r="H189" s="1"/>
      <c r="I189" s="1"/>
      <c r="J189" s="1"/>
      <c r="K189" s="1"/>
      <c r="L189" s="1"/>
    </row>
    <row r="190" spans="7:12" x14ac:dyDescent="0.25">
      <c r="G190" s="1"/>
      <c r="H190" s="1"/>
      <c r="I190" s="1"/>
      <c r="J190" s="1"/>
      <c r="K190" s="1"/>
      <c r="L190" s="1"/>
    </row>
    <row r="191" spans="7:12" x14ac:dyDescent="0.25">
      <c r="G191" s="1"/>
      <c r="H191" s="1"/>
      <c r="I191" s="1"/>
      <c r="J191" s="1"/>
      <c r="K191" s="1"/>
      <c r="L191" s="1"/>
    </row>
    <row r="192" spans="7:12" x14ac:dyDescent="0.25">
      <c r="G192" s="1"/>
      <c r="H192" s="1"/>
      <c r="I192" s="1"/>
      <c r="J192" s="1"/>
      <c r="K192" s="1"/>
      <c r="L192" s="1"/>
    </row>
    <row r="193" spans="7:12" x14ac:dyDescent="0.25">
      <c r="G193" s="1"/>
      <c r="H193" s="1"/>
      <c r="I193" s="1"/>
      <c r="J193" s="1"/>
      <c r="K193" s="1"/>
      <c r="L193" s="1"/>
    </row>
    <row r="194" spans="7:12" x14ac:dyDescent="0.25">
      <c r="G194" s="1"/>
      <c r="H194" s="1"/>
      <c r="I194" s="1"/>
      <c r="J194" s="1"/>
      <c r="K194" s="1"/>
      <c r="L194" s="1"/>
    </row>
    <row r="195" spans="7:12" x14ac:dyDescent="0.25">
      <c r="G195" s="1"/>
      <c r="H195" s="1"/>
      <c r="I195" s="1"/>
      <c r="J195" s="1"/>
      <c r="K195" s="1"/>
      <c r="L195" s="1"/>
    </row>
    <row r="196" spans="7:12" x14ac:dyDescent="0.25">
      <c r="G196" s="1"/>
      <c r="H196" s="1"/>
      <c r="I196" s="1"/>
      <c r="J196" s="1"/>
      <c r="K196" s="1"/>
      <c r="L196" s="1"/>
    </row>
    <row r="197" spans="7:12" x14ac:dyDescent="0.25">
      <c r="G197" s="1"/>
      <c r="H197" s="1"/>
      <c r="I197" s="1"/>
      <c r="J197" s="1"/>
      <c r="K197" s="1"/>
      <c r="L197" s="1"/>
    </row>
    <row r="198" spans="7:12" x14ac:dyDescent="0.25">
      <c r="G198" s="1"/>
      <c r="H198" s="1"/>
      <c r="I198" s="1"/>
      <c r="J198" s="1"/>
      <c r="K198" s="1"/>
      <c r="L198" s="1"/>
    </row>
    <row r="199" spans="7:12" x14ac:dyDescent="0.25">
      <c r="G199" s="1"/>
      <c r="H199" s="1"/>
      <c r="I199" s="1"/>
      <c r="J199" s="1"/>
      <c r="K199" s="1"/>
      <c r="L199" s="1"/>
    </row>
    <row r="200" spans="7:12" x14ac:dyDescent="0.25">
      <c r="G200" s="1"/>
      <c r="H200" s="1"/>
      <c r="I200" s="1"/>
      <c r="J200" s="1"/>
      <c r="K200" s="1"/>
      <c r="L200" s="1"/>
    </row>
    <row r="201" spans="7:12" x14ac:dyDescent="0.25">
      <c r="G201" s="1"/>
      <c r="H201" s="1"/>
      <c r="I201" s="1"/>
      <c r="J201" s="1"/>
      <c r="K201" s="1"/>
      <c r="L201" s="1"/>
    </row>
    <row r="202" spans="7:12" x14ac:dyDescent="0.25">
      <c r="G202" s="1"/>
      <c r="H202" s="1"/>
      <c r="I202" s="1"/>
      <c r="J202" s="1"/>
      <c r="K202" s="1"/>
      <c r="L202" s="1"/>
    </row>
    <row r="203" spans="7:12" x14ac:dyDescent="0.25">
      <c r="G203" s="1"/>
      <c r="H203" s="1"/>
      <c r="I203" s="1"/>
      <c r="J203" s="1"/>
      <c r="K203" s="1"/>
      <c r="L203" s="1"/>
    </row>
    <row r="204" spans="7:12" x14ac:dyDescent="0.25">
      <c r="G204" s="1"/>
      <c r="H204" s="1"/>
      <c r="I204" s="1"/>
      <c r="J204" s="1"/>
      <c r="K204" s="1"/>
      <c r="L204" s="1"/>
    </row>
    <row r="205" spans="7:12" x14ac:dyDescent="0.25">
      <c r="G205" s="1"/>
      <c r="H205" s="1"/>
      <c r="I205" s="1"/>
      <c r="J205" s="1"/>
      <c r="K205" s="1"/>
      <c r="L205" s="1"/>
    </row>
    <row r="206" spans="7:12" x14ac:dyDescent="0.25">
      <c r="G206" s="1"/>
      <c r="H206" s="1"/>
      <c r="I206" s="1"/>
      <c r="J206" s="1"/>
      <c r="K206" s="1"/>
      <c r="L206" s="1"/>
    </row>
    <row r="207" spans="7:12" x14ac:dyDescent="0.25">
      <c r="G207" s="1"/>
      <c r="H207" s="1"/>
      <c r="I207" s="1"/>
      <c r="J207" s="1"/>
      <c r="K207" s="1"/>
      <c r="L207" s="1"/>
    </row>
    <row r="208" spans="7:12" x14ac:dyDescent="0.25">
      <c r="G208" s="1"/>
      <c r="H208" s="1"/>
      <c r="I208" s="1"/>
      <c r="J208" s="1"/>
      <c r="K208" s="1"/>
      <c r="L208" s="1"/>
    </row>
    <row r="209" spans="7:12" x14ac:dyDescent="0.25">
      <c r="G209" s="1"/>
      <c r="H209" s="1"/>
      <c r="I209" s="1"/>
      <c r="J209" s="1"/>
      <c r="K209" s="1"/>
      <c r="L209" s="1"/>
    </row>
    <row r="210" spans="7:12" x14ac:dyDescent="0.25">
      <c r="G210" s="1"/>
      <c r="H210" s="1"/>
      <c r="I210" s="1"/>
      <c r="J210" s="1"/>
      <c r="K210" s="1"/>
      <c r="L210" s="1"/>
    </row>
    <row r="211" spans="7:12" x14ac:dyDescent="0.25">
      <c r="G211" s="1"/>
      <c r="H211" s="1"/>
      <c r="I211" s="1"/>
      <c r="J211" s="1"/>
      <c r="K211" s="1"/>
      <c r="L211" s="1"/>
    </row>
    <row r="212" spans="7:12" x14ac:dyDescent="0.25">
      <c r="G212" s="1"/>
      <c r="H212" s="1"/>
      <c r="I212" s="1"/>
      <c r="J212" s="1"/>
      <c r="K212" s="1"/>
      <c r="L212" s="1"/>
    </row>
    <row r="213" spans="7:12" x14ac:dyDescent="0.25">
      <c r="G213" s="1"/>
      <c r="H213" s="1"/>
      <c r="I213" s="1"/>
      <c r="J213" s="1"/>
      <c r="K213" s="1"/>
      <c r="L213" s="1"/>
    </row>
    <row r="214" spans="7:12" x14ac:dyDescent="0.25">
      <c r="G214" s="1"/>
      <c r="H214" s="1"/>
      <c r="I214" s="1"/>
      <c r="J214" s="1"/>
      <c r="K214" s="1"/>
      <c r="L214" s="1"/>
    </row>
    <row r="215" spans="7:12" x14ac:dyDescent="0.25">
      <c r="G215" s="1"/>
      <c r="H215" s="1"/>
      <c r="I215" s="1"/>
      <c r="J215" s="1"/>
      <c r="K215" s="1"/>
      <c r="L215" s="1"/>
    </row>
    <row r="216" spans="7:12" x14ac:dyDescent="0.25">
      <c r="G216" s="1"/>
      <c r="H216" s="1"/>
      <c r="I216" s="1"/>
      <c r="J216" s="1"/>
      <c r="K216" s="1"/>
      <c r="L216" s="1"/>
    </row>
    <row r="217" spans="7:12" x14ac:dyDescent="0.25">
      <c r="G217" s="1"/>
      <c r="H217" s="1"/>
      <c r="I217" s="1"/>
      <c r="J217" s="1"/>
      <c r="K217" s="1"/>
      <c r="L217" s="1"/>
    </row>
    <row r="218" spans="7:12" x14ac:dyDescent="0.25">
      <c r="G218" s="1"/>
      <c r="H218" s="1"/>
      <c r="I218" s="1"/>
      <c r="J218" s="1"/>
      <c r="K218" s="1"/>
      <c r="L218" s="1"/>
    </row>
    <row r="219" spans="7:12" x14ac:dyDescent="0.25">
      <c r="G219" s="1"/>
      <c r="H219" s="1"/>
      <c r="I219" s="1"/>
      <c r="J219" s="1"/>
      <c r="K219" s="1"/>
      <c r="L219" s="1"/>
    </row>
    <row r="220" spans="7:12" x14ac:dyDescent="0.25">
      <c r="G220" s="1"/>
      <c r="H220" s="1"/>
      <c r="I220" s="1"/>
      <c r="J220" s="1"/>
      <c r="K220" s="1"/>
      <c r="L220" s="1"/>
    </row>
    <row r="221" spans="7:12" x14ac:dyDescent="0.25">
      <c r="G221" s="1"/>
      <c r="H221" s="1"/>
      <c r="I221" s="1"/>
      <c r="J221" s="1"/>
      <c r="K221" s="1"/>
      <c r="L221" s="1"/>
    </row>
    <row r="222" spans="7:12" x14ac:dyDescent="0.25">
      <c r="G222" s="1"/>
      <c r="H222" s="1"/>
      <c r="I222" s="1"/>
      <c r="J222" s="1"/>
      <c r="K222" s="1"/>
      <c r="L222" s="1"/>
    </row>
    <row r="223" spans="7:12" x14ac:dyDescent="0.25">
      <c r="G223" s="1"/>
      <c r="H223" s="1"/>
      <c r="I223" s="1"/>
      <c r="J223" s="1"/>
      <c r="K223" s="1"/>
      <c r="L223" s="1"/>
    </row>
    <row r="224" spans="7:12" x14ac:dyDescent="0.25">
      <c r="G224" s="1"/>
      <c r="H224" s="1"/>
      <c r="I224" s="1"/>
      <c r="J224" s="1"/>
      <c r="K224" s="1"/>
      <c r="L224" s="1"/>
    </row>
    <row r="225" spans="7:12" x14ac:dyDescent="0.25">
      <c r="G225" s="1"/>
      <c r="H225" s="1"/>
      <c r="I225" s="1"/>
      <c r="J225" s="1"/>
      <c r="K225" s="1"/>
      <c r="L225" s="1"/>
    </row>
    <row r="226" spans="7:12" x14ac:dyDescent="0.25">
      <c r="G226" s="1"/>
      <c r="H226" s="1"/>
      <c r="I226" s="1"/>
      <c r="J226" s="1"/>
      <c r="K226" s="1"/>
      <c r="L226" s="1"/>
    </row>
    <row r="227" spans="7:12" x14ac:dyDescent="0.25">
      <c r="G227" s="1"/>
      <c r="H227" s="1"/>
      <c r="I227" s="1"/>
      <c r="J227" s="1"/>
      <c r="K227" s="1"/>
      <c r="L227" s="1"/>
    </row>
    <row r="228" spans="7:12" x14ac:dyDescent="0.25">
      <c r="G228" s="1"/>
      <c r="H228" s="1"/>
      <c r="I228" s="1"/>
      <c r="J228" s="1"/>
      <c r="K228" s="1"/>
      <c r="L228" s="1"/>
    </row>
    <row r="229" spans="7:12" x14ac:dyDescent="0.25">
      <c r="G229" s="1"/>
      <c r="H229" s="1"/>
      <c r="I229" s="1"/>
      <c r="J229" s="1"/>
      <c r="K229" s="1"/>
      <c r="L229" s="1"/>
    </row>
    <row r="230" spans="7:12" x14ac:dyDescent="0.25">
      <c r="G230" s="1"/>
      <c r="H230" s="1"/>
      <c r="I230" s="1"/>
      <c r="J230" s="1"/>
      <c r="K230" s="1"/>
      <c r="L230" s="1"/>
    </row>
    <row r="231" spans="7:12" x14ac:dyDescent="0.25">
      <c r="G231" s="1"/>
      <c r="H231" s="1"/>
      <c r="I231" s="1"/>
      <c r="J231" s="1"/>
      <c r="K231" s="1"/>
      <c r="L231" s="1"/>
    </row>
    <row r="232" spans="7:12" x14ac:dyDescent="0.25">
      <c r="G232" s="1"/>
      <c r="H232" s="1"/>
      <c r="I232" s="1"/>
      <c r="J232" s="1"/>
      <c r="K232" s="1"/>
      <c r="L232" s="1"/>
    </row>
    <row r="233" spans="7:12" x14ac:dyDescent="0.25">
      <c r="G233" s="1"/>
      <c r="H233" s="1"/>
      <c r="I233" s="1"/>
      <c r="J233" s="1"/>
      <c r="K233" s="1"/>
      <c r="L233" s="1"/>
    </row>
    <row r="234" spans="7:12" x14ac:dyDescent="0.25">
      <c r="G234" s="1"/>
      <c r="H234" s="1"/>
      <c r="I234" s="1"/>
      <c r="J234" s="1"/>
      <c r="K234" s="1"/>
      <c r="L234" s="1"/>
    </row>
    <row r="235" spans="7:12" x14ac:dyDescent="0.25">
      <c r="G235" s="1"/>
      <c r="H235" s="1"/>
      <c r="I235" s="1"/>
      <c r="J235" s="1"/>
      <c r="K235" s="1"/>
      <c r="L235" s="1"/>
    </row>
    <row r="236" spans="7:12" x14ac:dyDescent="0.25">
      <c r="G236" s="1"/>
      <c r="H236" s="1"/>
      <c r="I236" s="1"/>
      <c r="J236" s="1"/>
      <c r="K236" s="1"/>
      <c r="L236" s="1"/>
    </row>
    <row r="237" spans="7:12" x14ac:dyDescent="0.25">
      <c r="G237" s="1"/>
      <c r="H237" s="1"/>
      <c r="I237" s="1"/>
      <c r="J237" s="1"/>
      <c r="K237" s="1"/>
      <c r="L237" s="1"/>
    </row>
    <row r="238" spans="7:12" x14ac:dyDescent="0.25">
      <c r="G238" s="1"/>
      <c r="H238" s="1"/>
      <c r="I238" s="1"/>
      <c r="J238" s="1"/>
      <c r="K238" s="1"/>
      <c r="L238" s="1"/>
    </row>
    <row r="239" spans="7:12" x14ac:dyDescent="0.25">
      <c r="G239" s="1"/>
      <c r="H239" s="1"/>
      <c r="I239" s="1"/>
      <c r="J239" s="1"/>
      <c r="K239" s="1"/>
      <c r="L239" s="1"/>
    </row>
    <row r="240" spans="7:12" x14ac:dyDescent="0.25">
      <c r="G240" s="1"/>
      <c r="H240" s="1"/>
      <c r="I240" s="1"/>
      <c r="J240" s="1"/>
      <c r="K240" s="1"/>
      <c r="L240" s="1"/>
    </row>
    <row r="241" spans="7:12" x14ac:dyDescent="0.25">
      <c r="G241" s="1"/>
      <c r="H241" s="1"/>
      <c r="I241" s="1"/>
      <c r="J241" s="1"/>
      <c r="K241" s="1"/>
      <c r="L241" s="1"/>
    </row>
    <row r="242" spans="7:12" x14ac:dyDescent="0.25">
      <c r="G242" s="1"/>
      <c r="H242" s="1"/>
      <c r="I242" s="1"/>
      <c r="J242" s="1"/>
      <c r="K242" s="1"/>
      <c r="L242" s="1"/>
    </row>
    <row r="243" spans="7:12" x14ac:dyDescent="0.25">
      <c r="G243" s="1"/>
      <c r="H243" s="1"/>
      <c r="I243" s="1"/>
      <c r="J243" s="1"/>
      <c r="K243" s="1"/>
      <c r="L243" s="1"/>
    </row>
    <row r="244" spans="7:12" x14ac:dyDescent="0.25">
      <c r="G244" s="1"/>
      <c r="H244" s="1"/>
      <c r="I244" s="1"/>
      <c r="J244" s="1"/>
      <c r="K244" s="1"/>
      <c r="L244" s="1"/>
    </row>
    <row r="245" spans="7:12" x14ac:dyDescent="0.25">
      <c r="G245" s="1"/>
      <c r="H245" s="1"/>
      <c r="I245" s="1"/>
      <c r="J245" s="1"/>
      <c r="K245" s="1"/>
      <c r="L245" s="1"/>
    </row>
    <row r="246" spans="7:12" x14ac:dyDescent="0.25">
      <c r="G246" s="1"/>
      <c r="H246" s="1"/>
      <c r="I246" s="1"/>
      <c r="J246" s="1"/>
      <c r="K246" s="1"/>
      <c r="L246" s="1"/>
    </row>
    <row r="247" spans="7:12" x14ac:dyDescent="0.25">
      <c r="G247" s="1"/>
      <c r="H247" s="1"/>
      <c r="I247" s="1"/>
      <c r="J247" s="1"/>
      <c r="K247" s="1"/>
      <c r="L247" s="1"/>
    </row>
    <row r="248" spans="7:12" x14ac:dyDescent="0.25">
      <c r="G248" s="1"/>
      <c r="H248" s="1"/>
      <c r="I248" s="1"/>
      <c r="J248" s="1"/>
      <c r="K248" s="1"/>
      <c r="L248" s="1"/>
    </row>
    <row r="249" spans="7:12" x14ac:dyDescent="0.25">
      <c r="G249" s="1"/>
      <c r="H249" s="1"/>
      <c r="I249" s="1"/>
      <c r="J249" s="1"/>
      <c r="K249" s="1"/>
      <c r="L249" s="1"/>
    </row>
    <row r="250" spans="7:12" x14ac:dyDescent="0.25">
      <c r="G250" s="1"/>
      <c r="H250" s="1"/>
      <c r="I250" s="1"/>
      <c r="J250" s="1"/>
      <c r="K250" s="1"/>
      <c r="L250" s="1"/>
    </row>
    <row r="251" spans="7:12" x14ac:dyDescent="0.25">
      <c r="G251" s="1"/>
      <c r="H251" s="1"/>
      <c r="I251" s="1"/>
      <c r="J251" s="1"/>
      <c r="K251" s="1"/>
      <c r="L251" s="1"/>
    </row>
    <row r="252" spans="7:12" x14ac:dyDescent="0.25">
      <c r="G252" s="1"/>
      <c r="H252" s="1"/>
      <c r="I252" s="1"/>
      <c r="J252" s="1"/>
      <c r="K252" s="1"/>
      <c r="L252" s="1"/>
    </row>
    <row r="253" spans="7:12" x14ac:dyDescent="0.25">
      <c r="G253" s="1"/>
      <c r="H253" s="1"/>
      <c r="I253" s="1"/>
      <c r="J253" s="1"/>
      <c r="K253" s="1"/>
      <c r="L253" s="1"/>
    </row>
    <row r="254" spans="7:12" x14ac:dyDescent="0.25">
      <c r="G254" s="1"/>
      <c r="H254" s="1"/>
      <c r="I254" s="1"/>
      <c r="J254" s="1"/>
      <c r="K254" s="1"/>
      <c r="L254" s="1"/>
    </row>
    <row r="255" spans="7:12" x14ac:dyDescent="0.25">
      <c r="G255" s="1"/>
      <c r="H255" s="1"/>
      <c r="I255" s="1"/>
      <c r="J255" s="1"/>
      <c r="K255" s="1"/>
      <c r="L255" s="1"/>
    </row>
    <row r="256" spans="7:12" x14ac:dyDescent="0.25">
      <c r="G256" s="1"/>
      <c r="H256" s="1"/>
      <c r="I256" s="1"/>
      <c r="J256" s="1"/>
      <c r="K256" s="1"/>
      <c r="L256" s="1"/>
    </row>
    <row r="257" spans="7:12" x14ac:dyDescent="0.25">
      <c r="G257" s="1"/>
      <c r="H257" s="1"/>
      <c r="I257" s="1"/>
      <c r="J257" s="1"/>
      <c r="K257" s="1"/>
      <c r="L257" s="1"/>
    </row>
    <row r="258" spans="7:12" x14ac:dyDescent="0.25">
      <c r="G258" s="1"/>
      <c r="H258" s="1"/>
      <c r="I258" s="1"/>
      <c r="J258" s="1"/>
      <c r="K258" s="1"/>
      <c r="L258" s="1"/>
    </row>
    <row r="259" spans="7:12" x14ac:dyDescent="0.25">
      <c r="G259" s="1"/>
      <c r="H259" s="1"/>
      <c r="I259" s="1"/>
      <c r="J259" s="1"/>
      <c r="K259" s="1"/>
      <c r="L259" s="1"/>
    </row>
    <row r="260" spans="7:12" x14ac:dyDescent="0.25">
      <c r="G260" s="1"/>
      <c r="H260" s="1"/>
      <c r="I260" s="1"/>
      <c r="J260" s="1"/>
      <c r="K260" s="1"/>
      <c r="L260" s="1"/>
    </row>
    <row r="261" spans="7:12" x14ac:dyDescent="0.25">
      <c r="G261" s="1"/>
      <c r="H261" s="1"/>
      <c r="I261" s="1"/>
      <c r="J261" s="1"/>
      <c r="K261" s="1"/>
      <c r="L261" s="1"/>
    </row>
    <row r="262" spans="7:12" x14ac:dyDescent="0.25">
      <c r="G262" s="1"/>
      <c r="H262" s="1"/>
      <c r="I262" s="1"/>
      <c r="J262" s="1"/>
      <c r="K262" s="1"/>
      <c r="L262" s="1"/>
    </row>
    <row r="263" spans="7:12" x14ac:dyDescent="0.25">
      <c r="G263" s="1"/>
      <c r="H263" s="1"/>
      <c r="I263" s="1"/>
      <c r="J263" s="1"/>
      <c r="K263" s="1"/>
      <c r="L263" s="1"/>
    </row>
    <row r="264" spans="7:12" x14ac:dyDescent="0.25">
      <c r="G264" s="1"/>
      <c r="H264" s="1"/>
      <c r="I264" s="1"/>
      <c r="J264" s="1"/>
      <c r="K264" s="1"/>
      <c r="L264" s="1"/>
    </row>
    <row r="265" spans="7:12" x14ac:dyDescent="0.25">
      <c r="G265" s="1"/>
      <c r="H265" s="1"/>
      <c r="I265" s="1"/>
      <c r="J265" s="1"/>
      <c r="K265" s="1"/>
      <c r="L265" s="1"/>
    </row>
    <row r="266" spans="7:12" x14ac:dyDescent="0.25">
      <c r="G266" s="1"/>
      <c r="H266" s="1"/>
      <c r="I266" s="1"/>
      <c r="J266" s="1"/>
      <c r="K266" s="1"/>
      <c r="L266" s="1"/>
    </row>
    <row r="267" spans="7:12" x14ac:dyDescent="0.25">
      <c r="G267" s="1"/>
      <c r="H267" s="1"/>
      <c r="I267" s="1"/>
      <c r="J267" s="1"/>
      <c r="K267" s="1"/>
      <c r="L267" s="1"/>
    </row>
    <row r="268" spans="7:12" x14ac:dyDescent="0.25">
      <c r="G268" s="1"/>
      <c r="H268" s="1"/>
      <c r="I268" s="1"/>
      <c r="J268" s="1"/>
      <c r="K268" s="1"/>
      <c r="L268" s="1"/>
    </row>
    <row r="269" spans="7:12" x14ac:dyDescent="0.25">
      <c r="G269" s="1"/>
      <c r="H269" s="1"/>
      <c r="I269" s="1"/>
      <c r="J269" s="1"/>
      <c r="K269" s="1"/>
      <c r="L269" s="1"/>
    </row>
    <row r="270" spans="7:12" x14ac:dyDescent="0.25">
      <c r="G270" s="1"/>
      <c r="H270" s="1"/>
      <c r="I270" s="1"/>
      <c r="J270" s="1"/>
      <c r="K270" s="1"/>
      <c r="L270" s="1"/>
    </row>
    <row r="271" spans="7:12" x14ac:dyDescent="0.25">
      <c r="G271" s="1"/>
      <c r="H271" s="1"/>
      <c r="I271" s="1"/>
      <c r="J271" s="1"/>
      <c r="K271" s="1"/>
      <c r="L271" s="1"/>
    </row>
    <row r="272" spans="7:12" x14ac:dyDescent="0.25">
      <c r="G272" s="1"/>
      <c r="H272" s="1"/>
      <c r="I272" s="1"/>
      <c r="J272" s="1"/>
      <c r="K272" s="1"/>
      <c r="L272" s="1"/>
    </row>
    <row r="273" spans="7:12" x14ac:dyDescent="0.25">
      <c r="G273" s="1"/>
      <c r="H273" s="1"/>
      <c r="I273" s="1"/>
      <c r="J273" s="1"/>
      <c r="K273" s="1"/>
      <c r="L273" s="1"/>
    </row>
    <row r="274" spans="7:12" x14ac:dyDescent="0.25">
      <c r="G274" s="1"/>
      <c r="H274" s="1"/>
      <c r="I274" s="1"/>
      <c r="J274" s="1"/>
      <c r="K274" s="1"/>
      <c r="L274" s="1"/>
    </row>
    <row r="275" spans="7:12" x14ac:dyDescent="0.25">
      <c r="G275" s="1"/>
      <c r="H275" s="1"/>
      <c r="I275" s="1"/>
      <c r="J275" s="1"/>
      <c r="K275" s="1"/>
      <c r="L275" s="1"/>
    </row>
    <row r="276" spans="7:12" x14ac:dyDescent="0.25">
      <c r="G276" s="1"/>
      <c r="H276" s="1"/>
      <c r="I276" s="1"/>
      <c r="J276" s="1"/>
      <c r="K276" s="1"/>
      <c r="L276" s="1"/>
    </row>
    <row r="277" spans="7:12" x14ac:dyDescent="0.25">
      <c r="G277" s="1"/>
      <c r="H277" s="1"/>
      <c r="I277" s="1"/>
      <c r="J277" s="1"/>
      <c r="K277" s="1"/>
      <c r="L277" s="1"/>
    </row>
    <row r="278" spans="7:12" x14ac:dyDescent="0.25">
      <c r="G278" s="1"/>
      <c r="H278" s="1"/>
      <c r="I278" s="1"/>
      <c r="J278" s="1"/>
      <c r="K278" s="1"/>
      <c r="L278" s="1"/>
    </row>
    <row r="279" spans="7:12" x14ac:dyDescent="0.25">
      <c r="G279" s="1"/>
      <c r="H279" s="1"/>
      <c r="I279" s="1"/>
      <c r="J279" s="1"/>
      <c r="K279" s="1"/>
      <c r="L279" s="1"/>
    </row>
    <row r="280" spans="7:12" x14ac:dyDescent="0.25">
      <c r="G280" s="1"/>
      <c r="H280" s="1"/>
      <c r="I280" s="1"/>
      <c r="J280" s="1"/>
      <c r="K280" s="1"/>
      <c r="L280" s="1"/>
    </row>
    <row r="281" spans="7:12" x14ac:dyDescent="0.25">
      <c r="G281" s="1"/>
      <c r="H281" s="1"/>
      <c r="I281" s="1"/>
      <c r="J281" s="1"/>
      <c r="K281" s="1"/>
      <c r="L281" s="1"/>
    </row>
    <row r="282" spans="7:12" x14ac:dyDescent="0.25">
      <c r="G282" s="1"/>
      <c r="H282" s="1"/>
      <c r="I282" s="1"/>
      <c r="J282" s="1"/>
      <c r="K282" s="1"/>
      <c r="L282" s="1"/>
    </row>
    <row r="283" spans="7:12" x14ac:dyDescent="0.25">
      <c r="G283" s="1"/>
      <c r="H283" s="1"/>
      <c r="I283" s="1"/>
      <c r="J283" s="1"/>
      <c r="K283" s="1"/>
      <c r="L283" s="1"/>
    </row>
    <row r="284" spans="7:12" x14ac:dyDescent="0.25">
      <c r="G284" s="1"/>
      <c r="H284" s="1"/>
      <c r="I284" s="1"/>
      <c r="J284" s="1"/>
      <c r="K284" s="1"/>
      <c r="L284" s="1"/>
    </row>
    <row r="285" spans="7:12" x14ac:dyDescent="0.25">
      <c r="G285" s="1"/>
      <c r="H285" s="1"/>
      <c r="I285" s="1"/>
      <c r="J285" s="1"/>
      <c r="K285" s="1"/>
      <c r="L285" s="1"/>
    </row>
    <row r="286" spans="7:12" x14ac:dyDescent="0.25">
      <c r="G286" s="1"/>
      <c r="H286" s="1"/>
      <c r="I286" s="1"/>
      <c r="J286" s="1"/>
      <c r="K286" s="1"/>
      <c r="L286" s="1"/>
    </row>
    <row r="287" spans="7:12" x14ac:dyDescent="0.25">
      <c r="G287" s="1"/>
      <c r="H287" s="1"/>
      <c r="I287" s="1"/>
      <c r="J287" s="1"/>
      <c r="K287" s="1"/>
      <c r="L287" s="1"/>
    </row>
    <row r="288" spans="7:12" x14ac:dyDescent="0.25">
      <c r="G288" s="1"/>
      <c r="H288" s="1"/>
      <c r="I288" s="1"/>
      <c r="J288" s="1"/>
      <c r="K288" s="1"/>
      <c r="L288" s="1"/>
    </row>
    <row r="289" spans="7:12" x14ac:dyDescent="0.25">
      <c r="G289" s="1"/>
      <c r="H289" s="1"/>
      <c r="I289" s="1"/>
      <c r="J289" s="1"/>
      <c r="K289" s="1"/>
      <c r="L289" s="1"/>
    </row>
    <row r="290" spans="7:12" x14ac:dyDescent="0.25">
      <c r="G290" s="1"/>
      <c r="H290" s="1"/>
      <c r="I290" s="1"/>
      <c r="J290" s="1"/>
      <c r="K290" s="1"/>
      <c r="L290" s="1"/>
    </row>
    <row r="291" spans="7:12" x14ac:dyDescent="0.25">
      <c r="G291" s="1"/>
      <c r="H291" s="1"/>
      <c r="I291" s="1"/>
      <c r="J291" s="1"/>
      <c r="K291" s="1"/>
      <c r="L291" s="1"/>
    </row>
    <row r="292" spans="7:12" x14ac:dyDescent="0.25">
      <c r="G292" s="1"/>
      <c r="H292" s="1"/>
      <c r="I292" s="1"/>
      <c r="J292" s="1"/>
      <c r="K292" s="1"/>
      <c r="L292" s="1"/>
    </row>
    <row r="293" spans="7:12" x14ac:dyDescent="0.25">
      <c r="G293" s="1"/>
      <c r="H293" s="1"/>
      <c r="I293" s="1"/>
      <c r="J293" s="1"/>
      <c r="K293" s="1"/>
      <c r="L293" s="1"/>
    </row>
    <row r="294" spans="7:12" x14ac:dyDescent="0.25">
      <c r="G294" s="1"/>
      <c r="H294" s="1"/>
      <c r="I294" s="1"/>
      <c r="J294" s="1"/>
      <c r="K294" s="1"/>
      <c r="L294" s="1"/>
    </row>
    <row r="295" spans="7:12" x14ac:dyDescent="0.25">
      <c r="G295" s="1"/>
      <c r="H295" s="1"/>
      <c r="I295" s="1"/>
      <c r="J295" s="1"/>
      <c r="K295" s="1"/>
      <c r="L295" s="1"/>
    </row>
    <row r="296" spans="7:12" x14ac:dyDescent="0.25">
      <c r="G296" s="1"/>
      <c r="H296" s="1"/>
      <c r="I296" s="1"/>
      <c r="J296" s="1"/>
      <c r="K296" s="1"/>
      <c r="L296" s="1"/>
    </row>
    <row r="297" spans="7:12" x14ac:dyDescent="0.25">
      <c r="G297" s="1"/>
      <c r="H297" s="1"/>
      <c r="I297" s="1"/>
      <c r="J297" s="1"/>
      <c r="K297" s="1"/>
      <c r="L297" s="1"/>
    </row>
    <row r="298" spans="7:12" x14ac:dyDescent="0.25">
      <c r="G298" s="1"/>
      <c r="H298" s="1"/>
      <c r="I298" s="1"/>
      <c r="J298" s="1"/>
      <c r="K298" s="1"/>
      <c r="L298" s="1"/>
    </row>
    <row r="299" spans="7:12" x14ac:dyDescent="0.25">
      <c r="G299" s="1"/>
      <c r="H299" s="1"/>
      <c r="I299" s="1"/>
      <c r="J299" s="1"/>
      <c r="K299" s="1"/>
      <c r="L299" s="1"/>
    </row>
    <row r="300" spans="7:12" x14ac:dyDescent="0.25">
      <c r="G300" s="1"/>
      <c r="H300" s="1"/>
      <c r="I300" s="1"/>
      <c r="J300" s="1"/>
      <c r="K300" s="1"/>
      <c r="L300" s="1"/>
    </row>
    <row r="301" spans="7:12" x14ac:dyDescent="0.25">
      <c r="G301" s="1"/>
      <c r="H301" s="1"/>
      <c r="I301" s="1"/>
      <c r="J301" s="1"/>
      <c r="K301" s="1"/>
      <c r="L301" s="1"/>
    </row>
    <row r="302" spans="7:12" x14ac:dyDescent="0.25">
      <c r="G302" s="1"/>
      <c r="H302" s="1"/>
      <c r="I302" s="1"/>
      <c r="J302" s="1"/>
      <c r="K302" s="1"/>
      <c r="L302" s="1"/>
    </row>
    <row r="303" spans="7:12" x14ac:dyDescent="0.25">
      <c r="G303" s="1"/>
      <c r="H303" s="1"/>
      <c r="I303" s="1"/>
      <c r="J303" s="1"/>
      <c r="K303" s="1"/>
      <c r="L303" s="1"/>
    </row>
    <row r="304" spans="7:12" x14ac:dyDescent="0.25">
      <c r="G304" s="1"/>
      <c r="H304" s="1"/>
      <c r="I304" s="1"/>
      <c r="J304" s="1"/>
      <c r="K304" s="1"/>
      <c r="L304" s="1"/>
    </row>
    <row r="305" spans="7:12" x14ac:dyDescent="0.25">
      <c r="G305" s="1"/>
      <c r="H305" s="1"/>
      <c r="I305" s="1"/>
      <c r="J305" s="1"/>
      <c r="K305" s="1"/>
      <c r="L305" s="1"/>
    </row>
    <row r="306" spans="7:12" x14ac:dyDescent="0.25">
      <c r="G306" s="1"/>
      <c r="H306" s="1"/>
      <c r="I306" s="1"/>
      <c r="J306" s="1"/>
      <c r="K306" s="1"/>
      <c r="L306" s="1"/>
    </row>
    <row r="307" spans="7:12" x14ac:dyDescent="0.25">
      <c r="G307" s="1"/>
      <c r="H307" s="1"/>
      <c r="I307" s="1"/>
      <c r="J307" s="1"/>
      <c r="K307" s="1"/>
      <c r="L307" s="1"/>
    </row>
    <row r="308" spans="7:12" x14ac:dyDescent="0.25">
      <c r="G308" s="1"/>
      <c r="H308" s="1"/>
      <c r="I308" s="1"/>
      <c r="J308" s="1"/>
      <c r="K308" s="1"/>
      <c r="L308" s="1"/>
    </row>
    <row r="309" spans="7:12" x14ac:dyDescent="0.25">
      <c r="G309" s="1"/>
      <c r="H309" s="1"/>
      <c r="I309" s="1"/>
      <c r="J309" s="1"/>
      <c r="K309" s="1"/>
      <c r="L309" s="1"/>
    </row>
    <row r="310" spans="7:12" x14ac:dyDescent="0.25">
      <c r="G310" s="1"/>
      <c r="H310" s="1"/>
      <c r="I310" s="1"/>
      <c r="J310" s="1"/>
      <c r="K310" s="1"/>
      <c r="L310" s="1"/>
    </row>
    <row r="311" spans="7:12" x14ac:dyDescent="0.25">
      <c r="G311" s="1"/>
      <c r="H311" s="1"/>
      <c r="I311" s="1"/>
      <c r="J311" s="1"/>
      <c r="K311" s="1"/>
      <c r="L311" s="1"/>
    </row>
    <row r="312" spans="7:12" x14ac:dyDescent="0.25">
      <c r="G312" s="1"/>
      <c r="H312" s="1"/>
      <c r="I312" s="1"/>
      <c r="J312" s="1"/>
      <c r="K312" s="1"/>
      <c r="L312" s="1"/>
    </row>
    <row r="313" spans="7:12" x14ac:dyDescent="0.25">
      <c r="G313" s="1"/>
      <c r="H313" s="1"/>
      <c r="I313" s="1"/>
      <c r="J313" s="1"/>
      <c r="K313" s="1"/>
      <c r="L313" s="1"/>
    </row>
    <row r="314" spans="7:12" x14ac:dyDescent="0.25">
      <c r="G314" s="1"/>
      <c r="H314" s="1"/>
      <c r="I314" s="1"/>
      <c r="J314" s="1"/>
      <c r="K314" s="1"/>
      <c r="L314" s="1"/>
    </row>
    <row r="315" spans="7:12" x14ac:dyDescent="0.25">
      <c r="G315" s="1"/>
      <c r="H315" s="1"/>
      <c r="I315" s="1"/>
      <c r="J315" s="1"/>
      <c r="K315" s="1"/>
      <c r="L315" s="1"/>
    </row>
    <row r="316" spans="7:12" x14ac:dyDescent="0.25">
      <c r="G316" s="1"/>
      <c r="H316" s="1"/>
      <c r="I316" s="1"/>
      <c r="J316" s="1"/>
      <c r="K316" s="1"/>
      <c r="L316" s="1"/>
    </row>
    <row r="317" spans="7:12" x14ac:dyDescent="0.25">
      <c r="G317" s="1"/>
      <c r="H317" s="1"/>
      <c r="I317" s="1"/>
      <c r="J317" s="1"/>
      <c r="K317" s="1"/>
      <c r="L317" s="1"/>
    </row>
    <row r="318" spans="7:12" x14ac:dyDescent="0.25">
      <c r="G318" s="1"/>
      <c r="H318" s="1"/>
      <c r="I318" s="1"/>
      <c r="J318" s="1"/>
      <c r="K318" s="1"/>
      <c r="L318" s="1"/>
    </row>
    <row r="319" spans="7:12" x14ac:dyDescent="0.25">
      <c r="G319" s="1"/>
      <c r="H319" s="1"/>
      <c r="I319" s="1"/>
      <c r="J319" s="1"/>
      <c r="K319" s="1"/>
      <c r="L319" s="1"/>
    </row>
    <row r="320" spans="7:12" x14ac:dyDescent="0.25">
      <c r="G320" s="1"/>
      <c r="H320" s="1"/>
      <c r="I320" s="1"/>
      <c r="J320" s="1"/>
      <c r="K320" s="1"/>
      <c r="L320" s="1"/>
    </row>
    <row r="321" spans="7:12" x14ac:dyDescent="0.25">
      <c r="G321" s="1"/>
      <c r="H321" s="1"/>
      <c r="I321" s="1"/>
      <c r="J321" s="1"/>
      <c r="K321" s="1"/>
      <c r="L321" s="1"/>
    </row>
    <row r="322" spans="7:12" x14ac:dyDescent="0.25">
      <c r="G322" s="1"/>
      <c r="H322" s="1"/>
      <c r="I322" s="1"/>
      <c r="J322" s="1"/>
      <c r="K322" s="1"/>
      <c r="L322" s="1"/>
    </row>
    <row r="323" spans="7:12" x14ac:dyDescent="0.25">
      <c r="G323" s="1"/>
      <c r="H323" s="1"/>
      <c r="I323" s="1"/>
      <c r="J323" s="1"/>
      <c r="K323" s="1"/>
      <c r="L323" s="1"/>
    </row>
    <row r="324" spans="7:12" x14ac:dyDescent="0.25">
      <c r="G324" s="1"/>
      <c r="H324" s="1"/>
      <c r="I324" s="1"/>
      <c r="J324" s="1"/>
      <c r="K324" s="1"/>
      <c r="L324" s="1"/>
    </row>
    <row r="325" spans="7:12" x14ac:dyDescent="0.25">
      <c r="G325" s="1"/>
      <c r="H325" s="1"/>
      <c r="I325" s="1"/>
      <c r="J325" s="1"/>
      <c r="K325" s="1"/>
      <c r="L325" s="1"/>
    </row>
    <row r="326" spans="7:12" x14ac:dyDescent="0.25">
      <c r="G326" s="1"/>
      <c r="H326" s="1"/>
      <c r="I326" s="1"/>
      <c r="J326" s="1"/>
      <c r="K326" s="1"/>
      <c r="L326" s="1"/>
    </row>
    <row r="327" spans="7:12" x14ac:dyDescent="0.25">
      <c r="G327" s="1"/>
      <c r="H327" s="1"/>
      <c r="I327" s="1"/>
      <c r="J327" s="1"/>
      <c r="K327" s="1"/>
      <c r="L327" s="1"/>
    </row>
    <row r="328" spans="7:12" x14ac:dyDescent="0.25">
      <c r="G328" s="1"/>
      <c r="H328" s="1"/>
      <c r="I328" s="1"/>
      <c r="J328" s="1"/>
      <c r="K328" s="1"/>
      <c r="L328" s="1"/>
    </row>
    <row r="329" spans="7:12" x14ac:dyDescent="0.25">
      <c r="G329" s="1"/>
      <c r="H329" s="1"/>
      <c r="I329" s="1"/>
      <c r="J329" s="1"/>
      <c r="K329" s="1"/>
      <c r="L329" s="1"/>
    </row>
    <row r="330" spans="7:12" x14ac:dyDescent="0.25">
      <c r="G330" s="1"/>
      <c r="H330" s="1"/>
      <c r="I330" s="1"/>
      <c r="J330" s="1"/>
      <c r="K330" s="1"/>
      <c r="L330" s="1"/>
    </row>
    <row r="331" spans="7:12" x14ac:dyDescent="0.25">
      <c r="G331" s="1"/>
      <c r="H331" s="1"/>
      <c r="I331" s="1"/>
      <c r="J331" s="1"/>
      <c r="K331" s="1"/>
      <c r="L331" s="1"/>
    </row>
    <row r="332" spans="7:12" x14ac:dyDescent="0.25">
      <c r="G332" s="1"/>
      <c r="H332" s="1"/>
      <c r="I332" s="1"/>
      <c r="J332" s="1"/>
      <c r="K332" s="1"/>
      <c r="L332" s="1"/>
    </row>
    <row r="333" spans="7:12" x14ac:dyDescent="0.25">
      <c r="G333" s="1"/>
      <c r="H333" s="1"/>
      <c r="I333" s="1"/>
      <c r="J333" s="1"/>
      <c r="K333" s="1"/>
      <c r="L333" s="1"/>
    </row>
    <row r="334" spans="7:12" x14ac:dyDescent="0.25">
      <c r="G334" s="1"/>
      <c r="H334" s="1"/>
      <c r="I334" s="1"/>
      <c r="J334" s="1"/>
      <c r="K334" s="1"/>
      <c r="L334" s="1"/>
    </row>
    <row r="335" spans="7:12" x14ac:dyDescent="0.25">
      <c r="G335" s="1"/>
      <c r="H335" s="1"/>
      <c r="I335" s="1"/>
      <c r="J335" s="1"/>
      <c r="K335" s="1"/>
      <c r="L335" s="1"/>
    </row>
    <row r="336" spans="7:12" x14ac:dyDescent="0.25">
      <c r="G336" s="1"/>
      <c r="H336" s="1"/>
      <c r="I336" s="1"/>
      <c r="J336" s="1"/>
      <c r="K336" s="1"/>
      <c r="L336" s="1"/>
    </row>
    <row r="337" spans="7:12" x14ac:dyDescent="0.25">
      <c r="G337" s="1"/>
      <c r="H337" s="1"/>
      <c r="I337" s="1"/>
      <c r="J337" s="1"/>
      <c r="K337" s="1"/>
      <c r="L337" s="1"/>
    </row>
    <row r="338" spans="7:12" x14ac:dyDescent="0.25">
      <c r="G338" s="1"/>
      <c r="H338" s="1"/>
      <c r="I338" s="1"/>
      <c r="J338" s="1"/>
      <c r="K338" s="1"/>
      <c r="L338" s="1"/>
    </row>
    <row r="339" spans="7:12" x14ac:dyDescent="0.25">
      <c r="G339" s="1"/>
      <c r="H339" s="1"/>
      <c r="I339" s="1"/>
      <c r="J339" s="1"/>
      <c r="K339" s="1"/>
      <c r="L339" s="1"/>
    </row>
    <row r="340" spans="7:12" x14ac:dyDescent="0.25">
      <c r="G340" s="1"/>
      <c r="H340" s="1"/>
      <c r="I340" s="1"/>
      <c r="J340" s="1"/>
      <c r="K340" s="1"/>
      <c r="L340" s="1"/>
    </row>
    <row r="341" spans="7:12" x14ac:dyDescent="0.25">
      <c r="G341" s="1"/>
      <c r="H341" s="1"/>
      <c r="I341" s="1"/>
      <c r="J341" s="1"/>
      <c r="K341" s="1"/>
      <c r="L341" s="1"/>
    </row>
    <row r="342" spans="7:12" x14ac:dyDescent="0.25">
      <c r="G342" s="1"/>
      <c r="H342" s="1"/>
      <c r="I342" s="1"/>
      <c r="J342" s="1"/>
      <c r="K342" s="1"/>
      <c r="L342" s="1"/>
    </row>
    <row r="343" spans="7:12" x14ac:dyDescent="0.25">
      <c r="G343" s="1"/>
      <c r="H343" s="1"/>
      <c r="I343" s="1"/>
      <c r="J343" s="1"/>
      <c r="K343" s="1"/>
      <c r="L343" s="1"/>
    </row>
    <row r="344" spans="7:12" x14ac:dyDescent="0.25">
      <c r="G344" s="1"/>
      <c r="H344" s="1"/>
      <c r="I344" s="1"/>
      <c r="J344" s="1"/>
      <c r="K344" s="1"/>
      <c r="L344" s="1"/>
    </row>
    <row r="345" spans="7:12" x14ac:dyDescent="0.25">
      <c r="G345" s="1"/>
      <c r="H345" s="1"/>
      <c r="I345" s="1"/>
      <c r="J345" s="1"/>
      <c r="K345" s="1"/>
      <c r="L345" s="1"/>
    </row>
    <row r="346" spans="7:12" x14ac:dyDescent="0.25">
      <c r="G346" s="1"/>
      <c r="H346" s="1"/>
      <c r="I346" s="1"/>
      <c r="J346" s="1"/>
      <c r="K346" s="1"/>
      <c r="L346" s="1"/>
    </row>
    <row r="347" spans="7:12" x14ac:dyDescent="0.25">
      <c r="G347" s="1"/>
      <c r="H347" s="1"/>
      <c r="I347" s="1"/>
      <c r="J347" s="1"/>
      <c r="K347" s="1"/>
      <c r="L347" s="1"/>
    </row>
    <row r="348" spans="7:12" x14ac:dyDescent="0.25">
      <c r="G348" s="1"/>
      <c r="H348" s="1"/>
      <c r="I348" s="1"/>
      <c r="J348" s="1"/>
      <c r="K348" s="1"/>
      <c r="L348" s="1"/>
    </row>
    <row r="349" spans="7:12" x14ac:dyDescent="0.25">
      <c r="G349" s="1"/>
      <c r="H349" s="1"/>
      <c r="I349" s="1"/>
      <c r="J349" s="1"/>
      <c r="K349" s="1"/>
      <c r="L349" s="1"/>
    </row>
    <row r="350" spans="7:12" x14ac:dyDescent="0.25">
      <c r="G350" s="1"/>
      <c r="H350" s="1"/>
      <c r="I350" s="1"/>
      <c r="J350" s="1"/>
      <c r="K350" s="1"/>
      <c r="L350" s="1"/>
    </row>
    <row r="351" spans="7:12" x14ac:dyDescent="0.25">
      <c r="G351" s="1"/>
      <c r="H351" s="1"/>
      <c r="I351" s="1"/>
      <c r="J351" s="1"/>
      <c r="K351" s="1"/>
      <c r="L351" s="1"/>
    </row>
    <row r="352" spans="7:12" x14ac:dyDescent="0.25">
      <c r="G352" s="1"/>
      <c r="H352" s="1"/>
      <c r="I352" s="1"/>
      <c r="J352" s="1"/>
      <c r="K352" s="1"/>
      <c r="L352" s="1"/>
    </row>
    <row r="353" spans="7:12" x14ac:dyDescent="0.25">
      <c r="G353" s="1"/>
      <c r="H353" s="1"/>
      <c r="I353" s="1"/>
      <c r="J353" s="1"/>
      <c r="K353" s="1"/>
      <c r="L353" s="1"/>
    </row>
    <row r="354" spans="7:12" x14ac:dyDescent="0.25">
      <c r="G354" s="1"/>
      <c r="H354" s="1"/>
      <c r="I354" s="1"/>
      <c r="J354" s="1"/>
      <c r="K354" s="1"/>
      <c r="L354" s="1"/>
    </row>
    <row r="355" spans="7:12" x14ac:dyDescent="0.25">
      <c r="G355" s="1"/>
      <c r="H355" s="1"/>
      <c r="I355" s="1"/>
      <c r="J355" s="1"/>
      <c r="K355" s="1"/>
      <c r="L355" s="1"/>
    </row>
    <row r="356" spans="7:12" x14ac:dyDescent="0.25">
      <c r="G356" s="1"/>
      <c r="H356" s="1"/>
      <c r="I356" s="1"/>
      <c r="J356" s="1"/>
      <c r="K356" s="1"/>
      <c r="L356" s="1"/>
    </row>
    <row r="357" spans="7:12" x14ac:dyDescent="0.25">
      <c r="G357" s="1"/>
      <c r="H357" s="1"/>
      <c r="I357" s="1"/>
      <c r="J357" s="1"/>
      <c r="K357" s="1"/>
      <c r="L357" s="1"/>
    </row>
    <row r="358" spans="7:12" x14ac:dyDescent="0.25">
      <c r="G358" s="1"/>
      <c r="H358" s="1"/>
      <c r="I358" s="1"/>
      <c r="J358" s="1"/>
      <c r="K358" s="1"/>
      <c r="L358" s="1"/>
    </row>
    <row r="359" spans="7:12" x14ac:dyDescent="0.25">
      <c r="G359" s="1"/>
      <c r="H359" s="1"/>
      <c r="I359" s="1"/>
      <c r="J359" s="1"/>
      <c r="K359" s="1"/>
      <c r="L359" s="1"/>
    </row>
    <row r="360" spans="7:12" x14ac:dyDescent="0.25">
      <c r="G360" s="1"/>
      <c r="H360" s="1"/>
      <c r="I360" s="1"/>
      <c r="J360" s="1"/>
      <c r="K360" s="1"/>
      <c r="L360" s="1"/>
    </row>
    <row r="361" spans="7:12" x14ac:dyDescent="0.25">
      <c r="G361" s="1"/>
      <c r="H361" s="1"/>
      <c r="I361" s="1"/>
      <c r="J361" s="1"/>
      <c r="K361" s="1"/>
      <c r="L361" s="1"/>
    </row>
    <row r="362" spans="7:12" x14ac:dyDescent="0.25">
      <c r="G362" s="1"/>
      <c r="H362" s="1"/>
      <c r="I362" s="1"/>
      <c r="J362" s="1"/>
      <c r="K362" s="1"/>
      <c r="L362" s="1"/>
    </row>
    <row r="363" spans="7:12" x14ac:dyDescent="0.25">
      <c r="G363" s="1"/>
      <c r="H363" s="1"/>
      <c r="I363" s="1"/>
      <c r="J363" s="1"/>
      <c r="K363" s="1"/>
      <c r="L363" s="1"/>
    </row>
    <row r="364" spans="7:12" x14ac:dyDescent="0.25">
      <c r="G364" s="1"/>
      <c r="H364" s="1"/>
      <c r="I364" s="1"/>
      <c r="J364" s="1"/>
      <c r="K364" s="1"/>
      <c r="L364" s="1"/>
    </row>
    <row r="365" spans="7:12" x14ac:dyDescent="0.25">
      <c r="G365" s="1"/>
      <c r="H365" s="1"/>
      <c r="I365" s="1"/>
      <c r="J365" s="1"/>
      <c r="K365" s="1"/>
      <c r="L365" s="1"/>
    </row>
    <row r="366" spans="7:12" x14ac:dyDescent="0.25">
      <c r="G366" s="1"/>
      <c r="H366" s="1"/>
      <c r="I366" s="1"/>
      <c r="J366" s="1"/>
      <c r="K366" s="1"/>
      <c r="L366" s="1"/>
    </row>
    <row r="367" spans="7:12" x14ac:dyDescent="0.25">
      <c r="G367" s="1"/>
      <c r="H367" s="1"/>
      <c r="I367" s="1"/>
      <c r="J367" s="1"/>
      <c r="K367" s="1"/>
      <c r="L367" s="1"/>
    </row>
    <row r="368" spans="7:12" x14ac:dyDescent="0.25">
      <c r="G368" s="1"/>
      <c r="H368" s="1"/>
      <c r="I368" s="1"/>
      <c r="J368" s="1"/>
      <c r="K368" s="1"/>
      <c r="L368" s="1"/>
    </row>
    <row r="369" spans="7:12" x14ac:dyDescent="0.25">
      <c r="G369" s="1"/>
      <c r="H369" s="1"/>
      <c r="I369" s="1"/>
      <c r="J369" s="1"/>
      <c r="K369" s="1"/>
      <c r="L369" s="1"/>
    </row>
    <row r="370" spans="7:12" x14ac:dyDescent="0.25">
      <c r="G370" s="1"/>
      <c r="H370" s="1"/>
      <c r="I370" s="1"/>
      <c r="J370" s="1"/>
      <c r="K370" s="1"/>
      <c r="L370" s="1"/>
    </row>
    <row r="371" spans="7:12" x14ac:dyDescent="0.25">
      <c r="G371" s="1"/>
      <c r="H371" s="1"/>
      <c r="I371" s="1"/>
      <c r="J371" s="1"/>
      <c r="K371" s="1"/>
      <c r="L371" s="1"/>
    </row>
    <row r="372" spans="7:12" x14ac:dyDescent="0.25">
      <c r="G372" s="1"/>
      <c r="H372" s="1"/>
      <c r="I372" s="1"/>
      <c r="J372" s="1"/>
      <c r="K372" s="1"/>
      <c r="L372" s="1"/>
    </row>
    <row r="373" spans="7:12" x14ac:dyDescent="0.25">
      <c r="G373" s="1"/>
      <c r="H373" s="1"/>
      <c r="I373" s="1"/>
      <c r="J373" s="1"/>
      <c r="K373" s="1"/>
      <c r="L373" s="1"/>
    </row>
    <row r="374" spans="7:12" x14ac:dyDescent="0.25">
      <c r="G374" s="1"/>
      <c r="H374" s="1"/>
      <c r="I374" s="1"/>
      <c r="J374" s="1"/>
      <c r="K374" s="1"/>
      <c r="L374" s="1"/>
    </row>
    <row r="375" spans="7:12" x14ac:dyDescent="0.25">
      <c r="G375" s="1"/>
      <c r="H375" s="1"/>
      <c r="I375" s="1"/>
      <c r="J375" s="1"/>
      <c r="K375" s="1"/>
      <c r="L375" s="1"/>
    </row>
    <row r="376" spans="7:12" x14ac:dyDescent="0.25">
      <c r="G376" s="1"/>
      <c r="H376" s="1"/>
      <c r="I376" s="1"/>
      <c r="J376" s="1"/>
      <c r="K376" s="1"/>
      <c r="L376" s="1"/>
    </row>
    <row r="377" spans="7:12" x14ac:dyDescent="0.25">
      <c r="G377" s="1"/>
      <c r="H377" s="1"/>
      <c r="I377" s="1"/>
      <c r="J377" s="1"/>
      <c r="K377" s="1"/>
      <c r="L377" s="1"/>
    </row>
    <row r="378" spans="7:12" x14ac:dyDescent="0.25">
      <c r="G378" s="1"/>
      <c r="H378" s="1"/>
      <c r="I378" s="1"/>
      <c r="J378" s="1"/>
      <c r="K378" s="1"/>
      <c r="L378" s="1"/>
    </row>
    <row r="379" spans="7:12" x14ac:dyDescent="0.25">
      <c r="G379" s="1"/>
      <c r="H379" s="1"/>
      <c r="I379" s="1"/>
      <c r="J379" s="1"/>
      <c r="K379" s="1"/>
      <c r="L379" s="1"/>
    </row>
    <row r="380" spans="7:12" x14ac:dyDescent="0.25">
      <c r="G380" s="1"/>
      <c r="H380" s="1"/>
      <c r="I380" s="1"/>
      <c r="J380" s="1"/>
      <c r="K380" s="1"/>
      <c r="L380" s="1"/>
    </row>
    <row r="381" spans="7:12" x14ac:dyDescent="0.25">
      <c r="G381" s="1"/>
      <c r="H381" s="1"/>
      <c r="I381" s="1"/>
      <c r="J381" s="1"/>
      <c r="K381" s="1"/>
      <c r="L381" s="1"/>
    </row>
    <row r="382" spans="7:12" x14ac:dyDescent="0.25">
      <c r="G382" s="1"/>
      <c r="H382" s="1"/>
      <c r="I382" s="1"/>
      <c r="J382" s="1"/>
      <c r="K382" s="1"/>
      <c r="L382" s="1"/>
    </row>
    <row r="383" spans="7:12" x14ac:dyDescent="0.25">
      <c r="G383" s="1"/>
      <c r="H383" s="1"/>
      <c r="I383" s="1"/>
      <c r="J383" s="1"/>
      <c r="K383" s="1"/>
      <c r="L383" s="1"/>
    </row>
    <row r="384" spans="7:12" x14ac:dyDescent="0.25">
      <c r="G384" s="1"/>
      <c r="H384" s="1"/>
      <c r="I384" s="1"/>
      <c r="J384" s="1"/>
      <c r="K384" s="1"/>
      <c r="L384" s="1"/>
    </row>
    <row r="385" spans="7:12" x14ac:dyDescent="0.25">
      <c r="G385" s="1"/>
      <c r="H385" s="1"/>
      <c r="I385" s="1"/>
      <c r="J385" s="1"/>
      <c r="K385" s="1"/>
      <c r="L385" s="1"/>
    </row>
    <row r="386" spans="7:12" x14ac:dyDescent="0.25">
      <c r="G386" s="1"/>
      <c r="H386" s="1"/>
      <c r="I386" s="1"/>
      <c r="J386" s="1"/>
      <c r="K386" s="1"/>
      <c r="L386" s="1"/>
    </row>
    <row r="387" spans="7:12" x14ac:dyDescent="0.25">
      <c r="G387" s="1"/>
      <c r="H387" s="1"/>
      <c r="I387" s="1"/>
      <c r="J387" s="1"/>
      <c r="K387" s="1"/>
      <c r="L387" s="1"/>
    </row>
    <row r="388" spans="7:12" x14ac:dyDescent="0.25">
      <c r="G388" s="1"/>
      <c r="H388" s="1"/>
      <c r="I388" s="1"/>
      <c r="J388" s="1"/>
      <c r="K388" s="1"/>
      <c r="L388" s="1"/>
    </row>
    <row r="389" spans="7:12" x14ac:dyDescent="0.25">
      <c r="G389" s="1"/>
      <c r="H389" s="1"/>
      <c r="I389" s="1"/>
      <c r="J389" s="1"/>
      <c r="K389" s="1"/>
      <c r="L389" s="1"/>
    </row>
    <row r="390" spans="7:12" x14ac:dyDescent="0.25">
      <c r="G390" s="1"/>
      <c r="H390" s="1"/>
      <c r="I390" s="1"/>
      <c r="J390" s="1"/>
      <c r="K390" s="1"/>
      <c r="L390" s="1"/>
    </row>
    <row r="391" spans="7:12" x14ac:dyDescent="0.25">
      <c r="G391" s="1"/>
      <c r="H391" s="1"/>
      <c r="I391" s="1"/>
      <c r="J391" s="1"/>
      <c r="K391" s="1"/>
      <c r="L391" s="1"/>
    </row>
    <row r="392" spans="7:12" x14ac:dyDescent="0.25">
      <c r="G392" s="1"/>
      <c r="H392" s="1"/>
      <c r="I392" s="1"/>
      <c r="J392" s="1"/>
      <c r="K392" s="1"/>
      <c r="L392" s="1"/>
    </row>
    <row r="393" spans="7:12" x14ac:dyDescent="0.25">
      <c r="G393" s="1"/>
      <c r="H393" s="1"/>
      <c r="I393" s="1"/>
      <c r="J393" s="1"/>
      <c r="K393" s="1"/>
      <c r="L393" s="1"/>
    </row>
    <row r="394" spans="7:12" x14ac:dyDescent="0.25">
      <c r="G394" s="1"/>
      <c r="H394" s="1"/>
      <c r="I394" s="1"/>
      <c r="J394" s="1"/>
      <c r="K394" s="1"/>
      <c r="L394" s="1"/>
    </row>
    <row r="395" spans="7:12" x14ac:dyDescent="0.25">
      <c r="G395" s="1"/>
      <c r="H395" s="1"/>
      <c r="I395" s="1"/>
      <c r="J395" s="1"/>
      <c r="K395" s="1"/>
      <c r="L395" s="1"/>
    </row>
    <row r="396" spans="7:12" x14ac:dyDescent="0.25">
      <c r="G396" s="1"/>
      <c r="H396" s="1"/>
      <c r="I396" s="1"/>
      <c r="J396" s="1"/>
      <c r="K396" s="1"/>
      <c r="L396" s="1"/>
    </row>
    <row r="397" spans="7:12" x14ac:dyDescent="0.25">
      <c r="G397" s="1"/>
      <c r="H397" s="1"/>
      <c r="I397" s="1"/>
      <c r="J397" s="1"/>
      <c r="K397" s="1"/>
      <c r="L397" s="1"/>
    </row>
    <row r="398" spans="7:12" x14ac:dyDescent="0.25">
      <c r="G398" s="1"/>
      <c r="H398" s="1"/>
      <c r="I398" s="1"/>
      <c r="J398" s="1"/>
      <c r="K398" s="1"/>
      <c r="L398" s="1"/>
    </row>
    <row r="399" spans="7:12" x14ac:dyDescent="0.25">
      <c r="G399" s="1"/>
      <c r="H399" s="1"/>
      <c r="I399" s="1"/>
      <c r="J399" s="1"/>
      <c r="K399" s="1"/>
      <c r="L399" s="1"/>
    </row>
    <row r="400" spans="7:12" x14ac:dyDescent="0.25">
      <c r="G400" s="1"/>
      <c r="H400" s="1"/>
      <c r="I400" s="1"/>
      <c r="J400" s="1"/>
      <c r="K400" s="1"/>
      <c r="L400" s="1"/>
    </row>
    <row r="401" spans="7:12" x14ac:dyDescent="0.25">
      <c r="G401" s="1"/>
      <c r="H401" s="1"/>
      <c r="I401" s="1"/>
      <c r="J401" s="1"/>
      <c r="K401" s="1"/>
      <c r="L401" s="1"/>
    </row>
    <row r="402" spans="7:12" x14ac:dyDescent="0.25">
      <c r="G402" s="1"/>
      <c r="H402" s="1"/>
      <c r="I402" s="1"/>
      <c r="J402" s="1"/>
      <c r="K402" s="1"/>
      <c r="L402" s="1"/>
    </row>
    <row r="403" spans="7:12" x14ac:dyDescent="0.25">
      <c r="G403" s="1"/>
      <c r="H403" s="1"/>
      <c r="I403" s="1"/>
      <c r="J403" s="1"/>
      <c r="K403" s="1"/>
      <c r="L403" s="1"/>
    </row>
    <row r="404" spans="7:12" x14ac:dyDescent="0.25">
      <c r="G404" s="1"/>
      <c r="H404" s="1"/>
      <c r="I404" s="1"/>
      <c r="J404" s="1"/>
      <c r="K404" s="1"/>
      <c r="L404" s="1"/>
    </row>
    <row r="405" spans="7:12" x14ac:dyDescent="0.25">
      <c r="G405" s="1"/>
      <c r="H405" s="1"/>
      <c r="I405" s="1"/>
      <c r="J405" s="1"/>
      <c r="K405" s="1"/>
      <c r="L405" s="1"/>
    </row>
    <row r="406" spans="7:12" x14ac:dyDescent="0.25">
      <c r="G406" s="1"/>
      <c r="H406" s="1"/>
      <c r="I406" s="1"/>
      <c r="J406" s="1"/>
      <c r="K406" s="1"/>
      <c r="L406" s="1"/>
    </row>
    <row r="407" spans="7:12" x14ac:dyDescent="0.25">
      <c r="G407" s="1"/>
      <c r="H407" s="1"/>
      <c r="I407" s="1"/>
      <c r="J407" s="1"/>
      <c r="K407" s="1"/>
      <c r="L407" s="1"/>
    </row>
    <row r="408" spans="7:12" x14ac:dyDescent="0.25">
      <c r="G408" s="1"/>
      <c r="H408" s="1"/>
      <c r="I408" s="1"/>
      <c r="J408" s="1"/>
      <c r="K408" s="1"/>
      <c r="L408" s="1"/>
    </row>
    <row r="409" spans="7:12" x14ac:dyDescent="0.25">
      <c r="G409" s="1"/>
      <c r="H409" s="1"/>
      <c r="I409" s="1"/>
      <c r="J409" s="1"/>
      <c r="K409" s="1"/>
      <c r="L409" s="1"/>
    </row>
    <row r="410" spans="7:12" x14ac:dyDescent="0.25">
      <c r="G410" s="1"/>
      <c r="H410" s="1"/>
      <c r="I410" s="1"/>
      <c r="J410" s="1"/>
      <c r="K410" s="1"/>
      <c r="L410" s="1"/>
    </row>
    <row r="411" spans="7:12" x14ac:dyDescent="0.25">
      <c r="G411" s="1"/>
      <c r="H411" s="1"/>
      <c r="I411" s="1"/>
      <c r="J411" s="1"/>
      <c r="K411" s="1"/>
      <c r="L411" s="1"/>
    </row>
    <row r="412" spans="7:12" x14ac:dyDescent="0.25">
      <c r="G412" s="1"/>
      <c r="H412" s="1"/>
      <c r="I412" s="1"/>
      <c r="J412" s="1"/>
      <c r="K412" s="1"/>
      <c r="L412" s="1"/>
    </row>
    <row r="413" spans="7:12" x14ac:dyDescent="0.25">
      <c r="G413" s="1"/>
      <c r="H413" s="1"/>
      <c r="I413" s="1"/>
      <c r="J413" s="1"/>
      <c r="K413" s="1"/>
      <c r="L413" s="1"/>
    </row>
    <row r="414" spans="7:12" x14ac:dyDescent="0.25">
      <c r="G414" s="1"/>
      <c r="H414" s="1"/>
      <c r="I414" s="1"/>
      <c r="J414" s="1"/>
      <c r="K414" s="1"/>
      <c r="L414" s="1"/>
    </row>
    <row r="415" spans="7:12" x14ac:dyDescent="0.25">
      <c r="G415" s="1"/>
      <c r="H415" s="1"/>
      <c r="I415" s="1"/>
      <c r="J415" s="1"/>
      <c r="K415" s="1"/>
      <c r="L415" s="1"/>
    </row>
    <row r="416" spans="7:12" x14ac:dyDescent="0.25">
      <c r="G416" s="1"/>
      <c r="H416" s="1"/>
      <c r="I416" s="1"/>
      <c r="J416" s="1"/>
      <c r="K416" s="1"/>
      <c r="L416" s="1"/>
    </row>
    <row r="417" spans="7:12" x14ac:dyDescent="0.25">
      <c r="G417" s="1"/>
      <c r="H417" s="1"/>
      <c r="I417" s="1"/>
      <c r="J417" s="1"/>
      <c r="K417" s="1"/>
      <c r="L417" s="1"/>
    </row>
    <row r="418" spans="7:12" x14ac:dyDescent="0.25">
      <c r="G418" s="1"/>
      <c r="H418" s="1"/>
      <c r="I418" s="1"/>
      <c r="J418" s="1"/>
      <c r="K418" s="1"/>
      <c r="L418" s="1"/>
    </row>
    <row r="419" spans="7:12" x14ac:dyDescent="0.25">
      <c r="G419" s="1"/>
      <c r="H419" s="1"/>
      <c r="I419" s="1"/>
      <c r="J419" s="1"/>
      <c r="K419" s="1"/>
      <c r="L419" s="1"/>
    </row>
    <row r="420" spans="7:12" x14ac:dyDescent="0.25">
      <c r="G420" s="1"/>
      <c r="H420" s="1"/>
      <c r="I420" s="1"/>
      <c r="J420" s="1"/>
      <c r="K420" s="1"/>
      <c r="L420" s="1"/>
    </row>
    <row r="421" spans="7:12" x14ac:dyDescent="0.25">
      <c r="G421" s="1"/>
      <c r="H421" s="1"/>
      <c r="I421" s="1"/>
      <c r="J421" s="1"/>
      <c r="K421" s="1"/>
      <c r="L421" s="1"/>
    </row>
    <row r="422" spans="7:12" x14ac:dyDescent="0.25">
      <c r="G422" s="1"/>
      <c r="H422" s="1"/>
      <c r="I422" s="1"/>
      <c r="J422" s="1"/>
      <c r="K422" s="1"/>
      <c r="L422" s="1"/>
    </row>
    <row r="423" spans="7:12" x14ac:dyDescent="0.25">
      <c r="G423" s="1"/>
      <c r="H423" s="1"/>
      <c r="I423" s="1"/>
      <c r="J423" s="1"/>
      <c r="K423" s="1"/>
      <c r="L423" s="1"/>
    </row>
    <row r="424" spans="7:12" x14ac:dyDescent="0.25">
      <c r="G424" s="1"/>
      <c r="H424" s="1"/>
      <c r="I424" s="1"/>
      <c r="J424" s="1"/>
      <c r="K424" s="1"/>
      <c r="L424" s="1"/>
    </row>
    <row r="425" spans="7:12" x14ac:dyDescent="0.25">
      <c r="G425" s="1"/>
      <c r="H425" s="1"/>
      <c r="I425" s="1"/>
      <c r="J425" s="1"/>
      <c r="K425" s="1"/>
      <c r="L425" s="1"/>
    </row>
    <row r="426" spans="7:12" x14ac:dyDescent="0.25">
      <c r="G426" s="1"/>
      <c r="H426" s="1"/>
      <c r="I426" s="1"/>
      <c r="J426" s="1"/>
      <c r="K426" s="1"/>
      <c r="L426" s="1"/>
    </row>
    <row r="427" spans="7:12" x14ac:dyDescent="0.25">
      <c r="G427" s="1"/>
      <c r="H427" s="1"/>
      <c r="I427" s="1"/>
      <c r="J427" s="1"/>
      <c r="K427" s="1"/>
      <c r="L427" s="1"/>
    </row>
    <row r="428" spans="7:12" x14ac:dyDescent="0.25">
      <c r="G428" s="1"/>
      <c r="H428" s="1"/>
      <c r="I428" s="1"/>
      <c r="J428" s="1"/>
      <c r="K428" s="1"/>
      <c r="L428" s="1"/>
    </row>
    <row r="429" spans="7:12" x14ac:dyDescent="0.25">
      <c r="G429" s="1"/>
      <c r="H429" s="1"/>
      <c r="I429" s="1"/>
      <c r="J429" s="1"/>
      <c r="K429" s="1"/>
      <c r="L429" s="1"/>
    </row>
    <row r="430" spans="7:12" x14ac:dyDescent="0.25">
      <c r="G430" s="1"/>
      <c r="H430" s="1"/>
      <c r="I430" s="1"/>
      <c r="J430" s="1"/>
      <c r="K430" s="1"/>
      <c r="L430" s="1"/>
    </row>
    <row r="431" spans="7:12" x14ac:dyDescent="0.25">
      <c r="G431" s="1"/>
      <c r="H431" s="1"/>
      <c r="I431" s="1"/>
      <c r="J431" s="1"/>
      <c r="K431" s="1"/>
      <c r="L431" s="1"/>
    </row>
    <row r="432" spans="7:12" x14ac:dyDescent="0.25">
      <c r="G432" s="1"/>
      <c r="H432" s="1"/>
      <c r="I432" s="1"/>
      <c r="J432" s="1"/>
      <c r="K432" s="1"/>
      <c r="L432" s="1"/>
    </row>
    <row r="433" spans="7:12" x14ac:dyDescent="0.25">
      <c r="G433" s="1"/>
      <c r="H433" s="1"/>
      <c r="I433" s="1"/>
      <c r="J433" s="1"/>
      <c r="K433" s="1"/>
      <c r="L433" s="1"/>
    </row>
    <row r="434" spans="7:12" x14ac:dyDescent="0.25">
      <c r="G434" s="1"/>
      <c r="H434" s="1"/>
      <c r="I434" s="1"/>
      <c r="J434" s="1"/>
      <c r="K434" s="1"/>
      <c r="L434" s="1"/>
    </row>
    <row r="435" spans="7:12" x14ac:dyDescent="0.25">
      <c r="G435" s="1"/>
      <c r="H435" s="1"/>
      <c r="I435" s="1"/>
      <c r="J435" s="1"/>
      <c r="K435" s="1"/>
      <c r="L435" s="1"/>
    </row>
    <row r="436" spans="7:12" x14ac:dyDescent="0.25">
      <c r="G436" s="1"/>
      <c r="H436" s="1"/>
      <c r="I436" s="1"/>
      <c r="J436" s="1"/>
      <c r="K436" s="1"/>
      <c r="L436" s="1"/>
    </row>
    <row r="437" spans="7:12" x14ac:dyDescent="0.25">
      <c r="G437" s="1"/>
      <c r="H437" s="1"/>
      <c r="I437" s="1"/>
      <c r="J437" s="1"/>
      <c r="K437" s="1"/>
      <c r="L437" s="1"/>
    </row>
    <row r="438" spans="7:12" x14ac:dyDescent="0.25">
      <c r="G438" s="1"/>
      <c r="H438" s="1"/>
      <c r="I438" s="1"/>
      <c r="J438" s="1"/>
      <c r="K438" s="1"/>
      <c r="L438" s="1"/>
    </row>
    <row r="439" spans="7:12" x14ac:dyDescent="0.25">
      <c r="G439" s="1"/>
      <c r="H439" s="1"/>
      <c r="I439" s="1"/>
      <c r="J439" s="1"/>
      <c r="K439" s="1"/>
      <c r="L439" s="1"/>
    </row>
    <row r="440" spans="7:12" x14ac:dyDescent="0.25">
      <c r="G440" s="1"/>
      <c r="H440" s="1"/>
      <c r="I440" s="1"/>
      <c r="J440" s="1"/>
      <c r="K440" s="1"/>
      <c r="L440" s="1"/>
    </row>
    <row r="441" spans="7:12" x14ac:dyDescent="0.25">
      <c r="G441" s="1"/>
      <c r="H441" s="1"/>
      <c r="I441" s="1"/>
      <c r="J441" s="1"/>
      <c r="K441" s="1"/>
      <c r="L441" s="1"/>
    </row>
    <row r="442" spans="7:12" x14ac:dyDescent="0.25">
      <c r="G442" s="1"/>
      <c r="H442" s="1"/>
      <c r="I442" s="1"/>
      <c r="J442" s="1"/>
      <c r="K442" s="1"/>
      <c r="L442" s="1"/>
    </row>
    <row r="443" spans="7:12" x14ac:dyDescent="0.25">
      <c r="G443" s="1"/>
      <c r="H443" s="1"/>
      <c r="I443" s="1"/>
      <c r="J443" s="1"/>
      <c r="K443" s="1"/>
      <c r="L443" s="1"/>
    </row>
    <row r="444" spans="7:12" x14ac:dyDescent="0.25">
      <c r="G444" s="1"/>
      <c r="H444" s="1"/>
      <c r="I444" s="1"/>
      <c r="J444" s="1"/>
      <c r="K444" s="1"/>
      <c r="L444" s="1"/>
    </row>
    <row r="445" spans="7:12" x14ac:dyDescent="0.25">
      <c r="G445" s="1"/>
      <c r="H445" s="1"/>
      <c r="I445" s="1"/>
      <c r="J445" s="1"/>
      <c r="K445" s="1"/>
      <c r="L445" s="1"/>
    </row>
    <row r="446" spans="7:12" x14ac:dyDescent="0.25">
      <c r="G446" s="1"/>
      <c r="H446" s="1"/>
      <c r="I446" s="1"/>
      <c r="J446" s="1"/>
      <c r="K446" s="1"/>
      <c r="L446" s="1"/>
    </row>
    <row r="447" spans="7:12" x14ac:dyDescent="0.25">
      <c r="G447" s="1"/>
      <c r="H447" s="1"/>
      <c r="I447" s="1"/>
      <c r="J447" s="1"/>
      <c r="K447" s="1"/>
      <c r="L447" s="1"/>
    </row>
    <row r="448" spans="7:12" x14ac:dyDescent="0.25">
      <c r="G448" s="1"/>
      <c r="H448" s="1"/>
      <c r="I448" s="1"/>
      <c r="J448" s="1"/>
      <c r="K448" s="1"/>
      <c r="L448" s="1"/>
    </row>
    <row r="449" spans="7:12" x14ac:dyDescent="0.25">
      <c r="G449" s="1"/>
      <c r="H449" s="1"/>
      <c r="I449" s="1"/>
      <c r="J449" s="1"/>
      <c r="K449" s="1"/>
      <c r="L449" s="1"/>
    </row>
    <row r="450" spans="7:12" x14ac:dyDescent="0.25">
      <c r="G450" s="1"/>
      <c r="H450" s="1"/>
      <c r="I450" s="1"/>
      <c r="J450" s="1"/>
      <c r="K450" s="1"/>
      <c r="L450" s="1"/>
    </row>
    <row r="451" spans="7:12" x14ac:dyDescent="0.25">
      <c r="G451" s="1"/>
      <c r="H451" s="1"/>
      <c r="I451" s="1"/>
      <c r="J451" s="1"/>
      <c r="K451" s="1"/>
      <c r="L451" s="1"/>
    </row>
    <row r="452" spans="7:12" x14ac:dyDescent="0.25">
      <c r="G452" s="1"/>
      <c r="H452" s="1"/>
      <c r="I452" s="1"/>
      <c r="J452" s="1"/>
      <c r="K452" s="1"/>
      <c r="L452" s="1"/>
    </row>
    <row r="453" spans="7:12" x14ac:dyDescent="0.25">
      <c r="G453" s="1"/>
      <c r="H453" s="1"/>
      <c r="I453" s="1"/>
      <c r="J453" s="1"/>
      <c r="K453" s="1"/>
      <c r="L453" s="1"/>
    </row>
    <row r="454" spans="7:12" x14ac:dyDescent="0.25">
      <c r="G454" s="1"/>
      <c r="H454" s="1"/>
      <c r="I454" s="1"/>
      <c r="J454" s="1"/>
      <c r="K454" s="1"/>
      <c r="L454" s="1"/>
    </row>
    <row r="455" spans="7:12" x14ac:dyDescent="0.25">
      <c r="G455" s="1"/>
      <c r="H455" s="1"/>
      <c r="I455" s="1"/>
      <c r="J455" s="1"/>
      <c r="K455" s="1"/>
      <c r="L455" s="1"/>
    </row>
    <row r="456" spans="7:12" x14ac:dyDescent="0.25">
      <c r="G456" s="1"/>
      <c r="H456" s="1"/>
      <c r="I456" s="1"/>
      <c r="J456" s="1"/>
      <c r="K456" s="1"/>
      <c r="L456" s="1"/>
    </row>
    <row r="457" spans="7:12" x14ac:dyDescent="0.25">
      <c r="G457" s="1"/>
      <c r="H457" s="1"/>
      <c r="I457" s="1"/>
      <c r="J457" s="1"/>
      <c r="K457" s="1"/>
      <c r="L457" s="1"/>
    </row>
    <row r="458" spans="7:12" x14ac:dyDescent="0.25">
      <c r="G458" s="1"/>
      <c r="H458" s="1"/>
      <c r="I458" s="1"/>
      <c r="J458" s="1"/>
      <c r="K458" s="1"/>
      <c r="L458" s="1"/>
    </row>
    <row r="459" spans="7:12" x14ac:dyDescent="0.25">
      <c r="G459" s="1"/>
      <c r="H459" s="1"/>
      <c r="I459" s="1"/>
      <c r="J459" s="1"/>
      <c r="K459" s="1"/>
      <c r="L459" s="1"/>
    </row>
    <row r="460" spans="7:12" x14ac:dyDescent="0.25">
      <c r="G460" s="1"/>
      <c r="H460" s="1"/>
      <c r="I460" s="1"/>
      <c r="J460" s="1"/>
      <c r="K460" s="1"/>
      <c r="L460" s="1"/>
    </row>
    <row r="461" spans="7:12" x14ac:dyDescent="0.25">
      <c r="G461" s="1"/>
      <c r="H461" s="1"/>
      <c r="I461" s="1"/>
      <c r="J461" s="1"/>
      <c r="K461" s="1"/>
      <c r="L461" s="1"/>
    </row>
    <row r="462" spans="7:12" x14ac:dyDescent="0.25">
      <c r="G462" s="1"/>
      <c r="H462" s="1"/>
      <c r="I462" s="1"/>
      <c r="J462" s="1"/>
      <c r="K462" s="1"/>
      <c r="L462" s="1"/>
    </row>
    <row r="463" spans="7:12" x14ac:dyDescent="0.25">
      <c r="G463" s="1"/>
      <c r="H463" s="1"/>
      <c r="I463" s="1"/>
      <c r="J463" s="1"/>
      <c r="K463" s="1"/>
      <c r="L463" s="1"/>
    </row>
    <row r="464" spans="7:12" x14ac:dyDescent="0.25">
      <c r="G464" s="1"/>
      <c r="H464" s="1"/>
      <c r="I464" s="1"/>
      <c r="J464" s="1"/>
      <c r="K464" s="1"/>
      <c r="L464" s="1"/>
    </row>
    <row r="465" spans="7:12" x14ac:dyDescent="0.25">
      <c r="G465" s="1"/>
      <c r="H465" s="1"/>
      <c r="I465" s="1"/>
      <c r="J465" s="1"/>
      <c r="K465" s="1"/>
      <c r="L465" s="1"/>
    </row>
    <row r="466" spans="7:12" x14ac:dyDescent="0.25">
      <c r="G466" s="1"/>
      <c r="H466" s="1"/>
      <c r="I466" s="1"/>
      <c r="J466" s="1"/>
      <c r="K466" s="1"/>
      <c r="L466" s="1"/>
    </row>
    <row r="467" spans="7:12" x14ac:dyDescent="0.25">
      <c r="G467" s="1"/>
      <c r="H467" s="1"/>
      <c r="I467" s="1"/>
      <c r="J467" s="1"/>
      <c r="K467" s="1"/>
      <c r="L467" s="1"/>
    </row>
    <row r="468" spans="7:12" x14ac:dyDescent="0.25">
      <c r="G468" s="1"/>
      <c r="H468" s="1"/>
      <c r="I468" s="1"/>
      <c r="J468" s="1"/>
      <c r="K468" s="1"/>
      <c r="L468" s="1"/>
    </row>
    <row r="469" spans="7:12" x14ac:dyDescent="0.25">
      <c r="G469" s="1"/>
      <c r="H469" s="1"/>
      <c r="I469" s="1"/>
      <c r="J469" s="1"/>
      <c r="K469" s="1"/>
      <c r="L469" s="1"/>
    </row>
    <row r="470" spans="7:12" x14ac:dyDescent="0.25">
      <c r="G470" s="1"/>
      <c r="H470" s="1"/>
      <c r="I470" s="1"/>
      <c r="J470" s="1"/>
      <c r="K470" s="1"/>
      <c r="L470" s="1"/>
    </row>
    <row r="471" spans="7:12" x14ac:dyDescent="0.25">
      <c r="G471" s="1"/>
      <c r="H471" s="1"/>
      <c r="I471" s="1"/>
      <c r="J471" s="1"/>
      <c r="K471" s="1"/>
      <c r="L471" s="1"/>
    </row>
    <row r="472" spans="7:12" x14ac:dyDescent="0.25">
      <c r="G472" s="1"/>
      <c r="H472" s="1"/>
      <c r="I472" s="1"/>
      <c r="J472" s="1"/>
      <c r="K472" s="1"/>
      <c r="L472" s="1"/>
    </row>
    <row r="473" spans="7:12" x14ac:dyDescent="0.25">
      <c r="G473" s="1"/>
      <c r="H473" s="1"/>
      <c r="I473" s="1"/>
      <c r="J473" s="1"/>
      <c r="K473" s="1"/>
      <c r="L473" s="1"/>
    </row>
    <row r="474" spans="7:12" x14ac:dyDescent="0.25">
      <c r="G474" s="1"/>
      <c r="H474" s="1"/>
      <c r="I474" s="1"/>
      <c r="J474" s="1"/>
      <c r="K474" s="1"/>
      <c r="L474" s="1"/>
    </row>
    <row r="475" spans="7:12" x14ac:dyDescent="0.25">
      <c r="G475" s="1"/>
      <c r="H475" s="1"/>
      <c r="I475" s="1"/>
      <c r="J475" s="1"/>
      <c r="K475" s="1"/>
      <c r="L475" s="1"/>
    </row>
    <row r="476" spans="7:12" x14ac:dyDescent="0.25">
      <c r="G476" s="1"/>
      <c r="H476" s="1"/>
      <c r="I476" s="1"/>
      <c r="J476" s="1"/>
      <c r="K476" s="1"/>
      <c r="L476" s="1"/>
    </row>
    <row r="477" spans="7:12" x14ac:dyDescent="0.25">
      <c r="G477" s="1"/>
      <c r="H477" s="1"/>
      <c r="I477" s="1"/>
      <c r="J477" s="1"/>
      <c r="K477" s="1"/>
      <c r="L477" s="1"/>
    </row>
    <row r="478" spans="7:12" x14ac:dyDescent="0.25">
      <c r="G478" s="1"/>
      <c r="H478" s="1"/>
      <c r="I478" s="1"/>
      <c r="J478" s="1"/>
      <c r="K478" s="1"/>
      <c r="L478" s="1"/>
    </row>
    <row r="479" spans="7:12" x14ac:dyDescent="0.25">
      <c r="G479" s="1"/>
      <c r="H479" s="1"/>
      <c r="I479" s="1"/>
      <c r="J479" s="1"/>
      <c r="K479" s="1"/>
      <c r="L479" s="1"/>
    </row>
    <row r="480" spans="7:12" x14ac:dyDescent="0.25">
      <c r="G480" s="1"/>
      <c r="H480" s="1"/>
      <c r="I480" s="1"/>
      <c r="J480" s="1"/>
      <c r="K480" s="1"/>
      <c r="L480" s="1"/>
    </row>
    <row r="481" spans="7:12" x14ac:dyDescent="0.25">
      <c r="G481" s="1"/>
      <c r="H481" s="1"/>
      <c r="I481" s="1"/>
      <c r="J481" s="1"/>
      <c r="K481" s="1"/>
      <c r="L481" s="1"/>
    </row>
    <row r="482" spans="7:12" x14ac:dyDescent="0.25">
      <c r="G482" s="1"/>
      <c r="H482" s="1"/>
      <c r="I482" s="1"/>
      <c r="J482" s="1"/>
      <c r="K482" s="1"/>
      <c r="L482" s="1"/>
    </row>
    <row r="483" spans="7:12" x14ac:dyDescent="0.25">
      <c r="G483" s="1"/>
      <c r="H483" s="1"/>
      <c r="I483" s="1"/>
      <c r="J483" s="1"/>
      <c r="K483" s="1"/>
      <c r="L483" s="1"/>
    </row>
    <row r="484" spans="7:12" x14ac:dyDescent="0.25">
      <c r="G484" s="1"/>
      <c r="H484" s="1"/>
      <c r="I484" s="1"/>
      <c r="J484" s="1"/>
      <c r="K484" s="1"/>
      <c r="L484" s="1"/>
    </row>
    <row r="485" spans="7:12" x14ac:dyDescent="0.25">
      <c r="G485" s="1"/>
      <c r="H485" s="1"/>
      <c r="I485" s="1"/>
      <c r="J485" s="1"/>
      <c r="K485" s="1"/>
      <c r="L485" s="1"/>
    </row>
    <row r="486" spans="7:12" x14ac:dyDescent="0.25">
      <c r="G486" s="1"/>
      <c r="H486" s="1"/>
      <c r="I486" s="1"/>
      <c r="J486" s="1"/>
      <c r="K486" s="1"/>
      <c r="L486" s="1"/>
    </row>
    <row r="487" spans="7:12" x14ac:dyDescent="0.25">
      <c r="G487" s="1"/>
      <c r="H487" s="1"/>
      <c r="I487" s="1"/>
      <c r="J487" s="1"/>
      <c r="K487" s="1"/>
      <c r="L487" s="1"/>
    </row>
    <row r="488" spans="7:12" x14ac:dyDescent="0.25">
      <c r="G488" s="1"/>
      <c r="H488" s="1"/>
      <c r="I488" s="1"/>
      <c r="J488" s="1"/>
      <c r="K488" s="1"/>
      <c r="L488" s="1"/>
    </row>
    <row r="489" spans="7:12" x14ac:dyDescent="0.25">
      <c r="G489" s="1"/>
      <c r="H489" s="1"/>
      <c r="I489" s="1"/>
      <c r="J489" s="1"/>
      <c r="K489" s="1"/>
      <c r="L489" s="1"/>
    </row>
    <row r="490" spans="7:12" x14ac:dyDescent="0.25">
      <c r="G490" s="1"/>
      <c r="H490" s="1"/>
      <c r="I490" s="1"/>
      <c r="J490" s="1"/>
      <c r="K490" s="1"/>
      <c r="L490" s="1"/>
    </row>
    <row r="491" spans="7:12" x14ac:dyDescent="0.25">
      <c r="G491" s="1"/>
      <c r="H491" s="1"/>
      <c r="I491" s="1"/>
      <c r="J491" s="1"/>
      <c r="K491" s="1"/>
      <c r="L491" s="1"/>
    </row>
    <row r="492" spans="7:12" x14ac:dyDescent="0.25">
      <c r="G492" s="1"/>
      <c r="H492" s="1"/>
      <c r="I492" s="1"/>
      <c r="J492" s="1"/>
      <c r="K492" s="1"/>
      <c r="L492" s="1"/>
    </row>
    <row r="493" spans="7:12" x14ac:dyDescent="0.25">
      <c r="G493" s="1"/>
      <c r="H493" s="1"/>
      <c r="I493" s="1"/>
      <c r="J493" s="1"/>
      <c r="K493" s="1"/>
      <c r="L493" s="1"/>
    </row>
    <row r="494" spans="7:12" x14ac:dyDescent="0.25">
      <c r="G494" s="1"/>
      <c r="H494" s="1"/>
      <c r="I494" s="1"/>
      <c r="J494" s="1"/>
      <c r="K494" s="1"/>
      <c r="L494" s="1"/>
    </row>
    <row r="495" spans="7:12" x14ac:dyDescent="0.25">
      <c r="G495" s="1"/>
      <c r="H495" s="1"/>
      <c r="I495" s="1"/>
      <c r="J495" s="1"/>
      <c r="K495" s="1"/>
      <c r="L495" s="1"/>
    </row>
    <row r="496" spans="7:12" x14ac:dyDescent="0.25">
      <c r="G496" s="1"/>
      <c r="H496" s="1"/>
      <c r="I496" s="1"/>
      <c r="J496" s="1"/>
      <c r="K496" s="1"/>
      <c r="L496" s="1"/>
    </row>
    <row r="497" spans="7:12" x14ac:dyDescent="0.25">
      <c r="G497" s="1"/>
      <c r="H497" s="1"/>
      <c r="I497" s="1"/>
      <c r="J497" s="1"/>
      <c r="K497" s="1"/>
      <c r="L497" s="1"/>
    </row>
    <row r="498" spans="7:12" x14ac:dyDescent="0.25">
      <c r="G498" s="1"/>
      <c r="H498" s="1"/>
      <c r="I498" s="1"/>
      <c r="J498" s="1"/>
      <c r="K498" s="1"/>
      <c r="L498" s="1"/>
    </row>
    <row r="499" spans="7:12" x14ac:dyDescent="0.25">
      <c r="G499" s="1"/>
      <c r="H499" s="1"/>
      <c r="I499" s="1"/>
      <c r="J499" s="1"/>
      <c r="K499" s="1"/>
      <c r="L499" s="1"/>
    </row>
    <row r="500" spans="7:12" x14ac:dyDescent="0.25">
      <c r="G500" s="1"/>
      <c r="H500" s="1"/>
      <c r="I500" s="1"/>
      <c r="J500" s="1"/>
      <c r="K500" s="1"/>
      <c r="L500" s="1"/>
    </row>
    <row r="501" spans="7:12" x14ac:dyDescent="0.25">
      <c r="G501" s="1"/>
      <c r="H501" s="1"/>
      <c r="I501" s="1"/>
      <c r="J501" s="1"/>
      <c r="K501" s="1"/>
      <c r="L501" s="1"/>
    </row>
    <row r="502" spans="7:12" x14ac:dyDescent="0.25">
      <c r="G502" s="1"/>
      <c r="H502" s="1"/>
      <c r="I502" s="1"/>
      <c r="J502" s="1"/>
      <c r="K502" s="1"/>
      <c r="L502" s="1"/>
    </row>
    <row r="503" spans="7:12" x14ac:dyDescent="0.25">
      <c r="G503" s="1"/>
      <c r="H503" s="1"/>
      <c r="I503" s="1"/>
      <c r="J503" s="1"/>
      <c r="K503" s="1"/>
      <c r="L503" s="1"/>
    </row>
    <row r="504" spans="7:12" x14ac:dyDescent="0.25">
      <c r="G504" s="1"/>
      <c r="H504" s="1"/>
      <c r="I504" s="1"/>
      <c r="J504" s="1"/>
      <c r="K504" s="1"/>
      <c r="L504" s="1"/>
    </row>
    <row r="505" spans="7:12" x14ac:dyDescent="0.25">
      <c r="G505" s="1"/>
      <c r="H505" s="1"/>
      <c r="I505" s="1"/>
      <c r="J505" s="1"/>
      <c r="K505" s="1"/>
      <c r="L505" s="1"/>
    </row>
    <row r="506" spans="7:12" x14ac:dyDescent="0.25">
      <c r="G506" s="1"/>
      <c r="H506" s="1"/>
      <c r="I506" s="1"/>
      <c r="J506" s="1"/>
      <c r="K506" s="1"/>
      <c r="L506" s="1"/>
    </row>
    <row r="507" spans="7:12" x14ac:dyDescent="0.25">
      <c r="G507" s="1"/>
      <c r="H507" s="1"/>
      <c r="I507" s="1"/>
      <c r="J507" s="1"/>
      <c r="K507" s="1"/>
      <c r="L507" s="1"/>
    </row>
    <row r="508" spans="7:12" x14ac:dyDescent="0.25">
      <c r="G508" s="1"/>
      <c r="H508" s="1"/>
      <c r="I508" s="1"/>
      <c r="J508" s="1"/>
      <c r="K508" s="1"/>
      <c r="L508" s="1"/>
    </row>
    <row r="509" spans="7:12" x14ac:dyDescent="0.25">
      <c r="G509" s="1"/>
      <c r="H509" s="1"/>
      <c r="I509" s="1"/>
      <c r="J509" s="1"/>
      <c r="K509" s="1"/>
      <c r="L509" s="1"/>
    </row>
    <row r="510" spans="7:12" x14ac:dyDescent="0.25">
      <c r="G510" s="1"/>
      <c r="H510" s="1"/>
      <c r="I510" s="1"/>
      <c r="J510" s="1"/>
      <c r="K510" s="1"/>
      <c r="L510" s="1"/>
    </row>
    <row r="511" spans="7:12" x14ac:dyDescent="0.25">
      <c r="G511" s="1"/>
      <c r="H511" s="1"/>
      <c r="I511" s="1"/>
      <c r="J511" s="1"/>
      <c r="K511" s="1"/>
      <c r="L511" s="1"/>
    </row>
    <row r="512" spans="7:12" x14ac:dyDescent="0.25">
      <c r="G512" s="1"/>
      <c r="H512" s="1"/>
      <c r="I512" s="1"/>
      <c r="J512" s="1"/>
      <c r="K512" s="1"/>
      <c r="L512" s="1"/>
    </row>
    <row r="513" spans="7:12" x14ac:dyDescent="0.25">
      <c r="G513" s="1"/>
      <c r="H513" s="1"/>
      <c r="I513" s="1"/>
      <c r="J513" s="1"/>
      <c r="K513" s="1"/>
      <c r="L513" s="1"/>
    </row>
    <row r="514" spans="7:12" x14ac:dyDescent="0.25">
      <c r="G514" s="1"/>
      <c r="H514" s="1"/>
      <c r="I514" s="1"/>
      <c r="J514" s="1"/>
      <c r="K514" s="1"/>
      <c r="L514" s="1"/>
    </row>
    <row r="515" spans="7:12" x14ac:dyDescent="0.25">
      <c r="G515" s="1"/>
      <c r="H515" s="1"/>
      <c r="I515" s="1"/>
      <c r="J515" s="1"/>
      <c r="K515" s="1"/>
      <c r="L515" s="1"/>
    </row>
    <row r="516" spans="7:12" x14ac:dyDescent="0.25">
      <c r="G516" s="1"/>
      <c r="H516" s="1"/>
      <c r="I516" s="1"/>
      <c r="J516" s="1"/>
      <c r="K516" s="1"/>
      <c r="L516" s="1"/>
    </row>
    <row r="517" spans="7:12" x14ac:dyDescent="0.25">
      <c r="G517" s="1"/>
      <c r="H517" s="1"/>
      <c r="I517" s="1"/>
      <c r="J517" s="1"/>
      <c r="K517" s="1"/>
      <c r="L517" s="1"/>
    </row>
    <row r="518" spans="7:12" x14ac:dyDescent="0.25">
      <c r="G518" s="1"/>
      <c r="H518" s="1"/>
      <c r="I518" s="1"/>
      <c r="J518" s="1"/>
      <c r="K518" s="1"/>
      <c r="L518" s="1"/>
    </row>
    <row r="519" spans="7:12" x14ac:dyDescent="0.25">
      <c r="G519" s="1"/>
      <c r="H519" s="1"/>
      <c r="I519" s="1"/>
      <c r="J519" s="1"/>
      <c r="K519" s="1"/>
      <c r="L519" s="1"/>
    </row>
    <row r="520" spans="7:12" x14ac:dyDescent="0.25">
      <c r="G520" s="1"/>
      <c r="H520" s="1"/>
      <c r="I520" s="1"/>
      <c r="J520" s="1"/>
      <c r="K520" s="1"/>
      <c r="L520" s="1"/>
    </row>
    <row r="521" spans="7:12" x14ac:dyDescent="0.25">
      <c r="G521" s="1"/>
      <c r="H521" s="1"/>
      <c r="I521" s="1"/>
      <c r="J521" s="1"/>
      <c r="K521" s="1"/>
      <c r="L521" s="1"/>
    </row>
    <row r="522" spans="7:12" x14ac:dyDescent="0.25">
      <c r="G522" s="1"/>
      <c r="H522" s="1"/>
      <c r="I522" s="1"/>
      <c r="J522" s="1"/>
      <c r="K522" s="1"/>
      <c r="L522" s="1"/>
    </row>
    <row r="523" spans="7:12" x14ac:dyDescent="0.25">
      <c r="G523" s="1"/>
      <c r="H523" s="1"/>
      <c r="I523" s="1"/>
      <c r="J523" s="1"/>
      <c r="K523" s="1"/>
      <c r="L523" s="1"/>
    </row>
    <row r="524" spans="7:12" x14ac:dyDescent="0.25">
      <c r="G524" s="1"/>
      <c r="H524" s="1"/>
      <c r="I524" s="1"/>
      <c r="J524" s="1"/>
      <c r="K524" s="1"/>
      <c r="L524" s="1"/>
    </row>
    <row r="525" spans="7:12" x14ac:dyDescent="0.25">
      <c r="G525" s="1"/>
      <c r="H525" s="1"/>
      <c r="I525" s="1"/>
      <c r="J525" s="1"/>
      <c r="K525" s="1"/>
      <c r="L525" s="1"/>
    </row>
    <row r="526" spans="7:12" x14ac:dyDescent="0.25">
      <c r="G526" s="1"/>
      <c r="H526" s="1"/>
      <c r="I526" s="1"/>
      <c r="J526" s="1"/>
      <c r="K526" s="1"/>
      <c r="L526" s="1"/>
    </row>
    <row r="527" spans="7:12" x14ac:dyDescent="0.25">
      <c r="G527" s="1"/>
      <c r="H527" s="1"/>
      <c r="I527" s="1"/>
      <c r="J527" s="1"/>
      <c r="K527" s="1"/>
      <c r="L527" s="1"/>
    </row>
    <row r="528" spans="7:12" x14ac:dyDescent="0.25">
      <c r="G528" s="1"/>
      <c r="H528" s="1"/>
      <c r="I528" s="1"/>
      <c r="J528" s="1"/>
      <c r="K528" s="1"/>
      <c r="L528" s="1"/>
    </row>
    <row r="529" spans="7:12" x14ac:dyDescent="0.25">
      <c r="G529" s="1"/>
      <c r="H529" s="1"/>
      <c r="I529" s="1"/>
      <c r="J529" s="1"/>
      <c r="K529" s="1"/>
      <c r="L529" s="1"/>
    </row>
    <row r="530" spans="7:12" x14ac:dyDescent="0.25">
      <c r="G530" s="1"/>
      <c r="H530" s="1"/>
      <c r="I530" s="1"/>
      <c r="J530" s="1"/>
      <c r="K530" s="1"/>
      <c r="L530" s="1"/>
    </row>
    <row r="531" spans="7:12" x14ac:dyDescent="0.25">
      <c r="G531" s="1"/>
      <c r="H531" s="1"/>
      <c r="I531" s="1"/>
      <c r="J531" s="1"/>
      <c r="K531" s="1"/>
      <c r="L531" s="1"/>
    </row>
    <row r="532" spans="7:12" x14ac:dyDescent="0.25">
      <c r="G532" s="1"/>
      <c r="H532" s="1"/>
      <c r="I532" s="1"/>
      <c r="J532" s="1"/>
      <c r="K532" s="1"/>
      <c r="L532" s="1"/>
    </row>
    <row r="533" spans="7:12" x14ac:dyDescent="0.25">
      <c r="G533" s="1"/>
      <c r="H533" s="1"/>
      <c r="I533" s="1"/>
      <c r="J533" s="1"/>
      <c r="K533" s="1"/>
      <c r="L533" s="1"/>
    </row>
    <row r="534" spans="7:12" x14ac:dyDescent="0.25">
      <c r="G534" s="1"/>
      <c r="H534" s="1"/>
      <c r="I534" s="1"/>
      <c r="J534" s="1"/>
      <c r="K534" s="1"/>
      <c r="L534" s="1"/>
    </row>
    <row r="535" spans="7:12" x14ac:dyDescent="0.25">
      <c r="G535" s="1"/>
      <c r="H535" s="1"/>
      <c r="I535" s="1"/>
      <c r="J535" s="1"/>
      <c r="K535" s="1"/>
      <c r="L535" s="1"/>
    </row>
    <row r="536" spans="7:12" x14ac:dyDescent="0.25">
      <c r="G536" s="1"/>
      <c r="H536" s="1"/>
      <c r="I536" s="1"/>
      <c r="J536" s="1"/>
      <c r="K536" s="1"/>
      <c r="L536" s="1"/>
    </row>
    <row r="537" spans="7:12" x14ac:dyDescent="0.25">
      <c r="G537" s="1"/>
      <c r="H537" s="1"/>
      <c r="I537" s="1"/>
      <c r="J537" s="1"/>
      <c r="K537" s="1"/>
      <c r="L537" s="1"/>
    </row>
    <row r="538" spans="7:12" x14ac:dyDescent="0.25">
      <c r="G538" s="1"/>
      <c r="H538" s="1"/>
      <c r="I538" s="1"/>
      <c r="J538" s="1"/>
      <c r="K538" s="1"/>
      <c r="L538" s="1"/>
    </row>
    <row r="539" spans="7:12" x14ac:dyDescent="0.25">
      <c r="G539" s="1"/>
      <c r="H539" s="1"/>
      <c r="I539" s="1"/>
      <c r="J539" s="1"/>
      <c r="K539" s="1"/>
      <c r="L539" s="1"/>
    </row>
    <row r="540" spans="7:12" x14ac:dyDescent="0.25">
      <c r="G540" s="1"/>
      <c r="H540" s="1"/>
      <c r="I540" s="1"/>
      <c r="J540" s="1"/>
      <c r="K540" s="1"/>
      <c r="L540" s="1"/>
    </row>
    <row r="541" spans="7:12" x14ac:dyDescent="0.25">
      <c r="G541" s="1"/>
      <c r="H541" s="1"/>
      <c r="I541" s="1"/>
      <c r="J541" s="1"/>
      <c r="K541" s="1"/>
      <c r="L541" s="1"/>
    </row>
    <row r="542" spans="7:12" x14ac:dyDescent="0.25">
      <c r="G542" s="1"/>
      <c r="H542" s="1"/>
      <c r="I542" s="1"/>
      <c r="J542" s="1"/>
      <c r="K542" s="1"/>
      <c r="L542" s="1"/>
    </row>
    <row r="543" spans="7:12" x14ac:dyDescent="0.25">
      <c r="G543" s="1"/>
      <c r="H543" s="1"/>
      <c r="I543" s="1"/>
      <c r="J543" s="1"/>
      <c r="K543" s="1"/>
      <c r="L543" s="1"/>
    </row>
    <row r="544" spans="7:12" x14ac:dyDescent="0.25">
      <c r="G544" s="1"/>
      <c r="H544" s="1"/>
      <c r="I544" s="1"/>
      <c r="J544" s="1"/>
      <c r="K544" s="1"/>
      <c r="L544" s="1"/>
    </row>
    <row r="545" spans="7:12" x14ac:dyDescent="0.25">
      <c r="G545" s="1"/>
      <c r="H545" s="1"/>
      <c r="I545" s="1"/>
      <c r="J545" s="1"/>
      <c r="K545" s="1"/>
      <c r="L545" s="1"/>
    </row>
    <row r="546" spans="7:12" x14ac:dyDescent="0.25">
      <c r="G546" s="1"/>
      <c r="H546" s="1"/>
      <c r="I546" s="1"/>
      <c r="J546" s="1"/>
      <c r="K546" s="1"/>
      <c r="L546" s="1"/>
    </row>
    <row r="547" spans="7:12" x14ac:dyDescent="0.25">
      <c r="G547" s="1"/>
      <c r="H547" s="1"/>
      <c r="I547" s="1"/>
      <c r="J547" s="1"/>
      <c r="K547" s="1"/>
      <c r="L547" s="1"/>
    </row>
    <row r="548" spans="7:12" x14ac:dyDescent="0.25">
      <c r="G548" s="1"/>
      <c r="H548" s="1"/>
      <c r="I548" s="1"/>
      <c r="J548" s="1"/>
      <c r="K548" s="1"/>
      <c r="L548" s="1"/>
    </row>
    <row r="549" spans="7:12" x14ac:dyDescent="0.25">
      <c r="G549" s="1"/>
      <c r="H549" s="1"/>
      <c r="I549" s="1"/>
      <c r="J549" s="1"/>
      <c r="K549" s="1"/>
      <c r="L549" s="1"/>
    </row>
    <row r="550" spans="7:12" x14ac:dyDescent="0.25">
      <c r="G550" s="1"/>
      <c r="H550" s="1"/>
      <c r="I550" s="1"/>
      <c r="J550" s="1"/>
      <c r="K550" s="1"/>
      <c r="L550" s="1"/>
    </row>
    <row r="551" spans="7:12" x14ac:dyDescent="0.25">
      <c r="G551" s="1"/>
      <c r="H551" s="1"/>
      <c r="I551" s="1"/>
      <c r="J551" s="1"/>
      <c r="K551" s="1"/>
      <c r="L551" s="1"/>
    </row>
    <row r="552" spans="7:12" x14ac:dyDescent="0.25">
      <c r="G552" s="1"/>
      <c r="H552" s="1"/>
      <c r="I552" s="1"/>
      <c r="J552" s="1"/>
      <c r="K552" s="1"/>
      <c r="L552" s="1"/>
    </row>
    <row r="553" spans="7:12" x14ac:dyDescent="0.25">
      <c r="G553" s="1"/>
      <c r="H553" s="1"/>
      <c r="I553" s="1"/>
      <c r="J553" s="1"/>
      <c r="K553" s="1"/>
      <c r="L553" s="1"/>
    </row>
    <row r="554" spans="7:12" x14ac:dyDescent="0.25">
      <c r="G554" s="1"/>
      <c r="H554" s="1"/>
      <c r="I554" s="1"/>
      <c r="J554" s="1"/>
      <c r="K554" s="1"/>
      <c r="L554" s="1"/>
    </row>
    <row r="555" spans="7:12" x14ac:dyDescent="0.25">
      <c r="G555" s="1"/>
      <c r="H555" s="1"/>
      <c r="I555" s="1"/>
      <c r="J555" s="1"/>
      <c r="K555" s="1"/>
      <c r="L555" s="1"/>
    </row>
    <row r="556" spans="7:12" x14ac:dyDescent="0.25">
      <c r="G556" s="1"/>
      <c r="H556" s="1"/>
      <c r="I556" s="1"/>
      <c r="J556" s="1"/>
      <c r="K556" s="1"/>
      <c r="L556" s="1"/>
    </row>
    <row r="557" spans="7:12" x14ac:dyDescent="0.25">
      <c r="G557" s="1"/>
      <c r="H557" s="1"/>
      <c r="I557" s="1"/>
      <c r="J557" s="1"/>
      <c r="K557" s="1"/>
      <c r="L557" s="1"/>
    </row>
    <row r="558" spans="7:12" x14ac:dyDescent="0.25">
      <c r="G558" s="1"/>
      <c r="H558" s="1"/>
      <c r="I558" s="1"/>
      <c r="J558" s="1"/>
      <c r="K558" s="1"/>
      <c r="L558" s="1"/>
    </row>
    <row r="559" spans="7:12" x14ac:dyDescent="0.25">
      <c r="G559" s="1"/>
      <c r="H559" s="1"/>
      <c r="I559" s="1"/>
      <c r="J559" s="1"/>
      <c r="K559" s="1"/>
      <c r="L559" s="1"/>
    </row>
    <row r="560" spans="7:12" x14ac:dyDescent="0.25">
      <c r="G560" s="1"/>
      <c r="H560" s="1"/>
      <c r="I560" s="1"/>
      <c r="J560" s="1"/>
      <c r="K560" s="1"/>
      <c r="L560" s="1"/>
    </row>
    <row r="561" spans="7:12" x14ac:dyDescent="0.25">
      <c r="G561" s="1"/>
      <c r="H561" s="1"/>
      <c r="I561" s="1"/>
      <c r="J561" s="1"/>
      <c r="K561" s="1"/>
      <c r="L561" s="1"/>
    </row>
    <row r="562" spans="7:12" x14ac:dyDescent="0.25">
      <c r="G562" s="1"/>
      <c r="H562" s="1"/>
      <c r="I562" s="1"/>
      <c r="J562" s="1"/>
      <c r="K562" s="1"/>
      <c r="L562" s="1"/>
    </row>
    <row r="563" spans="7:12" x14ac:dyDescent="0.25">
      <c r="G563" s="1"/>
      <c r="H563" s="1"/>
      <c r="I563" s="1"/>
      <c r="J563" s="1"/>
      <c r="K563" s="1"/>
      <c r="L563" s="1"/>
    </row>
    <row r="564" spans="7:12" x14ac:dyDescent="0.25">
      <c r="G564" s="1"/>
      <c r="H564" s="1"/>
      <c r="I564" s="1"/>
      <c r="J564" s="1"/>
      <c r="K564" s="1"/>
      <c r="L564" s="1"/>
    </row>
    <row r="565" spans="7:12" x14ac:dyDescent="0.25">
      <c r="G565" s="1"/>
      <c r="H565" s="1"/>
      <c r="I565" s="1"/>
      <c r="J565" s="1"/>
      <c r="K565" s="1"/>
      <c r="L565" s="1"/>
    </row>
    <row r="566" spans="7:12" x14ac:dyDescent="0.25">
      <c r="G566" s="1"/>
      <c r="H566" s="1"/>
      <c r="I566" s="1"/>
      <c r="J566" s="1"/>
      <c r="K566" s="1"/>
      <c r="L566" s="1"/>
    </row>
    <row r="567" spans="7:12" x14ac:dyDescent="0.25">
      <c r="G567" s="1"/>
      <c r="H567" s="1"/>
      <c r="I567" s="1"/>
      <c r="J567" s="1"/>
      <c r="K567" s="1"/>
      <c r="L567" s="1"/>
    </row>
    <row r="568" spans="7:12" x14ac:dyDescent="0.25">
      <c r="G568" s="1"/>
      <c r="H568" s="1"/>
      <c r="I568" s="1"/>
      <c r="J568" s="1"/>
      <c r="K568" s="1"/>
      <c r="L568" s="1"/>
    </row>
    <row r="569" spans="7:12" x14ac:dyDescent="0.25">
      <c r="G569" s="1"/>
      <c r="H569" s="1"/>
      <c r="I569" s="1"/>
      <c r="J569" s="1"/>
      <c r="K569" s="1"/>
      <c r="L569" s="1"/>
    </row>
    <row r="570" spans="7:12" x14ac:dyDescent="0.25">
      <c r="G570" s="1"/>
      <c r="H570" s="1"/>
      <c r="I570" s="1"/>
      <c r="J570" s="1"/>
      <c r="K570" s="1"/>
      <c r="L570" s="1"/>
    </row>
    <row r="571" spans="7:12" x14ac:dyDescent="0.25">
      <c r="G571" s="1"/>
      <c r="H571" s="1"/>
      <c r="I571" s="1"/>
      <c r="J571" s="1"/>
      <c r="K571" s="1"/>
      <c r="L571" s="1"/>
    </row>
    <row r="572" spans="7:12" x14ac:dyDescent="0.25">
      <c r="G572" s="1"/>
      <c r="H572" s="1"/>
      <c r="I572" s="1"/>
      <c r="J572" s="1"/>
      <c r="K572" s="1"/>
      <c r="L572" s="1"/>
    </row>
    <row r="573" spans="7:12" x14ac:dyDescent="0.25">
      <c r="G573" s="1"/>
      <c r="H573" s="1"/>
      <c r="I573" s="1"/>
      <c r="J573" s="1"/>
      <c r="K573" s="1"/>
      <c r="L573" s="1"/>
    </row>
    <row r="574" spans="7:12" x14ac:dyDescent="0.25">
      <c r="G574" s="1"/>
      <c r="H574" s="1"/>
      <c r="I574" s="1"/>
      <c r="J574" s="1"/>
      <c r="K574" s="1"/>
      <c r="L574" s="1"/>
    </row>
    <row r="575" spans="7:12" x14ac:dyDescent="0.25">
      <c r="G575" s="1"/>
      <c r="H575" s="1"/>
      <c r="I575" s="1"/>
      <c r="J575" s="1"/>
      <c r="K575" s="1"/>
      <c r="L575" s="1"/>
    </row>
    <row r="576" spans="7:12" x14ac:dyDescent="0.25">
      <c r="G576" s="1"/>
      <c r="H576" s="1"/>
      <c r="I576" s="1"/>
      <c r="J576" s="1"/>
      <c r="K576" s="1"/>
      <c r="L576" s="1"/>
    </row>
    <row r="577" spans="7:12" x14ac:dyDescent="0.25">
      <c r="G577" s="1"/>
      <c r="H577" s="1"/>
      <c r="I577" s="1"/>
      <c r="J577" s="1"/>
      <c r="K577" s="1"/>
      <c r="L577" s="1"/>
    </row>
    <row r="578" spans="7:12" x14ac:dyDescent="0.25">
      <c r="G578" s="1"/>
      <c r="H578" s="1"/>
      <c r="I578" s="1"/>
      <c r="J578" s="1"/>
      <c r="K578" s="1"/>
      <c r="L578" s="1"/>
    </row>
    <row r="579" spans="7:12" x14ac:dyDescent="0.25">
      <c r="G579" s="1"/>
      <c r="H579" s="1"/>
      <c r="I579" s="1"/>
      <c r="J579" s="1"/>
      <c r="K579" s="1"/>
      <c r="L579" s="1"/>
    </row>
    <row r="580" spans="7:12" x14ac:dyDescent="0.25">
      <c r="G580" s="1"/>
      <c r="H580" s="1"/>
      <c r="I580" s="1"/>
      <c r="J580" s="1"/>
      <c r="K580" s="1"/>
      <c r="L580" s="1"/>
    </row>
    <row r="581" spans="7:12" x14ac:dyDescent="0.25">
      <c r="G581" s="1"/>
      <c r="H581" s="1"/>
      <c r="I581" s="1"/>
      <c r="J581" s="1"/>
      <c r="K581" s="1"/>
      <c r="L581" s="1"/>
    </row>
    <row r="582" spans="7:12" x14ac:dyDescent="0.25">
      <c r="G582" s="1"/>
      <c r="H582" s="1"/>
      <c r="I582" s="1"/>
      <c r="J582" s="1"/>
      <c r="K582" s="1"/>
      <c r="L582" s="1"/>
    </row>
    <row r="583" spans="7:12" x14ac:dyDescent="0.25">
      <c r="G583" s="1"/>
      <c r="H583" s="1"/>
      <c r="I583" s="1"/>
      <c r="J583" s="1"/>
      <c r="K583" s="1"/>
      <c r="L583" s="1"/>
    </row>
    <row r="584" spans="7:12" x14ac:dyDescent="0.25">
      <c r="G584" s="1"/>
      <c r="H584" s="1"/>
      <c r="I584" s="1"/>
      <c r="J584" s="1"/>
      <c r="K584" s="1"/>
      <c r="L584" s="1"/>
    </row>
    <row r="585" spans="7:12" x14ac:dyDescent="0.25">
      <c r="G585" s="1"/>
      <c r="H585" s="1"/>
      <c r="I585" s="1"/>
      <c r="J585" s="1"/>
      <c r="K585" s="1"/>
      <c r="L585" s="1"/>
    </row>
    <row r="586" spans="7:12" x14ac:dyDescent="0.25">
      <c r="G586" s="1"/>
      <c r="H586" s="1"/>
      <c r="I586" s="1"/>
      <c r="J586" s="1"/>
      <c r="K586" s="1"/>
      <c r="L586" s="1"/>
    </row>
    <row r="587" spans="7:12" x14ac:dyDescent="0.25">
      <c r="G587" s="1"/>
      <c r="H587" s="1"/>
      <c r="I587" s="1"/>
      <c r="J587" s="1"/>
      <c r="K587" s="1"/>
      <c r="L587" s="1"/>
    </row>
    <row r="588" spans="7:12" x14ac:dyDescent="0.25">
      <c r="G588" s="1"/>
      <c r="H588" s="1"/>
      <c r="I588" s="1"/>
      <c r="J588" s="1"/>
      <c r="K588" s="1"/>
      <c r="L588" s="1"/>
    </row>
    <row r="589" spans="7:12" x14ac:dyDescent="0.25">
      <c r="G589" s="1"/>
      <c r="H589" s="1"/>
      <c r="I589" s="1"/>
      <c r="J589" s="1"/>
      <c r="K589" s="1"/>
      <c r="L589" s="1"/>
    </row>
    <row r="590" spans="7:12" x14ac:dyDescent="0.25">
      <c r="G590" s="1"/>
      <c r="H590" s="1"/>
      <c r="I590" s="1"/>
      <c r="J590" s="1"/>
      <c r="K590" s="1"/>
      <c r="L590" s="1"/>
    </row>
    <row r="591" spans="7:12" x14ac:dyDescent="0.25">
      <c r="G591" s="1"/>
      <c r="H591" s="1"/>
      <c r="I591" s="1"/>
      <c r="J591" s="1"/>
      <c r="K591" s="1"/>
      <c r="L591" s="1"/>
    </row>
    <row r="592" spans="7:12" x14ac:dyDescent="0.25">
      <c r="G592" s="1"/>
      <c r="H592" s="1"/>
      <c r="I592" s="1"/>
      <c r="J592" s="1"/>
      <c r="K592" s="1"/>
      <c r="L592" s="1"/>
    </row>
    <row r="593" spans="7:12" x14ac:dyDescent="0.25">
      <c r="G593" s="1"/>
      <c r="H593" s="1"/>
      <c r="I593" s="1"/>
      <c r="J593" s="1"/>
      <c r="K593" s="1"/>
      <c r="L593" s="1"/>
    </row>
    <row r="594" spans="7:12" x14ac:dyDescent="0.25">
      <c r="G594" s="1"/>
      <c r="H594" s="1"/>
      <c r="I594" s="1"/>
      <c r="J594" s="1"/>
      <c r="K594" s="1"/>
      <c r="L594" s="1"/>
    </row>
    <row r="595" spans="7:12" x14ac:dyDescent="0.25">
      <c r="G595" s="1"/>
      <c r="H595" s="1"/>
      <c r="I595" s="1"/>
      <c r="J595" s="1"/>
      <c r="K595" s="1"/>
      <c r="L595" s="1"/>
    </row>
    <row r="596" spans="7:12" x14ac:dyDescent="0.25">
      <c r="G596" s="1"/>
      <c r="H596" s="1"/>
      <c r="I596" s="1"/>
      <c r="J596" s="1"/>
      <c r="K596" s="1"/>
      <c r="L596" s="1"/>
    </row>
    <row r="597" spans="7:12" x14ac:dyDescent="0.25">
      <c r="G597" s="1"/>
      <c r="H597" s="1"/>
      <c r="I597" s="1"/>
      <c r="J597" s="1"/>
      <c r="K597" s="1"/>
      <c r="L597" s="1"/>
    </row>
    <row r="598" spans="7:12" x14ac:dyDescent="0.25">
      <c r="G598" s="1"/>
      <c r="H598" s="1"/>
      <c r="I598" s="1"/>
      <c r="J598" s="1"/>
      <c r="K598" s="1"/>
      <c r="L598" s="1"/>
    </row>
    <row r="599" spans="7:12" x14ac:dyDescent="0.25">
      <c r="G599" s="1"/>
      <c r="H599" s="1"/>
      <c r="I599" s="1"/>
      <c r="J599" s="1"/>
      <c r="K599" s="1"/>
      <c r="L599" s="1"/>
    </row>
    <row r="600" spans="7:12" x14ac:dyDescent="0.25">
      <c r="G600" s="1"/>
      <c r="H600" s="1"/>
      <c r="I600" s="1"/>
      <c r="J600" s="1"/>
      <c r="K600" s="1"/>
      <c r="L600" s="1"/>
    </row>
    <row r="601" spans="7:12" x14ac:dyDescent="0.25">
      <c r="G601" s="1"/>
      <c r="H601" s="1"/>
      <c r="I601" s="1"/>
      <c r="J601" s="1"/>
      <c r="K601" s="1"/>
      <c r="L601" s="1"/>
    </row>
    <row r="602" spans="7:12" x14ac:dyDescent="0.25">
      <c r="G602" s="1"/>
      <c r="H602" s="1"/>
      <c r="I602" s="1"/>
      <c r="J602" s="1"/>
      <c r="K602" s="1"/>
      <c r="L602" s="1"/>
    </row>
    <row r="603" spans="7:12" x14ac:dyDescent="0.25">
      <c r="G603" s="1"/>
      <c r="H603" s="1"/>
      <c r="I603" s="1"/>
      <c r="J603" s="1"/>
      <c r="K603" s="1"/>
      <c r="L603" s="1"/>
    </row>
    <row r="604" spans="7:12" x14ac:dyDescent="0.25">
      <c r="G604" s="1"/>
      <c r="H604" s="1"/>
      <c r="I604" s="1"/>
      <c r="J604" s="1"/>
      <c r="K604" s="1"/>
      <c r="L604" s="1"/>
    </row>
    <row r="605" spans="7:12" x14ac:dyDescent="0.25">
      <c r="G605" s="1"/>
      <c r="H605" s="1"/>
      <c r="I605" s="1"/>
      <c r="J605" s="1"/>
      <c r="K605" s="1"/>
      <c r="L605" s="1"/>
    </row>
    <row r="606" spans="7:12" x14ac:dyDescent="0.25">
      <c r="G606" s="1"/>
      <c r="H606" s="1"/>
      <c r="I606" s="1"/>
      <c r="J606" s="1"/>
      <c r="K606" s="1"/>
      <c r="L606" s="1"/>
    </row>
    <row r="607" spans="7:12" x14ac:dyDescent="0.25">
      <c r="G607" s="1"/>
      <c r="H607" s="1"/>
      <c r="I607" s="1"/>
      <c r="J607" s="1"/>
      <c r="K607" s="1"/>
      <c r="L607" s="1"/>
    </row>
    <row r="608" spans="7:12" x14ac:dyDescent="0.25">
      <c r="G608" s="1"/>
      <c r="H608" s="1"/>
      <c r="I608" s="1"/>
      <c r="J608" s="1"/>
      <c r="K608" s="1"/>
      <c r="L608" s="1"/>
    </row>
    <row r="609" spans="7:12" x14ac:dyDescent="0.25">
      <c r="G609" s="1"/>
      <c r="H609" s="1"/>
      <c r="I609" s="1"/>
      <c r="J609" s="1"/>
      <c r="K609" s="1"/>
      <c r="L609" s="1"/>
    </row>
    <row r="610" spans="7:12" x14ac:dyDescent="0.25">
      <c r="G610" s="1"/>
      <c r="H610" s="1"/>
      <c r="I610" s="1"/>
      <c r="J610" s="1"/>
      <c r="K610" s="1"/>
      <c r="L610" s="1"/>
    </row>
    <row r="611" spans="7:12" x14ac:dyDescent="0.25">
      <c r="G611" s="1"/>
      <c r="H611" s="1"/>
      <c r="I611" s="1"/>
      <c r="J611" s="1"/>
      <c r="K611" s="1"/>
      <c r="L611" s="1"/>
    </row>
    <row r="612" spans="7:12" x14ac:dyDescent="0.25">
      <c r="G612" s="1"/>
      <c r="H612" s="1"/>
      <c r="I612" s="1"/>
      <c r="J612" s="1"/>
      <c r="K612" s="1"/>
      <c r="L612" s="1"/>
    </row>
    <row r="613" spans="7:12" x14ac:dyDescent="0.25">
      <c r="G613" s="1"/>
      <c r="H613" s="1"/>
      <c r="I613" s="1"/>
      <c r="J613" s="1"/>
      <c r="K613" s="1"/>
      <c r="L613" s="1"/>
    </row>
    <row r="614" spans="7:12" x14ac:dyDescent="0.25">
      <c r="G614" s="1"/>
      <c r="H614" s="1"/>
      <c r="I614" s="1"/>
      <c r="J614" s="1"/>
      <c r="K614" s="1"/>
      <c r="L614" s="1"/>
    </row>
    <row r="615" spans="7:12" x14ac:dyDescent="0.25">
      <c r="G615" s="1"/>
      <c r="H615" s="1"/>
      <c r="I615" s="1"/>
      <c r="J615" s="1"/>
      <c r="K615" s="1"/>
      <c r="L615" s="1"/>
    </row>
    <row r="616" spans="7:12" x14ac:dyDescent="0.25">
      <c r="G616" s="1"/>
      <c r="H616" s="1"/>
      <c r="I616" s="1"/>
      <c r="J616" s="1"/>
      <c r="K616" s="1"/>
      <c r="L616" s="1"/>
    </row>
    <row r="617" spans="7:12" x14ac:dyDescent="0.25">
      <c r="G617" s="1"/>
      <c r="H617" s="1"/>
      <c r="I617" s="1"/>
      <c r="J617" s="1"/>
      <c r="K617" s="1"/>
      <c r="L617" s="1"/>
    </row>
    <row r="618" spans="7:12" x14ac:dyDescent="0.25">
      <c r="G618" s="1"/>
      <c r="H618" s="1"/>
      <c r="I618" s="1"/>
      <c r="J618" s="1"/>
      <c r="K618" s="1"/>
      <c r="L618" s="1"/>
    </row>
    <row r="619" spans="7:12" x14ac:dyDescent="0.25">
      <c r="G619" s="1"/>
      <c r="H619" s="1"/>
      <c r="I619" s="1"/>
      <c r="J619" s="1"/>
      <c r="K619" s="1"/>
      <c r="L619" s="1"/>
    </row>
    <row r="620" spans="7:12" x14ac:dyDescent="0.25">
      <c r="G620" s="1"/>
      <c r="H620" s="1"/>
      <c r="I620" s="1"/>
      <c r="J620" s="1"/>
      <c r="K620" s="1"/>
      <c r="L620" s="1"/>
    </row>
    <row r="621" spans="7:12" x14ac:dyDescent="0.25">
      <c r="G621" s="1"/>
      <c r="H621" s="1"/>
      <c r="I621" s="1"/>
      <c r="J621" s="1"/>
      <c r="K621" s="1"/>
      <c r="L621" s="1"/>
    </row>
    <row r="622" spans="7:12" x14ac:dyDescent="0.25">
      <c r="G622" s="1"/>
      <c r="H622" s="1"/>
      <c r="I622" s="1"/>
      <c r="J622" s="1"/>
      <c r="K622" s="1"/>
      <c r="L622" s="1"/>
    </row>
    <row r="623" spans="7:12" x14ac:dyDescent="0.25">
      <c r="G623" s="1"/>
      <c r="H623" s="1"/>
      <c r="I623" s="1"/>
      <c r="J623" s="1"/>
      <c r="K623" s="1"/>
      <c r="L623" s="1"/>
    </row>
    <row r="624" spans="7:12" x14ac:dyDescent="0.25">
      <c r="G624" s="1"/>
      <c r="H624" s="1"/>
      <c r="I624" s="1"/>
      <c r="J624" s="1"/>
      <c r="K624" s="1"/>
      <c r="L624" s="1"/>
    </row>
    <row r="625" spans="7:12" x14ac:dyDescent="0.25">
      <c r="G625" s="1"/>
      <c r="H625" s="1"/>
      <c r="I625" s="1"/>
      <c r="J625" s="1"/>
      <c r="K625" s="1"/>
      <c r="L625" s="1"/>
    </row>
    <row r="626" spans="7:12" x14ac:dyDescent="0.25">
      <c r="G626" s="1"/>
      <c r="H626" s="1"/>
      <c r="I626" s="1"/>
      <c r="J626" s="1"/>
      <c r="K626" s="1"/>
      <c r="L626" s="1"/>
    </row>
    <row r="627" spans="7:12" x14ac:dyDescent="0.25">
      <c r="G627" s="1"/>
      <c r="H627" s="1"/>
      <c r="I627" s="1"/>
      <c r="J627" s="1"/>
      <c r="K627" s="1"/>
      <c r="L627" s="1"/>
    </row>
    <row r="628" spans="7:12" x14ac:dyDescent="0.25">
      <c r="G628" s="1"/>
      <c r="H628" s="1"/>
      <c r="I628" s="1"/>
      <c r="J628" s="1"/>
      <c r="K628" s="1"/>
      <c r="L628" s="1"/>
    </row>
    <row r="629" spans="7:12" x14ac:dyDescent="0.25">
      <c r="G629" s="1"/>
      <c r="H629" s="1"/>
      <c r="I629" s="1"/>
      <c r="J629" s="1"/>
      <c r="K629" s="1"/>
      <c r="L629" s="1"/>
    </row>
    <row r="630" spans="7:12" x14ac:dyDescent="0.25">
      <c r="G630" s="1"/>
      <c r="H630" s="1"/>
      <c r="I630" s="1"/>
      <c r="J630" s="1"/>
      <c r="K630" s="1"/>
      <c r="L630" s="1"/>
    </row>
    <row r="631" spans="7:12" x14ac:dyDescent="0.25">
      <c r="G631" s="1"/>
      <c r="H631" s="1"/>
      <c r="I631" s="1"/>
      <c r="J631" s="1"/>
      <c r="K631" s="1"/>
      <c r="L631" s="1"/>
    </row>
    <row r="632" spans="7:12" x14ac:dyDescent="0.25">
      <c r="G632" s="1"/>
      <c r="H632" s="1"/>
      <c r="I632" s="1"/>
      <c r="J632" s="1"/>
      <c r="K632" s="1"/>
      <c r="L632" s="1"/>
    </row>
    <row r="633" spans="7:12" x14ac:dyDescent="0.25">
      <c r="G633" s="1"/>
      <c r="H633" s="1"/>
      <c r="I633" s="1"/>
      <c r="J633" s="1"/>
      <c r="K633" s="1"/>
      <c r="L633" s="1"/>
    </row>
  </sheetData>
  <mergeCells count="3">
    <mergeCell ref="B89:F89"/>
    <mergeCell ref="B43:F43"/>
    <mergeCell ref="B2:F2"/>
  </mergeCells>
  <pageMargins left="0.7" right="0.7" top="0.75" bottom="0.75" header="0.3" footer="0.3"/>
  <pageSetup scale="96"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1A48F-9863-4B79-996B-44A9B19551D4}">
  <dimension ref="A1:U1076"/>
  <sheetViews>
    <sheetView showGridLines="0" topLeftCell="A30" zoomScale="70" zoomScaleNormal="70" workbookViewId="0">
      <selection activeCell="O1" sqref="O1"/>
    </sheetView>
  </sheetViews>
  <sheetFormatPr defaultRowHeight="15" x14ac:dyDescent="0.25"/>
  <cols>
    <col min="1" max="5" width="3" customWidth="1"/>
    <col min="6" max="6" width="36.85546875" customWidth="1"/>
    <col min="7" max="7" width="11.5703125" bestFit="1" customWidth="1"/>
    <col min="8" max="8" width="11.28515625" customWidth="1"/>
    <col min="9" max="11" width="10.28515625" bestFit="1" customWidth="1"/>
  </cols>
  <sheetData>
    <row r="1" spans="1:11" ht="24" thickBot="1" x14ac:dyDescent="0.4">
      <c r="A1" s="122" t="str">
        <f>+"Discount Cash Flow Model for "&amp;company.name</f>
        <v>Discount Cash Flow Model for Legends Inc.</v>
      </c>
    </row>
    <row r="2" spans="1:11" ht="15.75" thickBot="1" x14ac:dyDescent="0.3">
      <c r="A2" s="218" t="s">
        <v>101</v>
      </c>
      <c r="B2" s="219"/>
      <c r="C2" s="219"/>
      <c r="D2" s="219"/>
      <c r="E2" s="219"/>
      <c r="F2" s="219"/>
      <c r="G2" s="219"/>
      <c r="H2" s="219"/>
      <c r="I2" s="219"/>
      <c r="J2" s="219"/>
      <c r="K2" s="220"/>
    </row>
    <row r="3" spans="1:11" x14ac:dyDescent="0.25">
      <c r="A3" s="101"/>
      <c r="B3" s="102"/>
      <c r="C3" s="102" t="s">
        <v>102</v>
      </c>
      <c r="D3" s="102"/>
      <c r="E3" s="102"/>
      <c r="F3" s="103"/>
      <c r="G3" s="159" cm="1">
        <f t="array" aca="1" ref="G3" ca="1">_FV(H3,"Price")</f>
        <v>24.25</v>
      </c>
      <c r="H3" t="e" vm="1">
        <v>#VALUE!</v>
      </c>
      <c r="K3" s="43"/>
    </row>
    <row r="4" spans="1:11" x14ac:dyDescent="0.25">
      <c r="A4" s="101"/>
      <c r="B4" s="102"/>
      <c r="C4" s="102" t="s">
        <v>103</v>
      </c>
      <c r="D4" s="102"/>
      <c r="E4" s="102"/>
      <c r="F4" s="103"/>
      <c r="G4" s="129" cm="1">
        <f t="array" aca="1" ref="G4" ca="1">+_FV(H3,"Shares outstanding",TRUE)/1000000</f>
        <v>1183.6559999999999</v>
      </c>
      <c r="K4" s="43"/>
    </row>
    <row r="5" spans="1:11" x14ac:dyDescent="0.25">
      <c r="A5" s="101"/>
      <c r="B5" s="102"/>
      <c r="C5" s="102" t="s">
        <v>104</v>
      </c>
      <c r="D5" s="102"/>
      <c r="E5" s="102"/>
      <c r="F5" s="103"/>
      <c r="G5" s="160" cm="1">
        <f t="array" aca="1" ref="G5" ca="1">+_FV(H3,"Market cap",TRUE)/1000000000</f>
        <v>28.703658000000001</v>
      </c>
      <c r="K5" s="43"/>
    </row>
    <row r="6" spans="1:11" ht="15.75" thickBot="1" x14ac:dyDescent="0.3">
      <c r="A6" s="101"/>
      <c r="B6" s="102"/>
      <c r="C6" s="102"/>
      <c r="D6" s="102"/>
      <c r="E6" s="102"/>
      <c r="F6" s="103"/>
      <c r="G6" s="90"/>
      <c r="K6" s="43"/>
    </row>
    <row r="7" spans="1:11" ht="15.75" thickBot="1" x14ac:dyDescent="0.3">
      <c r="A7" s="163" t="s">
        <v>105</v>
      </c>
      <c r="B7" s="164"/>
      <c r="C7" s="164"/>
      <c r="D7" s="164"/>
      <c r="E7" s="164"/>
      <c r="F7" s="175"/>
      <c r="G7" s="174" t="s">
        <v>226</v>
      </c>
      <c r="H7" s="174" t="s">
        <v>227</v>
      </c>
      <c r="I7" s="174" t="s">
        <v>228</v>
      </c>
      <c r="J7" s="164"/>
      <c r="K7" s="165"/>
    </row>
    <row r="8" spans="1:11" x14ac:dyDescent="0.25">
      <c r="A8" s="101"/>
      <c r="B8" s="102"/>
      <c r="C8" s="102" t="s">
        <v>93</v>
      </c>
      <c r="D8" s="102"/>
      <c r="E8" s="102"/>
      <c r="F8" s="103"/>
      <c r="G8" s="161">
        <f>DCF.Debt</f>
        <v>5500</v>
      </c>
      <c r="H8" s="14">
        <f>+G8/$G$11</f>
        <v>0.31784032997647366</v>
      </c>
      <c r="I8" s="15">
        <f>(DCF.Interest.Expense/G8)*(100%-tax.rate)</f>
        <v>5.3181363636363638E-2</v>
      </c>
      <c r="K8" s="43"/>
    </row>
    <row r="9" spans="1:11" x14ac:dyDescent="0.25">
      <c r="A9" s="101"/>
      <c r="B9" s="102"/>
      <c r="C9" s="102" t="s">
        <v>106</v>
      </c>
      <c r="D9" s="102"/>
      <c r="E9" s="102"/>
      <c r="F9" s="103"/>
      <c r="G9" s="161">
        <f>+DCF.Pref.Stock</f>
        <v>1500</v>
      </c>
      <c r="H9" s="14">
        <f t="shared" ref="H9:H10" si="0">+G9/$G$11</f>
        <v>8.6683726357220089E-2</v>
      </c>
      <c r="I9" s="15">
        <v>7.8700000000000006E-2</v>
      </c>
      <c r="K9" s="43"/>
    </row>
    <row r="10" spans="1:11" x14ac:dyDescent="0.25">
      <c r="A10" s="101"/>
      <c r="B10" s="102"/>
      <c r="C10" s="102" t="s">
        <v>70</v>
      </c>
      <c r="D10" s="102"/>
      <c r="E10" s="102"/>
      <c r="F10" s="103"/>
      <c r="G10" s="161">
        <f>+DCF.Equity-G9</f>
        <v>10304.286087316566</v>
      </c>
      <c r="H10" s="14">
        <f t="shared" si="0"/>
        <v>0.59547594366630618</v>
      </c>
      <c r="I10" s="15">
        <v>0.1883</v>
      </c>
      <c r="K10" s="43"/>
    </row>
    <row r="11" spans="1:11" x14ac:dyDescent="0.25">
      <c r="A11" s="101"/>
      <c r="B11" s="102"/>
      <c r="C11" s="102"/>
      <c r="D11" s="102"/>
      <c r="E11" s="102"/>
      <c r="F11" s="103"/>
      <c r="G11" s="161">
        <f>SUM(G8:G10)</f>
        <v>17304.286087316566</v>
      </c>
      <c r="K11" s="43"/>
    </row>
    <row r="12" spans="1:11" ht="15.75" thickBot="1" x14ac:dyDescent="0.3">
      <c r="A12" s="101"/>
      <c r="B12" s="102" t="s">
        <v>107</v>
      </c>
      <c r="C12" s="102"/>
      <c r="D12" s="102"/>
      <c r="E12" s="102"/>
      <c r="F12" s="103"/>
      <c r="G12" s="162">
        <f>SUMPRODUCT(H8:H10,I8:I10)</f>
        <v>0.13585331162345932</v>
      </c>
      <c r="K12" s="43"/>
    </row>
    <row r="13" spans="1:11" ht="15.75" thickBot="1" x14ac:dyDescent="0.3">
      <c r="A13" s="218" t="s">
        <v>205</v>
      </c>
      <c r="B13" s="219"/>
      <c r="C13" s="219"/>
      <c r="D13" s="219"/>
      <c r="E13" s="219"/>
      <c r="F13" s="219"/>
      <c r="G13" s="219"/>
      <c r="H13" s="219"/>
      <c r="I13" s="219"/>
      <c r="J13" s="219"/>
      <c r="K13" s="220"/>
    </row>
    <row r="14" spans="1:11" ht="15.75" thickBot="1" x14ac:dyDescent="0.3">
      <c r="A14" s="123"/>
      <c r="B14" s="124" t="s">
        <v>108</v>
      </c>
      <c r="C14" s="124"/>
      <c r="D14" s="124"/>
      <c r="E14" s="124"/>
      <c r="F14" s="125"/>
      <c r="G14" s="158" cm="1">
        <f t="array" ref="G14:K14">dates.forecast</f>
        <v>2025</v>
      </c>
      <c r="H14" s="86">
        <v>2026</v>
      </c>
      <c r="I14" s="86">
        <v>2027</v>
      </c>
      <c r="J14" s="86">
        <v>2028</v>
      </c>
      <c r="K14" s="87">
        <v>2029</v>
      </c>
    </row>
    <row r="15" spans="1:11" x14ac:dyDescent="0.25">
      <c r="A15" s="101"/>
      <c r="B15" s="102"/>
      <c r="C15" s="102" t="s">
        <v>109</v>
      </c>
      <c r="D15" s="102"/>
      <c r="E15" s="102"/>
      <c r="F15" s="103"/>
      <c r="G15" s="113" cm="1">
        <f t="array" ref="G15:K15">F.EBIT+P.F.AMORT+P.F.DEPREC</f>
        <v>7684.9184951543657</v>
      </c>
      <c r="H15" s="4">
        <v>7792.0700696914837</v>
      </c>
      <c r="I15" s="4">
        <v>8012.6201268392915</v>
      </c>
      <c r="J15" s="4">
        <v>8291.5061206489081</v>
      </c>
      <c r="K15" s="23">
        <v>8508.6504072618591</v>
      </c>
    </row>
    <row r="16" spans="1:11" x14ac:dyDescent="0.25">
      <c r="A16" s="101"/>
      <c r="B16" s="102"/>
      <c r="C16" s="102"/>
      <c r="D16" s="102" t="s">
        <v>110</v>
      </c>
      <c r="E16" s="102"/>
      <c r="F16" s="103"/>
      <c r="G16" s="113" cm="1">
        <f t="array" ref="G16:K16">-P.F.DEPREC-P.F.AMORT</f>
        <v>-3476.6996626755363</v>
      </c>
      <c r="H16" s="4">
        <v>-3476.6996626755363</v>
      </c>
      <c r="I16" s="4">
        <v>-3476.6996626755363</v>
      </c>
      <c r="J16" s="4">
        <v>-3476.6996626755363</v>
      </c>
      <c r="K16" s="23">
        <v>-3476.6996626755363</v>
      </c>
    </row>
    <row r="17" spans="1:11" x14ac:dyDescent="0.25">
      <c r="A17" s="101"/>
      <c r="B17" s="102"/>
      <c r="C17" s="102" t="s">
        <v>111</v>
      </c>
      <c r="D17" s="102"/>
      <c r="E17" s="102"/>
      <c r="F17" s="103"/>
      <c r="G17" s="83" cm="1">
        <f t="array" ref="G17:K17">F.EBIT</f>
        <v>4208.2188324788294</v>
      </c>
      <c r="H17" s="3">
        <v>4315.3704070159474</v>
      </c>
      <c r="I17" s="3">
        <v>4535.9204641637552</v>
      </c>
      <c r="J17" s="3">
        <v>4814.8064579733709</v>
      </c>
      <c r="K17" s="22">
        <v>5031.9507445863237</v>
      </c>
    </row>
    <row r="18" spans="1:11" x14ac:dyDescent="0.25">
      <c r="A18" s="101"/>
      <c r="B18" s="102"/>
      <c r="C18" s="102"/>
      <c r="D18" s="102" t="s">
        <v>112</v>
      </c>
      <c r="E18" s="102"/>
      <c r="F18" s="103"/>
      <c r="G18" s="82" cm="1">
        <f t="array" ref="G18:K18">-_xlfn.ANCHORARRAY(G17)*tax.rate</f>
        <v>-883.72595482055419</v>
      </c>
      <c r="H18" s="5">
        <v>-906.22778547334894</v>
      </c>
      <c r="I18" s="5">
        <v>-952.54329747438851</v>
      </c>
      <c r="J18" s="5">
        <v>-1011.1093561744078</v>
      </c>
      <c r="K18" s="69">
        <v>-1056.709656363128</v>
      </c>
    </row>
    <row r="19" spans="1:11" x14ac:dyDescent="0.25">
      <c r="A19" s="101"/>
      <c r="B19" s="102"/>
      <c r="C19" s="102" t="s">
        <v>113</v>
      </c>
      <c r="D19" s="102"/>
      <c r="E19" s="102"/>
      <c r="F19" s="103"/>
      <c r="G19" s="113" cm="1">
        <f t="array" ref="G19:K19">+_xlfn.ANCHORARRAY(G17)+_xlfn.ANCHORARRAY(G18)</f>
        <v>3324.4928776582751</v>
      </c>
      <c r="H19" s="4">
        <v>3409.1426215425986</v>
      </c>
      <c r="I19" s="4">
        <v>3583.3771666893667</v>
      </c>
      <c r="J19" s="4">
        <v>3803.6971017989631</v>
      </c>
      <c r="K19" s="23">
        <v>3975.2410882231957</v>
      </c>
    </row>
    <row r="20" spans="1:11" x14ac:dyDescent="0.25">
      <c r="A20" s="101"/>
      <c r="B20" s="102"/>
      <c r="C20" s="102"/>
      <c r="D20" s="102" t="s">
        <v>114</v>
      </c>
      <c r="E20" s="102"/>
      <c r="F20" s="103"/>
      <c r="G20" s="113" cm="1">
        <f t="array" ref="G20:K20">-_xlfn.ANCHORARRAY(G16)</f>
        <v>3476.6996626755363</v>
      </c>
      <c r="H20" s="4">
        <v>3476.6996626755363</v>
      </c>
      <c r="I20" s="4">
        <v>3476.6996626755363</v>
      </c>
      <c r="J20" s="4">
        <v>3476.6996626755363</v>
      </c>
      <c r="K20" s="23">
        <v>3476.6996626755363</v>
      </c>
    </row>
    <row r="21" spans="1:11" x14ac:dyDescent="0.25">
      <c r="A21" s="101"/>
      <c r="B21" s="102"/>
      <c r="C21" s="102"/>
      <c r="D21" s="102" t="s">
        <v>79</v>
      </c>
      <c r="E21" s="102"/>
      <c r="F21" s="103"/>
      <c r="G21" s="113">
        <f>+SUM('Financial Statements'!K96:K100)</f>
        <v>103.760860354123</v>
      </c>
      <c r="H21" s="4">
        <f>+SUM('Financial Statements'!L96:L100)</f>
        <v>-37.265311300651774</v>
      </c>
      <c r="I21" s="4">
        <f>+SUM('Financial Statements'!M96:M100)</f>
        <v>124.15692833142134</v>
      </c>
      <c r="J21" s="4">
        <f>+SUM('Financial Statements'!N96:N100)</f>
        <v>-34.468438414073717</v>
      </c>
      <c r="K21" s="23">
        <f>+SUM('Financial Statements'!O96:O100)</f>
        <v>137.95621789639767</v>
      </c>
    </row>
    <row r="22" spans="1:11" x14ac:dyDescent="0.25">
      <c r="A22" s="101"/>
      <c r="B22" s="102"/>
      <c r="C22" s="102" t="s">
        <v>115</v>
      </c>
      <c r="D22" s="102"/>
      <c r="E22" s="102"/>
      <c r="F22" s="103"/>
      <c r="G22" s="83">
        <f>SUM(G19:G21)</f>
        <v>6904.9534006879348</v>
      </c>
      <c r="H22" s="3">
        <f t="shared" ref="H22:K22" si="1">SUM(H19:H21)</f>
        <v>6848.5769729174835</v>
      </c>
      <c r="I22" s="3">
        <f t="shared" si="1"/>
        <v>7184.2337576963246</v>
      </c>
      <c r="J22" s="3">
        <f t="shared" si="1"/>
        <v>7245.9283260604252</v>
      </c>
      <c r="K22" s="22">
        <f t="shared" si="1"/>
        <v>7589.8969687951294</v>
      </c>
    </row>
    <row r="23" spans="1:11" x14ac:dyDescent="0.25">
      <c r="A23" s="101"/>
      <c r="B23" s="102"/>
      <c r="C23" s="102"/>
      <c r="D23" s="102" t="s">
        <v>116</v>
      </c>
      <c r="E23" s="102"/>
      <c r="F23" s="103"/>
      <c r="G23" s="113" cm="1">
        <f t="array" ref="G23:K23">-p.f.capex</f>
        <v>-1750</v>
      </c>
      <c r="H23" s="4">
        <v>-1750</v>
      </c>
      <c r="I23" s="4">
        <v>-1500</v>
      </c>
      <c r="J23" s="4">
        <v>-1500</v>
      </c>
      <c r="K23" s="23">
        <v>-1500</v>
      </c>
    </row>
    <row r="24" spans="1:11" x14ac:dyDescent="0.25">
      <c r="A24" s="101"/>
      <c r="B24" s="102"/>
      <c r="C24" s="102" t="s">
        <v>117</v>
      </c>
      <c r="D24" s="102"/>
      <c r="E24" s="102"/>
      <c r="F24" s="103"/>
      <c r="G24" s="83">
        <f>SUM(G22:G23)</f>
        <v>5154.9534006879348</v>
      </c>
      <c r="H24" s="3">
        <f t="shared" ref="H24:K24" si="2">SUM(H22:H23)</f>
        <v>5098.5769729174835</v>
      </c>
      <c r="I24" s="3">
        <f t="shared" si="2"/>
        <v>5684.2337576963246</v>
      </c>
      <c r="J24" s="3">
        <f t="shared" si="2"/>
        <v>5745.9283260604252</v>
      </c>
      <c r="K24" s="22">
        <f t="shared" si="2"/>
        <v>6089.8969687951294</v>
      </c>
    </row>
    <row r="25" spans="1:11" x14ac:dyDescent="0.25">
      <c r="A25" s="101"/>
      <c r="B25" s="102"/>
      <c r="C25" s="102"/>
      <c r="D25" s="102" t="s">
        <v>118</v>
      </c>
      <c r="E25" s="102"/>
      <c r="F25" s="103"/>
      <c r="G25" s="114" cm="1">
        <f t="array" ref="G25">1/(1+wacc)^G100</f>
        <v>0.88039537303519766</v>
      </c>
      <c r="H25" s="14" cm="1">
        <f t="array" ref="H25">1/(1+wacc)^H100</f>
        <v>0.77509601286178487</v>
      </c>
      <c r="I25" s="14" cm="1">
        <f t="array" ref="I25">1/(1+wacc)^I100</f>
        <v>0.68239094338154549</v>
      </c>
      <c r="J25" s="14" cm="1">
        <f t="array" ref="J25">1/(1+wacc)^J100</f>
        <v>0.60077382915423616</v>
      </c>
      <c r="K25" s="67" cm="1">
        <f t="array" ref="K25">1/(1+wacc)^K100</f>
        <v>0.52891849942802782</v>
      </c>
    </row>
    <row r="26" spans="1:11" x14ac:dyDescent="0.25">
      <c r="A26" s="101"/>
      <c r="B26" s="102"/>
      <c r="C26" s="102" t="s">
        <v>119</v>
      </c>
      <c r="D26" s="102"/>
      <c r="E26" s="102"/>
      <c r="F26" s="103"/>
      <c r="G26" s="113" cm="1">
        <f t="array" ref="G26:K26">+G24:K24*G25:K25</f>
        <v>4538.3971221777156</v>
      </c>
      <c r="H26" s="4">
        <v>3951.8866829772501</v>
      </c>
      <c r="I26" s="4">
        <v>3878.8696363156223</v>
      </c>
      <c r="J26" s="4">
        <v>3452.003362493112</v>
      </c>
      <c r="K26" s="23">
        <v>3221.059166406415</v>
      </c>
    </row>
    <row r="27" spans="1:11" x14ac:dyDescent="0.25">
      <c r="A27" s="101"/>
      <c r="B27" s="102"/>
      <c r="C27" s="102" t="s">
        <v>120</v>
      </c>
      <c r="D27" s="102"/>
      <c r="E27" s="102"/>
      <c r="F27" s="103"/>
      <c r="G27" s="115">
        <f>SUM(_xlfn.ANCHORARRAY(G26))</f>
        <v>19042.215970370118</v>
      </c>
      <c r="H27" s="4"/>
      <c r="I27" s="4"/>
      <c r="J27" s="4"/>
      <c r="K27" s="23"/>
    </row>
    <row r="28" spans="1:11" x14ac:dyDescent="0.25">
      <c r="A28" s="101"/>
      <c r="B28" s="102"/>
      <c r="C28" s="102"/>
      <c r="D28" s="102"/>
      <c r="E28" s="102"/>
      <c r="F28" s="103"/>
      <c r="G28" s="113"/>
      <c r="H28" s="4"/>
      <c r="I28" s="4"/>
      <c r="J28" s="4"/>
      <c r="K28" s="23"/>
    </row>
    <row r="29" spans="1:11" x14ac:dyDescent="0.25">
      <c r="A29" s="101"/>
      <c r="B29" s="102" t="s">
        <v>121</v>
      </c>
      <c r="C29" s="102"/>
      <c r="D29" s="102"/>
      <c r="E29" s="102"/>
      <c r="F29" s="103"/>
      <c r="G29" s="113"/>
      <c r="H29" s="4"/>
      <c r="I29" s="4"/>
      <c r="J29" s="4"/>
      <c r="K29" s="23"/>
    </row>
    <row r="30" spans="1:11" x14ac:dyDescent="0.25">
      <c r="A30" s="101"/>
      <c r="B30" s="102"/>
      <c r="C30" s="126" t="s">
        <v>122</v>
      </c>
      <c r="D30" s="102"/>
      <c r="E30" s="102"/>
      <c r="F30" s="103"/>
      <c r="G30" s="113"/>
      <c r="H30" s="4"/>
      <c r="I30" s="4"/>
      <c r="J30" s="4"/>
      <c r="K30" s="23"/>
    </row>
    <row r="31" spans="1:11" x14ac:dyDescent="0.25">
      <c r="A31" s="101"/>
      <c r="B31" s="102"/>
      <c r="C31" s="102"/>
      <c r="D31" s="102" t="s">
        <v>123</v>
      </c>
      <c r="E31" s="102"/>
      <c r="F31" s="103"/>
      <c r="G31" s="113">
        <f>dcf.fcf.y5</f>
        <v>6089.8969687951294</v>
      </c>
      <c r="H31" s="4"/>
      <c r="I31" s="4"/>
      <c r="J31" s="4"/>
      <c r="K31" s="23"/>
    </row>
    <row r="32" spans="1:11" x14ac:dyDescent="0.25">
      <c r="A32" s="101"/>
      <c r="B32" s="102"/>
      <c r="C32" s="102"/>
      <c r="D32" s="102" t="s">
        <v>124</v>
      </c>
      <c r="E32" s="102"/>
      <c r="F32" s="103"/>
      <c r="G32" s="116">
        <v>3.8300000000000001E-2</v>
      </c>
      <c r="H32" s="4"/>
      <c r="I32" s="4"/>
      <c r="J32" s="4"/>
      <c r="K32" s="23"/>
    </row>
    <row r="33" spans="1:11" x14ac:dyDescent="0.25">
      <c r="A33" s="101"/>
      <c r="B33" s="102"/>
      <c r="C33" s="102"/>
      <c r="D33" s="102" t="s">
        <v>125</v>
      </c>
      <c r="E33" s="102"/>
      <c r="F33" s="103"/>
      <c r="G33" s="113">
        <f>G31*(1+G32)</f>
        <v>6323.1400226999831</v>
      </c>
      <c r="H33" s="4"/>
      <c r="I33" s="4"/>
      <c r="J33" s="4"/>
      <c r="K33" s="23"/>
    </row>
    <row r="34" spans="1:11" x14ac:dyDescent="0.25">
      <c r="A34" s="101"/>
      <c r="B34" s="102"/>
      <c r="C34" s="102" t="s">
        <v>126</v>
      </c>
      <c r="D34" s="102"/>
      <c r="E34" s="102"/>
      <c r="F34" s="103"/>
      <c r="G34" s="113">
        <f>+G33/(wacc-G32)</f>
        <v>64817.277009583486</v>
      </c>
      <c r="H34" s="4"/>
      <c r="I34" s="4"/>
      <c r="J34" s="4"/>
      <c r="K34" s="23"/>
    </row>
    <row r="35" spans="1:11" x14ac:dyDescent="0.25">
      <c r="A35" s="101"/>
      <c r="B35" s="102"/>
      <c r="C35" s="102" t="s">
        <v>127</v>
      </c>
      <c r="D35" s="102"/>
      <c r="E35" s="102"/>
      <c r="F35" s="103"/>
      <c r="G35" s="113"/>
      <c r="H35" s="4"/>
      <c r="I35" s="4"/>
      <c r="J35" s="4"/>
      <c r="K35" s="23"/>
    </row>
    <row r="36" spans="1:11" x14ac:dyDescent="0.25">
      <c r="A36" s="101"/>
      <c r="B36" s="102"/>
      <c r="C36" s="102"/>
      <c r="D36" s="102" t="s">
        <v>128</v>
      </c>
      <c r="E36" s="102"/>
      <c r="F36" s="103"/>
      <c r="G36" s="113">
        <f>+G34*dcf.terminaldc</f>
        <v>34283.056892919703</v>
      </c>
      <c r="H36" s="4"/>
      <c r="I36" s="4"/>
      <c r="J36" s="4"/>
      <c r="K36" s="23"/>
    </row>
    <row r="37" spans="1:11" x14ac:dyDescent="0.25">
      <c r="A37" s="101"/>
      <c r="B37" s="102"/>
      <c r="C37" s="102"/>
      <c r="D37" s="102" t="s">
        <v>129</v>
      </c>
      <c r="E37" s="102"/>
      <c r="F37" s="103"/>
      <c r="G37" s="113">
        <f>+G27</f>
        <v>19042.215970370118</v>
      </c>
      <c r="H37" s="4"/>
      <c r="I37" s="4"/>
      <c r="J37" s="4"/>
      <c r="K37" s="23"/>
    </row>
    <row r="38" spans="1:11" x14ac:dyDescent="0.25">
      <c r="A38" s="101"/>
      <c r="B38" s="102"/>
      <c r="C38" s="102" t="s">
        <v>130</v>
      </c>
      <c r="D38" s="102"/>
      <c r="E38" s="102"/>
      <c r="F38" s="103"/>
      <c r="G38" s="83">
        <f>SUM(G36:G37)</f>
        <v>53325.272863289822</v>
      </c>
      <c r="H38" s="4"/>
      <c r="I38" s="4"/>
      <c r="J38" s="4"/>
      <c r="K38" s="23"/>
    </row>
    <row r="39" spans="1:11" x14ac:dyDescent="0.25">
      <c r="A39" s="101"/>
      <c r="B39" s="102"/>
      <c r="C39" s="102"/>
      <c r="D39" s="102" t="s">
        <v>131</v>
      </c>
      <c r="E39" s="102"/>
      <c r="F39" s="103"/>
      <c r="G39" s="117">
        <f>+tv.gordon/dcf.terminal.ebitda</f>
        <v>6.2671834322607047</v>
      </c>
      <c r="H39" s="118"/>
      <c r="I39" s="4"/>
      <c r="J39" s="4"/>
      <c r="K39" s="23"/>
    </row>
    <row r="40" spans="1:11" x14ac:dyDescent="0.25">
      <c r="A40" s="101"/>
      <c r="B40" s="102"/>
      <c r="C40" s="102"/>
      <c r="D40" s="102"/>
      <c r="E40" s="102"/>
      <c r="F40" s="103"/>
      <c r="G40" s="117"/>
      <c r="H40" s="4"/>
      <c r="I40" s="4"/>
      <c r="J40" s="4"/>
      <c r="K40" s="23"/>
    </row>
    <row r="41" spans="1:11" x14ac:dyDescent="0.25">
      <c r="A41" s="101"/>
      <c r="B41" s="102"/>
      <c r="C41" s="102" t="s">
        <v>132</v>
      </c>
      <c r="D41" s="102"/>
      <c r="E41" s="102"/>
      <c r="F41" s="103"/>
      <c r="G41" s="113"/>
      <c r="H41" s="4"/>
      <c r="I41" s="4"/>
      <c r="J41" s="4"/>
      <c r="K41" s="23"/>
    </row>
    <row r="42" spans="1:11" x14ac:dyDescent="0.25">
      <c r="A42" s="101"/>
      <c r="B42" s="102"/>
      <c r="C42" s="102"/>
      <c r="D42" s="102" t="s">
        <v>133</v>
      </c>
      <c r="E42" s="102"/>
      <c r="F42" s="103"/>
      <c r="G42" s="113"/>
      <c r="H42" s="4"/>
      <c r="I42" s="4"/>
      <c r="J42" s="4"/>
      <c r="K42" s="23"/>
    </row>
    <row r="43" spans="1:11" x14ac:dyDescent="0.25">
      <c r="A43" s="101"/>
      <c r="B43" s="102"/>
      <c r="C43" s="102"/>
      <c r="D43" s="102"/>
      <c r="E43" s="102" t="s">
        <v>134</v>
      </c>
      <c r="F43" s="103"/>
      <c r="G43" s="113">
        <f>dcf.terminal.ebitda</f>
        <v>8508.6504072618591</v>
      </c>
      <c r="H43" s="4"/>
      <c r="I43" s="4"/>
      <c r="J43" s="4"/>
      <c r="K43" s="23"/>
    </row>
    <row r="44" spans="1:11" x14ac:dyDescent="0.25">
      <c r="A44" s="101"/>
      <c r="B44" s="102"/>
      <c r="C44" s="102"/>
      <c r="D44" s="102"/>
      <c r="E44" s="102" t="s">
        <v>135</v>
      </c>
      <c r="F44" s="103"/>
      <c r="G44" s="117">
        <v>8</v>
      </c>
      <c r="H44" s="4"/>
      <c r="I44" s="4"/>
      <c r="J44" s="4"/>
      <c r="K44" s="23"/>
    </row>
    <row r="45" spans="1:11" x14ac:dyDescent="0.25">
      <c r="A45" s="101"/>
      <c r="B45" s="102"/>
      <c r="C45" s="102"/>
      <c r="D45" s="102" t="s">
        <v>133</v>
      </c>
      <c r="E45" s="102"/>
      <c r="F45" s="103"/>
      <c r="G45" s="113">
        <f>+G44*G43</f>
        <v>68069.203258094873</v>
      </c>
      <c r="H45" s="4"/>
      <c r="I45" s="4"/>
      <c r="J45" s="4"/>
      <c r="K45" s="23"/>
    </row>
    <row r="46" spans="1:11" x14ac:dyDescent="0.25">
      <c r="A46" s="101"/>
      <c r="B46" s="102"/>
      <c r="C46" s="102"/>
      <c r="D46" s="102"/>
      <c r="E46" s="102" t="s">
        <v>128</v>
      </c>
      <c r="F46" s="103"/>
      <c r="G46" s="113">
        <f>+G45*dcf.terminaldc</f>
        <v>36003.060844532964</v>
      </c>
      <c r="H46" s="4"/>
      <c r="I46" s="4"/>
      <c r="J46" s="4"/>
      <c r="K46" s="23"/>
    </row>
    <row r="47" spans="1:11" x14ac:dyDescent="0.25">
      <c r="A47" s="101"/>
      <c r="B47" s="102"/>
      <c r="C47" s="102"/>
      <c r="D47" s="102"/>
      <c r="E47" s="102" t="s">
        <v>129</v>
      </c>
      <c r="F47" s="103"/>
      <c r="G47" s="113">
        <f>G27</f>
        <v>19042.215970370118</v>
      </c>
      <c r="H47" s="4"/>
      <c r="I47" s="4"/>
      <c r="J47" s="4"/>
      <c r="K47" s="23"/>
    </row>
    <row r="48" spans="1:11" x14ac:dyDescent="0.25">
      <c r="A48" s="101"/>
      <c r="B48" s="102"/>
      <c r="C48" s="102"/>
      <c r="D48" s="102" t="s">
        <v>130</v>
      </c>
      <c r="E48" s="102"/>
      <c r="F48" s="103"/>
      <c r="G48" s="83">
        <f>SUM(G46:G47)</f>
        <v>55045.276814903082</v>
      </c>
      <c r="H48" s="4"/>
      <c r="I48" s="4"/>
      <c r="J48" s="4"/>
      <c r="K48" s="23"/>
    </row>
    <row r="49" spans="1:21" ht="15.75" thickBot="1" x14ac:dyDescent="0.3">
      <c r="A49" s="104"/>
      <c r="B49" s="105"/>
      <c r="C49" s="105"/>
      <c r="D49" s="105"/>
      <c r="E49" s="105" t="s">
        <v>136</v>
      </c>
      <c r="F49" s="106"/>
      <c r="G49" s="119">
        <f>(wacc-dcf.fcf.y5/G45)/(1-dcf.fcf.y5/G45)</f>
        <v>5.0944902459041382E-2</v>
      </c>
      <c r="H49" s="96"/>
      <c r="I49" s="96"/>
      <c r="J49" s="96"/>
      <c r="K49" s="27"/>
    </row>
    <row r="50" spans="1:21" x14ac:dyDescent="0.25">
      <c r="G50" s="1"/>
      <c r="H50" s="1"/>
      <c r="I50" s="1"/>
      <c r="J50" s="1"/>
      <c r="K50" s="1"/>
    </row>
    <row r="51" spans="1:21" ht="15.75" thickBot="1" x14ac:dyDescent="0.3">
      <c r="G51" s="1"/>
      <c r="H51" s="1"/>
      <c r="I51" s="1"/>
      <c r="J51" s="1"/>
      <c r="K51" s="1"/>
    </row>
    <row r="52" spans="1:21" ht="15.75" thickBot="1" x14ac:dyDescent="0.3">
      <c r="A52" s="218" t="s">
        <v>137</v>
      </c>
      <c r="B52" s="219"/>
      <c r="C52" s="219"/>
      <c r="D52" s="219"/>
      <c r="E52" s="219"/>
      <c r="F52" s="220"/>
      <c r="G52" s="238" t="s">
        <v>138</v>
      </c>
      <c r="H52" s="239"/>
      <c r="I52" s="1"/>
      <c r="J52" s="1"/>
      <c r="K52" s="1"/>
    </row>
    <row r="53" spans="1:21" x14ac:dyDescent="0.25">
      <c r="A53" s="101"/>
      <c r="B53" s="102"/>
      <c r="C53" s="102" t="s">
        <v>141</v>
      </c>
      <c r="D53" s="102"/>
      <c r="E53" s="102"/>
      <c r="F53" s="103"/>
      <c r="G53" s="127" t="s">
        <v>139</v>
      </c>
      <c r="H53" s="128" t="s">
        <v>140</v>
      </c>
      <c r="I53" s="1"/>
      <c r="J53" s="1"/>
    </row>
    <row r="54" spans="1:21" x14ac:dyDescent="0.25">
      <c r="A54" s="101"/>
      <c r="B54" s="102"/>
      <c r="C54" s="102"/>
      <c r="D54" s="102" t="s">
        <v>142</v>
      </c>
      <c r="E54" s="102"/>
      <c r="F54" s="103"/>
      <c r="G54" s="113">
        <f>tv.gordon</f>
        <v>53325.272863289822</v>
      </c>
      <c r="H54" s="23">
        <f>tv.multiple</f>
        <v>55045.276814903082</v>
      </c>
      <c r="I54" s="1"/>
      <c r="J54" s="1"/>
      <c r="K54" s="1"/>
    </row>
    <row r="55" spans="1:21" x14ac:dyDescent="0.25">
      <c r="A55" s="101"/>
      <c r="B55" s="102"/>
      <c r="C55" s="102"/>
      <c r="D55" s="102" t="s">
        <v>143</v>
      </c>
      <c r="E55" s="102"/>
      <c r="F55" s="103"/>
      <c r="G55" s="113">
        <f>-DCF.Debt</f>
        <v>-5500</v>
      </c>
      <c r="H55" s="23">
        <f>-DCF.Debt</f>
        <v>-5500</v>
      </c>
      <c r="I55" s="1"/>
      <c r="J55" s="1"/>
      <c r="K55" s="1"/>
    </row>
    <row r="56" spans="1:21" x14ac:dyDescent="0.25">
      <c r="A56" s="101"/>
      <c r="B56" s="102"/>
      <c r="C56" s="102"/>
      <c r="D56" s="102" t="s">
        <v>144</v>
      </c>
      <c r="E56" s="102"/>
      <c r="F56" s="103"/>
      <c r="G56" s="113">
        <f>-DCF.Pref.Stock</f>
        <v>-1500</v>
      </c>
      <c r="H56" s="23">
        <f>-DCF.Pref.Stock</f>
        <v>-1500</v>
      </c>
      <c r="I56" s="1"/>
      <c r="J56" s="1"/>
      <c r="K56" s="1"/>
    </row>
    <row r="57" spans="1:21" x14ac:dyDescent="0.25">
      <c r="A57" s="101"/>
      <c r="B57" s="102"/>
      <c r="C57" s="102"/>
      <c r="D57" s="102"/>
      <c r="E57" s="102" t="s">
        <v>145</v>
      </c>
      <c r="F57" s="103"/>
      <c r="G57" s="83">
        <f>SUM(G54:G56)</f>
        <v>46325.272863289822</v>
      </c>
      <c r="H57" s="22">
        <f>SUM(H54:H56)</f>
        <v>48045.276814903082</v>
      </c>
      <c r="I57" s="1"/>
      <c r="J57" s="1"/>
      <c r="K57" s="1"/>
    </row>
    <row r="58" spans="1:21" x14ac:dyDescent="0.25">
      <c r="A58" s="101"/>
      <c r="B58" s="102"/>
      <c r="C58" s="102"/>
      <c r="D58" s="102"/>
      <c r="E58" s="102" t="s">
        <v>146</v>
      </c>
      <c r="F58" s="103"/>
      <c r="G58" s="129">
        <f ca="1">shares.outstanding</f>
        <v>1183.6559999999999</v>
      </c>
      <c r="H58" s="130">
        <f ca="1">shares.outstanding</f>
        <v>1183.6559999999999</v>
      </c>
      <c r="I58" s="1"/>
      <c r="J58" s="1"/>
      <c r="K58" s="1"/>
    </row>
    <row r="59" spans="1:21" x14ac:dyDescent="0.25">
      <c r="A59" s="101"/>
      <c r="B59" s="102"/>
      <c r="C59" s="102"/>
      <c r="D59" s="102"/>
      <c r="E59" s="102" t="s">
        <v>147</v>
      </c>
      <c r="F59" s="103"/>
      <c r="G59" s="131">
        <f ca="1">+G57/G58</f>
        <v>39.137446068190272</v>
      </c>
      <c r="H59" s="132">
        <f ca="1">+H57/H58</f>
        <v>40.590574301066425</v>
      </c>
      <c r="I59" s="1"/>
      <c r="J59" s="1"/>
      <c r="K59" s="1"/>
    </row>
    <row r="60" spans="1:21" x14ac:dyDescent="0.25">
      <c r="A60" s="101"/>
      <c r="B60" s="102" t="s">
        <v>148</v>
      </c>
      <c r="C60" s="102"/>
      <c r="D60" s="102"/>
      <c r="E60" s="102"/>
      <c r="F60" s="103"/>
      <c r="G60" s="113"/>
      <c r="H60" s="23"/>
      <c r="I60" s="1"/>
      <c r="J60" s="1"/>
      <c r="K60" s="1"/>
    </row>
    <row r="61" spans="1:21" x14ac:dyDescent="0.25">
      <c r="A61" s="101"/>
      <c r="B61" s="102"/>
      <c r="C61" s="102" t="s">
        <v>149</v>
      </c>
      <c r="D61" s="102"/>
      <c r="E61" s="102"/>
      <c r="F61" s="103"/>
      <c r="G61" s="133">
        <v>0.40899999999999997</v>
      </c>
      <c r="H61" s="94">
        <v>0.59099999999999997</v>
      </c>
      <c r="I61" s="1"/>
      <c r="J61" s="1"/>
      <c r="K61" s="1"/>
    </row>
    <row r="62" spans="1:21" ht="15.75" thickBot="1" x14ac:dyDescent="0.3">
      <c r="A62" s="104"/>
      <c r="B62" s="105"/>
      <c r="C62" s="105"/>
      <c r="D62" s="105" t="s">
        <v>150</v>
      </c>
      <c r="E62" s="105"/>
      <c r="F62" s="106"/>
      <c r="G62" s="134">
        <f ca="1">SUMPRODUCT(G59:H59,G61:H61)</f>
        <v>39.996244853820073</v>
      </c>
      <c r="H62" s="27"/>
      <c r="I62" s="1"/>
      <c r="J62" s="1"/>
      <c r="K62" s="1"/>
    </row>
    <row r="63" spans="1:21" ht="15.75" thickBot="1" x14ac:dyDescent="0.3">
      <c r="G63" s="1"/>
      <c r="H63" s="1"/>
      <c r="I63" s="1"/>
      <c r="J63" s="1"/>
      <c r="K63" s="1"/>
    </row>
    <row r="64" spans="1:21" ht="15.75" thickBot="1" x14ac:dyDescent="0.3">
      <c r="G64" s="232" t="s">
        <v>151</v>
      </c>
      <c r="H64" s="233"/>
      <c r="I64" s="233"/>
      <c r="J64" s="233"/>
      <c r="K64" s="233"/>
      <c r="L64" s="233"/>
      <c r="M64" s="234"/>
      <c r="N64" s="111"/>
      <c r="O64" s="111"/>
      <c r="P64" s="111"/>
      <c r="Q64" s="111"/>
      <c r="R64" s="111"/>
      <c r="S64" s="111"/>
      <c r="T64" s="111"/>
      <c r="U64" s="112"/>
    </row>
    <row r="65" spans="7:21" x14ac:dyDescent="0.25">
      <c r="G65" s="141"/>
      <c r="H65" s="136"/>
      <c r="I65" s="230" t="s">
        <v>152</v>
      </c>
      <c r="J65" s="230"/>
      <c r="K65" s="230"/>
      <c r="L65" s="230"/>
      <c r="M65" s="230"/>
      <c r="U65" s="43"/>
    </row>
    <row r="66" spans="7:21" ht="15.75" thickBot="1" x14ac:dyDescent="0.3">
      <c r="G66" s="141"/>
      <c r="H66" s="136">
        <f ca="1">+G59</f>
        <v>39.137446068190272</v>
      </c>
      <c r="I66" s="142" cm="1">
        <f t="array" ref="I66:M66">_xlfn.SEQUENCE(1,5,0.02,0.01)</f>
        <v>0.02</v>
      </c>
      <c r="J66" s="142">
        <v>0.03</v>
      </c>
      <c r="K66" s="142">
        <v>0.04</v>
      </c>
      <c r="L66" s="142">
        <v>0.05</v>
      </c>
      <c r="M66" s="142">
        <v>6.0000000000000005E-2</v>
      </c>
      <c r="U66" s="43"/>
    </row>
    <row r="67" spans="7:21" ht="15" customHeight="1" x14ac:dyDescent="0.25">
      <c r="G67" s="235" t="s">
        <v>107</v>
      </c>
      <c r="H67" s="143" cm="1">
        <f t="array" ref="H67:H71">_xlfn.SEQUENCE(5,1,0.115,0.02)</f>
        <v>0.115</v>
      </c>
      <c r="I67" s="144">
        <f t="dataTable" ref="I67:M71" dt2D="1" dtr="1" r1="G32" r2="G12" ca="1"/>
        <v>43.101707139690028</v>
      </c>
      <c r="J67" s="145">
        <v>47.224034157290546</v>
      </c>
      <c r="K67" s="145">
        <v>52.445648379584519</v>
      </c>
      <c r="L67" s="145">
        <v>59.273913131815114</v>
      </c>
      <c r="M67" s="146">
        <v>68.585183248493209</v>
      </c>
      <c r="U67" s="43"/>
    </row>
    <row r="68" spans="7:21" x14ac:dyDescent="0.25">
      <c r="G68" s="236"/>
      <c r="H68" s="135">
        <v>0.13500000000000001</v>
      </c>
      <c r="I68" s="17">
        <v>34.435509557290835</v>
      </c>
      <c r="J68" s="4">
        <v>37.003029678039994</v>
      </c>
      <c r="K68" s="4">
        <v>40.111080350525846</v>
      </c>
      <c r="L68" s="4">
        <v>43.950437063596581</v>
      </c>
      <c r="M68" s="23">
        <v>48.813622233486186</v>
      </c>
      <c r="U68" s="43"/>
    </row>
    <row r="69" spans="7:21" x14ac:dyDescent="0.25">
      <c r="G69" s="236"/>
      <c r="H69" s="135">
        <v>0.155</v>
      </c>
      <c r="I69" s="17">
        <v>28.345447838883988</v>
      </c>
      <c r="J69" s="4">
        <v>30.058666210239085</v>
      </c>
      <c r="K69" s="4">
        <v>32.06983560269942</v>
      </c>
      <c r="L69" s="4">
        <v>34.464084879437905</v>
      </c>
      <c r="M69" s="23">
        <v>37.362386635489763</v>
      </c>
      <c r="U69" s="43"/>
    </row>
    <row r="70" spans="7:21" x14ac:dyDescent="0.25">
      <c r="G70" s="236"/>
      <c r="H70" s="135">
        <v>0.17499999999999999</v>
      </c>
      <c r="I70" s="17">
        <v>23.83366984002781</v>
      </c>
      <c r="J70" s="4">
        <v>25.034642924634927</v>
      </c>
      <c r="K70" s="4">
        <v>26.413537947702363</v>
      </c>
      <c r="L70" s="4">
        <v>28.01305617446058</v>
      </c>
      <c r="M70" s="23">
        <v>29.890751484133276</v>
      </c>
      <c r="U70" s="43"/>
    </row>
    <row r="71" spans="7:21" ht="15.75" thickBot="1" x14ac:dyDescent="0.3">
      <c r="G71" s="237"/>
      <c r="H71" s="147">
        <v>0.19499999999999998</v>
      </c>
      <c r="I71" s="140">
        <v>20.358543688225922</v>
      </c>
      <c r="J71" s="96">
        <v>21.232301008384479</v>
      </c>
      <c r="K71" s="96">
        <v>22.218801208563487</v>
      </c>
      <c r="L71" s="96">
        <v>23.341370401870641</v>
      </c>
      <c r="M71" s="27">
        <v>24.6302461423344</v>
      </c>
      <c r="U71" s="43"/>
    </row>
    <row r="72" spans="7:21" ht="15.75" thickBot="1" x14ac:dyDescent="0.3">
      <c r="G72" s="141"/>
      <c r="H72" s="136"/>
      <c r="I72" s="136"/>
      <c r="J72" s="136"/>
      <c r="K72" s="136"/>
      <c r="L72" s="110"/>
      <c r="M72" s="110"/>
      <c r="U72" s="43"/>
    </row>
    <row r="73" spans="7:21" ht="15.75" thickBot="1" x14ac:dyDescent="0.3">
      <c r="G73" s="232" t="s">
        <v>151</v>
      </c>
      <c r="H73" s="233"/>
      <c r="I73" s="233"/>
      <c r="J73" s="233"/>
      <c r="K73" s="233"/>
      <c r="L73" s="233"/>
      <c r="M73" s="234"/>
      <c r="U73" s="43"/>
    </row>
    <row r="74" spans="7:21" x14ac:dyDescent="0.25">
      <c r="G74" s="141"/>
      <c r="H74" s="136"/>
      <c r="I74" s="230" t="s">
        <v>153</v>
      </c>
      <c r="J74" s="230"/>
      <c r="K74" s="230"/>
      <c r="L74" s="230"/>
      <c r="M74" s="230"/>
      <c r="U74" s="43"/>
    </row>
    <row r="75" spans="7:21" ht="15.75" thickBot="1" x14ac:dyDescent="0.3">
      <c r="G75" s="141"/>
      <c r="H75" s="136">
        <f ca="1">+H59</f>
        <v>40.590574301066425</v>
      </c>
      <c r="I75" s="148" cm="1">
        <f t="array" ref="I75:M75">_xlfn.SEQUENCE(1,5,8,1)</f>
        <v>8</v>
      </c>
      <c r="J75" s="148">
        <v>9</v>
      </c>
      <c r="K75" s="148">
        <v>10</v>
      </c>
      <c r="L75" s="148">
        <v>11</v>
      </c>
      <c r="M75" s="148">
        <v>12</v>
      </c>
      <c r="U75" s="43"/>
    </row>
    <row r="76" spans="7:21" ht="15" customHeight="1" x14ac:dyDescent="0.25">
      <c r="G76" s="235" t="s">
        <v>107</v>
      </c>
      <c r="H76" s="143" cm="1">
        <f t="array" ref="H76:H80">_xlfn.SEQUENCE(5,1,0.115,0.02)</f>
        <v>0.115</v>
      </c>
      <c r="I76" s="144">
        <f t="dataTable" ref="I76:M80" dt2D="1" dtr="1" r1="G44" r2="G12"/>
        <v>44.416966170099663</v>
      </c>
      <c r="J76" s="145">
        <v>48.588164495380283</v>
      </c>
      <c r="K76" s="145">
        <v>52.759362820660911</v>
      </c>
      <c r="L76" s="145">
        <v>56.930561145941546</v>
      </c>
      <c r="M76" s="146">
        <v>61.101759471222167</v>
      </c>
      <c r="U76" s="43"/>
    </row>
    <row r="77" spans="7:21" x14ac:dyDescent="0.25">
      <c r="G77" s="236"/>
      <c r="H77" s="135">
        <v>0.13500000000000001</v>
      </c>
      <c r="I77" s="17">
        <v>40.739412304384921</v>
      </c>
      <c r="J77" s="4">
        <v>44.555829717509965</v>
      </c>
      <c r="K77" s="4">
        <v>48.372247130635003</v>
      </c>
      <c r="L77" s="4">
        <v>52.188664543760055</v>
      </c>
      <c r="M77" s="23">
        <v>56.005081956885107</v>
      </c>
      <c r="U77" s="43"/>
    </row>
    <row r="78" spans="7:21" x14ac:dyDescent="0.25">
      <c r="G78" s="236"/>
      <c r="H78" s="135">
        <v>0.155</v>
      </c>
      <c r="I78" s="17">
        <v>37.41120527504448</v>
      </c>
      <c r="J78" s="4">
        <v>40.908443811142185</v>
      </c>
      <c r="K78" s="4">
        <v>44.405682347239896</v>
      </c>
      <c r="L78" s="4">
        <v>47.902920883337615</v>
      </c>
      <c r="M78" s="23">
        <v>51.400159419435326</v>
      </c>
      <c r="U78" s="43"/>
    </row>
    <row r="79" spans="7:21" x14ac:dyDescent="0.25">
      <c r="G79" s="236"/>
      <c r="H79" s="135">
        <v>0.17499999999999999</v>
      </c>
      <c r="I79" s="17">
        <v>34.393240911486565</v>
      </c>
      <c r="J79" s="4">
        <v>37.602803457263505</v>
      </c>
      <c r="K79" s="4">
        <v>40.812366003040445</v>
      </c>
      <c r="L79" s="4">
        <v>44.021928548817399</v>
      </c>
      <c r="M79" s="23">
        <v>47.231491094594347</v>
      </c>
      <c r="U79" s="43"/>
    </row>
    <row r="80" spans="7:21" ht="15.75" thickBot="1" x14ac:dyDescent="0.3">
      <c r="G80" s="237"/>
      <c r="H80" s="147">
        <v>0.19499999999999998</v>
      </c>
      <c r="I80" s="140">
        <v>31.651390725942573</v>
      </c>
      <c r="J80" s="96">
        <v>34.601211636856782</v>
      </c>
      <c r="K80" s="96">
        <v>37.551032547770987</v>
      </c>
      <c r="L80" s="96">
        <v>40.500853458685206</v>
      </c>
      <c r="M80" s="27">
        <v>43.450674369599412</v>
      </c>
      <c r="U80" s="43"/>
    </row>
    <row r="81" spans="1:21" ht="15.75" thickBot="1" x14ac:dyDescent="0.3">
      <c r="G81" s="141"/>
      <c r="H81" s="136"/>
      <c r="I81" s="136"/>
      <c r="J81" s="136"/>
      <c r="K81" s="136"/>
      <c r="L81" s="110"/>
      <c r="M81" s="110"/>
      <c r="U81" s="43"/>
    </row>
    <row r="82" spans="1:21" ht="15.75" thickBot="1" x14ac:dyDescent="0.3">
      <c r="G82" s="232" t="s">
        <v>151</v>
      </c>
      <c r="H82" s="233"/>
      <c r="I82" s="233"/>
      <c r="J82" s="233"/>
      <c r="K82" s="233"/>
      <c r="L82" s="233"/>
      <c r="M82" s="234"/>
      <c r="U82" s="43"/>
    </row>
    <row r="83" spans="1:21" x14ac:dyDescent="0.25">
      <c r="G83" s="231" t="s">
        <v>154</v>
      </c>
      <c r="H83" s="136"/>
      <c r="I83" s="230" t="s">
        <v>153</v>
      </c>
      <c r="J83" s="230"/>
      <c r="K83" s="230"/>
      <c r="L83" s="230"/>
      <c r="M83" s="230"/>
      <c r="U83" s="43"/>
    </row>
    <row r="84" spans="1:21" ht="15.75" thickBot="1" x14ac:dyDescent="0.3">
      <c r="G84" s="231"/>
      <c r="H84" s="136">
        <f ca="1">H59</f>
        <v>40.590574301066425</v>
      </c>
      <c r="I84" s="148" cm="1">
        <f t="array" ref="I84:M84">_xlfn.SEQUENCE(1,5,8,1)</f>
        <v>8</v>
      </c>
      <c r="J84" s="148">
        <v>9</v>
      </c>
      <c r="K84" s="148">
        <v>10</v>
      </c>
      <c r="L84" s="148">
        <v>11</v>
      </c>
      <c r="M84" s="148">
        <v>12</v>
      </c>
      <c r="U84" s="43"/>
    </row>
    <row r="85" spans="1:21" x14ac:dyDescent="0.25">
      <c r="G85" s="149" cm="1">
        <f t="array" ref="G85:G89">_xlfn.SEQUENCE(5,1,70%,15%)</f>
        <v>0.7</v>
      </c>
      <c r="H85" s="150" cm="1">
        <f t="array" ref="H85:H89">_xlfn.ANCHORARRAY(G85)*dcf.terminal.ebitda</f>
        <v>5956.055285083301</v>
      </c>
      <c r="I85" s="144">
        <f t="dataTable" ref="I85:M89" dt2D="1" dtr="1" r1="G44" r2="G43" ca="1"/>
        <v>31.465525931134717</v>
      </c>
      <c r="J85" s="145">
        <v>34.126998372364802</v>
      </c>
      <c r="K85" s="145">
        <v>36.788470813594884</v>
      </c>
      <c r="L85" s="145">
        <v>39.449943254824959</v>
      </c>
      <c r="M85" s="146">
        <v>42.11141569605504</v>
      </c>
      <c r="U85" s="43"/>
    </row>
    <row r="86" spans="1:21" x14ac:dyDescent="0.25">
      <c r="G86" s="137">
        <v>0.85</v>
      </c>
      <c r="H86" s="18">
        <v>7232.35284617258</v>
      </c>
      <c r="I86" s="17">
        <v>36.028050116100573</v>
      </c>
      <c r="J86" s="4">
        <v>39.259838080451388</v>
      </c>
      <c r="K86" s="4">
        <v>42.491626044802196</v>
      </c>
      <c r="L86" s="4">
        <v>45.723414009153018</v>
      </c>
      <c r="M86" s="23">
        <v>48.955201973503826</v>
      </c>
      <c r="U86" s="43"/>
    </row>
    <row r="87" spans="1:21" x14ac:dyDescent="0.25">
      <c r="G87" s="137">
        <v>1</v>
      </c>
      <c r="H87" s="18">
        <v>8508.6504072618591</v>
      </c>
      <c r="I87" s="17">
        <v>40.590574301066425</v>
      </c>
      <c r="J87" s="4">
        <v>44.392677788537966</v>
      </c>
      <c r="K87" s="4">
        <v>48.194781276009515</v>
      </c>
      <c r="L87" s="4">
        <v>51.99688476348107</v>
      </c>
      <c r="M87" s="23">
        <v>55.798988250952611</v>
      </c>
      <c r="U87" s="43"/>
    </row>
    <row r="88" spans="1:21" x14ac:dyDescent="0.25">
      <c r="G88" s="137">
        <v>1.1499999999999999</v>
      </c>
      <c r="H88" s="18">
        <v>9784.9479683511363</v>
      </c>
      <c r="I88" s="17">
        <v>45.153098486032277</v>
      </c>
      <c r="J88" s="4">
        <v>49.525517496624559</v>
      </c>
      <c r="K88" s="4">
        <v>53.897936507216826</v>
      </c>
      <c r="L88" s="4">
        <v>58.270355517809108</v>
      </c>
      <c r="M88" s="23">
        <v>62.642774528401382</v>
      </c>
      <c r="U88" s="43"/>
    </row>
    <row r="89" spans="1:21" ht="15.75" thickBot="1" x14ac:dyDescent="0.3">
      <c r="G89" s="138">
        <v>1.2999999999999998</v>
      </c>
      <c r="H89" s="139">
        <v>11061.245529440415</v>
      </c>
      <c r="I89" s="140">
        <v>49.715622670998123</v>
      </c>
      <c r="J89" s="96">
        <v>54.658357204711152</v>
      </c>
      <c r="K89" s="96">
        <v>59.601091738424152</v>
      </c>
      <c r="L89" s="96">
        <v>64.543826272137167</v>
      </c>
      <c r="M89" s="27">
        <v>69.486560805850175</v>
      </c>
      <c r="N89" s="91"/>
      <c r="O89" s="91"/>
      <c r="P89" s="91"/>
      <c r="Q89" s="91"/>
      <c r="R89" s="91"/>
      <c r="S89" s="91"/>
      <c r="T89" s="91"/>
      <c r="U89" s="45"/>
    </row>
    <row r="90" spans="1:21" x14ac:dyDescent="0.25">
      <c r="G90" s="1"/>
      <c r="H90" s="1"/>
      <c r="I90" s="1"/>
      <c r="J90" s="1"/>
      <c r="K90" s="1"/>
    </row>
    <row r="91" spans="1:21" x14ac:dyDescent="0.25">
      <c r="G91" s="1"/>
      <c r="H91" s="1"/>
      <c r="I91" s="1"/>
      <c r="J91" s="1"/>
      <c r="K91" s="1"/>
    </row>
    <row r="92" spans="1:21" x14ac:dyDescent="0.25">
      <c r="A92" s="170"/>
      <c r="B92" s="170" t="s">
        <v>161</v>
      </c>
      <c r="C92" s="170"/>
      <c r="D92" s="170"/>
      <c r="E92" s="170"/>
      <c r="F92" s="170"/>
      <c r="G92" s="171" t="s">
        <v>158</v>
      </c>
      <c r="H92" s="171" t="s">
        <v>159</v>
      </c>
      <c r="I92" s="171" t="s">
        <v>160</v>
      </c>
      <c r="J92" s="172"/>
      <c r="K92" s="172"/>
      <c r="L92" s="170"/>
      <c r="M92" s="170"/>
      <c r="N92" s="170"/>
      <c r="O92" s="170"/>
      <c r="P92" s="170"/>
      <c r="Q92" s="170"/>
      <c r="R92" s="170"/>
      <c r="S92" s="170"/>
      <c r="T92" s="170"/>
      <c r="U92" s="170"/>
    </row>
    <row r="93" spans="1:21" x14ac:dyDescent="0.25">
      <c r="A93" s="170"/>
      <c r="B93" s="170"/>
      <c r="C93" s="170"/>
      <c r="D93" s="170"/>
      <c r="E93" s="170"/>
      <c r="F93" s="173" t="s">
        <v>155</v>
      </c>
      <c r="G93" s="172">
        <f>MIN(table.multiple)</f>
        <v>31.651390725942573</v>
      </c>
      <c r="H93" s="172">
        <f>I93-G93</f>
        <v>29.450368745279594</v>
      </c>
      <c r="I93" s="172">
        <f>MAX(table.multiple)</f>
        <v>61.101759471222167</v>
      </c>
      <c r="J93" s="172"/>
      <c r="K93" s="172"/>
      <c r="L93" s="170"/>
      <c r="M93" s="170"/>
      <c r="N93" s="170"/>
      <c r="O93" s="170"/>
      <c r="P93" s="170"/>
      <c r="Q93" s="170"/>
      <c r="R93" s="170"/>
      <c r="S93" s="170"/>
      <c r="T93" s="170"/>
      <c r="U93" s="170"/>
    </row>
    <row r="94" spans="1:21" x14ac:dyDescent="0.25">
      <c r="A94" s="170"/>
      <c r="B94" s="170"/>
      <c r="C94" s="170"/>
      <c r="D94" s="170"/>
      <c r="E94" s="170"/>
      <c r="F94" s="173" t="s">
        <v>156</v>
      </c>
      <c r="G94" s="172">
        <f>MIN(table.gordon)</f>
        <v>20.358543688225922</v>
      </c>
      <c r="H94" s="172">
        <f>I94-G94</f>
        <v>48.226639560267287</v>
      </c>
      <c r="I94" s="172">
        <f>MAX(table.gordon)</f>
        <v>68.585183248493209</v>
      </c>
      <c r="J94" s="172"/>
      <c r="K94" s="172"/>
      <c r="L94" s="170"/>
      <c r="M94" s="170"/>
      <c r="N94" s="170"/>
      <c r="O94" s="170"/>
      <c r="P94" s="170"/>
      <c r="Q94" s="170"/>
      <c r="R94" s="170"/>
      <c r="S94" s="170"/>
      <c r="T94" s="170"/>
      <c r="U94" s="170"/>
    </row>
    <row r="95" spans="1:21" x14ac:dyDescent="0.25">
      <c r="A95" s="170"/>
      <c r="B95" s="170"/>
      <c r="C95" s="170"/>
      <c r="D95" s="170"/>
      <c r="E95" s="170"/>
      <c r="F95" s="173" t="s">
        <v>157</v>
      </c>
      <c r="G95" s="172" cm="1">
        <f t="array" aca="1" ref="G95" ca="1">_FV(H3,"52 week low",TRUE)</f>
        <v>23.6</v>
      </c>
      <c r="H95" s="172">
        <f ca="1">I95-G95</f>
        <v>9.75</v>
      </c>
      <c r="I95" s="172" cm="1">
        <f t="array" aca="1" ref="I95" ca="1">_FV(H3,"52 week high",TRUE)</f>
        <v>33.35</v>
      </c>
      <c r="J95" s="172"/>
      <c r="K95" s="172"/>
      <c r="L95" s="170"/>
      <c r="M95" s="170"/>
      <c r="N95" s="170"/>
      <c r="O95" s="170"/>
      <c r="P95" s="170"/>
      <c r="Q95" s="170"/>
      <c r="R95" s="170"/>
      <c r="S95" s="170"/>
      <c r="T95" s="170"/>
      <c r="U95" s="170"/>
    </row>
    <row r="96" spans="1:21" x14ac:dyDescent="0.25">
      <c r="A96" s="170"/>
      <c r="B96" s="170"/>
      <c r="C96" s="170"/>
      <c r="D96" s="170"/>
      <c r="E96" s="170"/>
      <c r="F96" s="173" t="s">
        <v>150</v>
      </c>
      <c r="G96" s="172">
        <f ca="1">+G62</f>
        <v>39.996244853820073</v>
      </c>
      <c r="H96" s="172">
        <f ca="1">+G96</f>
        <v>39.996244853820073</v>
      </c>
      <c r="I96" s="172">
        <f ca="1">+H96</f>
        <v>39.996244853820073</v>
      </c>
      <c r="J96" s="172"/>
      <c r="K96" s="172"/>
      <c r="L96" s="170"/>
      <c r="M96" s="170"/>
      <c r="N96" s="170"/>
      <c r="O96" s="170"/>
      <c r="P96" s="170"/>
      <c r="Q96" s="170"/>
      <c r="R96" s="170"/>
      <c r="S96" s="170"/>
      <c r="T96" s="170"/>
      <c r="U96" s="170"/>
    </row>
    <row r="97" spans="1:21" x14ac:dyDescent="0.25">
      <c r="A97" s="170"/>
      <c r="B97" s="170"/>
      <c r="C97" s="170"/>
      <c r="D97" s="170"/>
      <c r="E97" s="170"/>
      <c r="F97" s="170"/>
      <c r="G97" s="172"/>
      <c r="H97" s="172"/>
      <c r="I97" s="172"/>
      <c r="J97" s="172"/>
      <c r="K97" s="172"/>
      <c r="L97" s="170"/>
      <c r="M97" s="170"/>
      <c r="N97" s="170"/>
      <c r="O97" s="170"/>
      <c r="P97" s="170"/>
      <c r="Q97" s="170"/>
      <c r="R97" s="170"/>
      <c r="S97" s="170"/>
      <c r="T97" s="170"/>
      <c r="U97" s="170"/>
    </row>
    <row r="98" spans="1:21" x14ac:dyDescent="0.25">
      <c r="A98" s="170"/>
      <c r="B98" s="170"/>
      <c r="C98" s="170"/>
      <c r="D98" s="170"/>
      <c r="E98" s="170"/>
      <c r="F98" s="170"/>
      <c r="G98" s="172"/>
      <c r="H98" s="172"/>
      <c r="I98" s="172"/>
      <c r="J98" s="172"/>
      <c r="K98" s="172"/>
      <c r="L98" s="170"/>
      <c r="M98" s="170"/>
      <c r="N98" s="170"/>
      <c r="O98" s="170"/>
      <c r="P98" s="170"/>
      <c r="Q98" s="170"/>
      <c r="R98" s="170"/>
      <c r="S98" s="170"/>
      <c r="T98" s="170"/>
      <c r="U98" s="170"/>
    </row>
    <row r="99" spans="1:21" x14ac:dyDescent="0.25">
      <c r="A99" s="170"/>
      <c r="B99" s="170"/>
      <c r="C99" s="170"/>
      <c r="D99" s="170"/>
      <c r="E99" s="170"/>
      <c r="F99" s="170"/>
      <c r="G99" s="172"/>
      <c r="H99" s="172"/>
      <c r="I99" s="172"/>
      <c r="J99" s="172"/>
      <c r="K99" s="172"/>
      <c r="L99" s="170"/>
      <c r="M99" s="170"/>
      <c r="N99" s="170"/>
      <c r="O99" s="170"/>
      <c r="P99" s="170"/>
      <c r="Q99" s="170"/>
      <c r="R99" s="170"/>
      <c r="S99" s="170"/>
      <c r="T99" s="170"/>
      <c r="U99" s="170"/>
    </row>
    <row r="100" spans="1:21" x14ac:dyDescent="0.25">
      <c r="A100" s="170"/>
      <c r="B100" s="170"/>
      <c r="C100" s="170"/>
      <c r="D100" s="170"/>
      <c r="E100" s="170"/>
      <c r="F100" s="170"/>
      <c r="G100" s="172" cm="1">
        <f t="array" ref="G100:K100">_xlfn.SEQUENCE(1,5)</f>
        <v>1</v>
      </c>
      <c r="H100" s="172">
        <v>2</v>
      </c>
      <c r="I100" s="172">
        <v>3</v>
      </c>
      <c r="J100" s="172">
        <v>4</v>
      </c>
      <c r="K100" s="172">
        <v>5</v>
      </c>
      <c r="L100" s="170"/>
      <c r="M100" s="170"/>
      <c r="N100" s="170"/>
      <c r="O100" s="170"/>
      <c r="P100" s="170"/>
      <c r="Q100" s="170"/>
      <c r="R100" s="170"/>
      <c r="S100" s="170"/>
      <c r="T100" s="170"/>
      <c r="U100" s="170"/>
    </row>
    <row r="101" spans="1:21" x14ac:dyDescent="0.25">
      <c r="G101" s="1"/>
      <c r="H101" s="1"/>
      <c r="I101" s="1"/>
      <c r="J101" s="1"/>
      <c r="K101" s="1"/>
    </row>
    <row r="102" spans="1:21" x14ac:dyDescent="0.25">
      <c r="G102" s="1"/>
      <c r="H102" s="1"/>
      <c r="I102" s="1"/>
      <c r="J102" s="1"/>
      <c r="K102" s="1"/>
    </row>
    <row r="103" spans="1:21" x14ac:dyDescent="0.25">
      <c r="G103" s="1"/>
      <c r="H103" s="1"/>
      <c r="I103" s="1"/>
      <c r="J103" s="1"/>
      <c r="K103" s="1"/>
    </row>
    <row r="104" spans="1:21" x14ac:dyDescent="0.25">
      <c r="G104" s="1"/>
      <c r="H104" s="1"/>
      <c r="I104" s="1"/>
      <c r="J104" s="1"/>
      <c r="K104" s="1"/>
    </row>
    <row r="105" spans="1:21" x14ac:dyDescent="0.25">
      <c r="G105" s="1"/>
      <c r="H105" s="1"/>
      <c r="I105" s="1"/>
      <c r="J105" s="1"/>
      <c r="K105" s="1"/>
    </row>
    <row r="106" spans="1:21" x14ac:dyDescent="0.25">
      <c r="G106" s="1"/>
      <c r="H106" s="1"/>
      <c r="I106" s="1"/>
      <c r="J106" s="1"/>
      <c r="K106" s="1"/>
    </row>
    <row r="107" spans="1:21" x14ac:dyDescent="0.25">
      <c r="G107" s="1"/>
      <c r="H107" s="1"/>
      <c r="I107" s="1"/>
      <c r="J107" s="1"/>
      <c r="K107" s="1"/>
    </row>
    <row r="108" spans="1:21" x14ac:dyDescent="0.25">
      <c r="G108" s="1"/>
      <c r="H108" s="1"/>
      <c r="I108" s="1"/>
      <c r="J108" s="1"/>
      <c r="K108" s="1"/>
    </row>
    <row r="109" spans="1:21" x14ac:dyDescent="0.25">
      <c r="G109" s="1"/>
      <c r="H109" s="1"/>
      <c r="I109" s="1"/>
      <c r="J109" s="1"/>
      <c r="K109" s="1"/>
    </row>
    <row r="110" spans="1:21" x14ac:dyDescent="0.25">
      <c r="G110" s="1"/>
      <c r="H110" s="1"/>
      <c r="I110" s="1"/>
      <c r="J110" s="1"/>
      <c r="K110" s="1"/>
    </row>
    <row r="111" spans="1:21" x14ac:dyDescent="0.25">
      <c r="G111" s="1"/>
      <c r="H111" s="1"/>
      <c r="I111" s="1"/>
      <c r="J111" s="1"/>
      <c r="K111" s="1"/>
    </row>
    <row r="112" spans="1:21" x14ac:dyDescent="0.25">
      <c r="G112" s="1"/>
      <c r="H112" s="1"/>
      <c r="I112" s="1"/>
      <c r="J112" s="1"/>
      <c r="K112" s="1"/>
    </row>
    <row r="113" spans="7:11" x14ac:dyDescent="0.25">
      <c r="G113" s="1"/>
      <c r="H113" s="1"/>
      <c r="I113" s="1"/>
      <c r="J113" s="1"/>
      <c r="K113" s="1"/>
    </row>
    <row r="114" spans="7:11" x14ac:dyDescent="0.25">
      <c r="G114" s="1"/>
      <c r="H114" s="1"/>
      <c r="I114" s="1"/>
      <c r="J114" s="1"/>
      <c r="K114" s="1"/>
    </row>
    <row r="115" spans="7:11" x14ac:dyDescent="0.25">
      <c r="G115" s="1"/>
      <c r="H115" s="1"/>
      <c r="I115" s="1"/>
      <c r="J115" s="1"/>
      <c r="K115" s="1"/>
    </row>
    <row r="116" spans="7:11" x14ac:dyDescent="0.25">
      <c r="G116" s="1"/>
      <c r="H116" s="1"/>
      <c r="I116" s="1"/>
      <c r="J116" s="1"/>
      <c r="K116" s="1"/>
    </row>
    <row r="117" spans="7:11" x14ac:dyDescent="0.25">
      <c r="G117" s="1"/>
      <c r="H117" s="1"/>
      <c r="I117" s="1"/>
      <c r="J117" s="1"/>
      <c r="K117" s="1"/>
    </row>
    <row r="118" spans="7:11" x14ac:dyDescent="0.25">
      <c r="G118" s="1"/>
      <c r="H118" s="1"/>
      <c r="I118" s="1"/>
      <c r="J118" s="1"/>
      <c r="K118" s="1"/>
    </row>
    <row r="119" spans="7:11" x14ac:dyDescent="0.25">
      <c r="G119" s="1"/>
      <c r="H119" s="1"/>
      <c r="I119" s="1"/>
      <c r="J119" s="1"/>
      <c r="K119" s="1"/>
    </row>
    <row r="120" spans="7:11" x14ac:dyDescent="0.25">
      <c r="G120" s="1"/>
      <c r="H120" s="1"/>
      <c r="I120" s="1"/>
      <c r="J120" s="1"/>
      <c r="K120" s="1"/>
    </row>
    <row r="121" spans="7:11" x14ac:dyDescent="0.25">
      <c r="G121" s="1"/>
      <c r="H121" s="1"/>
      <c r="I121" s="1"/>
      <c r="J121" s="1"/>
      <c r="K121" s="1"/>
    </row>
    <row r="122" spans="7:11" x14ac:dyDescent="0.25">
      <c r="G122" s="1"/>
      <c r="H122" s="1"/>
      <c r="I122" s="1"/>
      <c r="J122" s="1"/>
      <c r="K122" s="1"/>
    </row>
    <row r="123" spans="7:11" x14ac:dyDescent="0.25">
      <c r="G123" s="1"/>
      <c r="H123" s="1"/>
      <c r="I123" s="1"/>
      <c r="J123" s="1"/>
      <c r="K123" s="1"/>
    </row>
    <row r="124" spans="7:11" x14ac:dyDescent="0.25">
      <c r="G124" s="1"/>
      <c r="H124" s="1"/>
      <c r="I124" s="1"/>
      <c r="J124" s="1"/>
      <c r="K124" s="1"/>
    </row>
    <row r="125" spans="7:11" x14ac:dyDescent="0.25">
      <c r="G125" s="1"/>
      <c r="H125" s="1"/>
      <c r="I125" s="1"/>
      <c r="J125" s="1"/>
      <c r="K125" s="1"/>
    </row>
    <row r="126" spans="7:11" x14ac:dyDescent="0.25">
      <c r="G126" s="1"/>
      <c r="H126" s="1"/>
      <c r="I126" s="1"/>
      <c r="J126" s="1"/>
      <c r="K126" s="1"/>
    </row>
    <row r="127" spans="7:11" x14ac:dyDescent="0.25">
      <c r="G127" s="1"/>
      <c r="H127" s="1"/>
      <c r="I127" s="1"/>
      <c r="J127" s="1"/>
      <c r="K127" s="1"/>
    </row>
    <row r="128" spans="7:11" x14ac:dyDescent="0.25">
      <c r="G128" s="1"/>
      <c r="H128" s="1"/>
      <c r="I128" s="1"/>
      <c r="J128" s="1"/>
      <c r="K128" s="1"/>
    </row>
    <row r="129" spans="7:11" x14ac:dyDescent="0.25">
      <c r="G129" s="1"/>
      <c r="H129" s="1"/>
      <c r="I129" s="1"/>
      <c r="J129" s="1"/>
      <c r="K129" s="1"/>
    </row>
    <row r="130" spans="7:11" x14ac:dyDescent="0.25">
      <c r="G130" s="1"/>
      <c r="H130" s="1"/>
      <c r="I130" s="1"/>
      <c r="J130" s="1"/>
      <c r="K130" s="1"/>
    </row>
    <row r="131" spans="7:11" x14ac:dyDescent="0.25">
      <c r="G131" s="1"/>
      <c r="H131" s="1"/>
      <c r="I131" s="1"/>
      <c r="J131" s="1"/>
      <c r="K131" s="1"/>
    </row>
    <row r="132" spans="7:11" x14ac:dyDescent="0.25">
      <c r="G132" s="1"/>
      <c r="H132" s="1"/>
      <c r="I132" s="1"/>
      <c r="J132" s="1"/>
      <c r="K132" s="1"/>
    </row>
    <row r="133" spans="7:11" x14ac:dyDescent="0.25">
      <c r="G133" s="1"/>
      <c r="H133" s="1"/>
      <c r="I133" s="1"/>
      <c r="J133" s="1"/>
      <c r="K133" s="1"/>
    </row>
    <row r="134" spans="7:11" x14ac:dyDescent="0.25">
      <c r="G134" s="1"/>
      <c r="H134" s="1"/>
      <c r="I134" s="1"/>
      <c r="J134" s="1"/>
      <c r="K134" s="1"/>
    </row>
    <row r="135" spans="7:11" x14ac:dyDescent="0.25">
      <c r="G135" s="1"/>
      <c r="H135" s="1"/>
      <c r="I135" s="1"/>
      <c r="J135" s="1"/>
      <c r="K135" s="1"/>
    </row>
    <row r="136" spans="7:11" x14ac:dyDescent="0.25">
      <c r="G136" s="1"/>
      <c r="H136" s="1"/>
      <c r="I136" s="1"/>
      <c r="J136" s="1"/>
      <c r="K136" s="1"/>
    </row>
    <row r="137" spans="7:11" x14ac:dyDescent="0.25">
      <c r="G137" s="1"/>
      <c r="H137" s="1"/>
      <c r="I137" s="1"/>
      <c r="J137" s="1"/>
      <c r="K137" s="1"/>
    </row>
    <row r="138" spans="7:11" x14ac:dyDescent="0.25">
      <c r="G138" s="1"/>
      <c r="H138" s="1"/>
      <c r="I138" s="1"/>
      <c r="J138" s="1"/>
      <c r="K138" s="1"/>
    </row>
    <row r="139" spans="7:11" x14ac:dyDescent="0.25">
      <c r="G139" s="1"/>
      <c r="H139" s="1"/>
      <c r="I139" s="1"/>
      <c r="J139" s="1"/>
      <c r="K139" s="1"/>
    </row>
    <row r="140" spans="7:11" x14ac:dyDescent="0.25">
      <c r="G140" s="1"/>
      <c r="H140" s="1"/>
      <c r="I140" s="1"/>
      <c r="J140" s="1"/>
      <c r="K140" s="1"/>
    </row>
    <row r="141" spans="7:11" x14ac:dyDescent="0.25">
      <c r="G141" s="1"/>
      <c r="H141" s="1"/>
      <c r="I141" s="1"/>
      <c r="J141" s="1"/>
      <c r="K141" s="1"/>
    </row>
    <row r="142" spans="7:11" x14ac:dyDescent="0.25">
      <c r="G142" s="1"/>
      <c r="H142" s="1"/>
      <c r="I142" s="1"/>
      <c r="J142" s="1"/>
      <c r="K142" s="1"/>
    </row>
    <row r="143" spans="7:11" x14ac:dyDescent="0.25">
      <c r="G143" s="1"/>
      <c r="H143" s="1"/>
      <c r="I143" s="1"/>
      <c r="J143" s="1"/>
      <c r="K143" s="1"/>
    </row>
    <row r="144" spans="7:11" x14ac:dyDescent="0.25">
      <c r="G144" s="1"/>
      <c r="H144" s="1"/>
      <c r="I144" s="1"/>
      <c r="J144" s="1"/>
      <c r="K144" s="1"/>
    </row>
    <row r="145" spans="7:11" x14ac:dyDescent="0.25">
      <c r="G145" s="1"/>
      <c r="H145" s="1"/>
      <c r="I145" s="1"/>
      <c r="J145" s="1"/>
      <c r="K145" s="1"/>
    </row>
    <row r="146" spans="7:11" x14ac:dyDescent="0.25">
      <c r="G146" s="1"/>
      <c r="H146" s="1"/>
      <c r="I146" s="1"/>
      <c r="J146" s="1"/>
      <c r="K146" s="1"/>
    </row>
    <row r="147" spans="7:11" x14ac:dyDescent="0.25">
      <c r="G147" s="1"/>
      <c r="H147" s="1"/>
      <c r="I147" s="1"/>
      <c r="J147" s="1"/>
      <c r="K147" s="1"/>
    </row>
    <row r="148" spans="7:11" x14ac:dyDescent="0.25">
      <c r="G148" s="1"/>
      <c r="H148" s="1"/>
      <c r="I148" s="1"/>
      <c r="J148" s="1"/>
      <c r="K148" s="1"/>
    </row>
    <row r="149" spans="7:11" x14ac:dyDescent="0.25">
      <c r="G149" s="1"/>
      <c r="H149" s="1"/>
      <c r="I149" s="1"/>
      <c r="J149" s="1"/>
      <c r="K149" s="1"/>
    </row>
    <row r="150" spans="7:11" x14ac:dyDescent="0.25">
      <c r="G150" s="1"/>
      <c r="H150" s="1"/>
      <c r="I150" s="1"/>
      <c r="J150" s="1"/>
      <c r="K150" s="1"/>
    </row>
    <row r="151" spans="7:11" x14ac:dyDescent="0.25">
      <c r="G151" s="1"/>
      <c r="H151" s="1"/>
      <c r="I151" s="1"/>
      <c r="J151" s="1"/>
      <c r="K151" s="1"/>
    </row>
    <row r="152" spans="7:11" x14ac:dyDescent="0.25">
      <c r="G152" s="1"/>
      <c r="H152" s="1"/>
      <c r="I152" s="1"/>
      <c r="J152" s="1"/>
      <c r="K152" s="1"/>
    </row>
    <row r="153" spans="7:11" x14ac:dyDescent="0.25">
      <c r="G153" s="1"/>
      <c r="H153" s="1"/>
      <c r="I153" s="1"/>
      <c r="J153" s="1"/>
      <c r="K153" s="1"/>
    </row>
    <row r="154" spans="7:11" x14ac:dyDescent="0.25">
      <c r="G154" s="1"/>
      <c r="H154" s="1"/>
      <c r="I154" s="1"/>
      <c r="J154" s="1"/>
      <c r="K154" s="1"/>
    </row>
    <row r="155" spans="7:11" x14ac:dyDescent="0.25">
      <c r="G155" s="1"/>
      <c r="H155" s="1"/>
      <c r="I155" s="1"/>
      <c r="J155" s="1"/>
      <c r="K155" s="1"/>
    </row>
    <row r="156" spans="7:11" x14ac:dyDescent="0.25">
      <c r="G156" s="1"/>
      <c r="H156" s="1"/>
      <c r="I156" s="1"/>
      <c r="J156" s="1"/>
      <c r="K156" s="1"/>
    </row>
    <row r="157" spans="7:11" x14ac:dyDescent="0.25">
      <c r="G157" s="1"/>
      <c r="H157" s="1"/>
      <c r="I157" s="1"/>
      <c r="J157" s="1"/>
      <c r="K157" s="1"/>
    </row>
    <row r="158" spans="7:11" x14ac:dyDescent="0.25">
      <c r="G158" s="1"/>
      <c r="H158" s="1"/>
      <c r="I158" s="1"/>
      <c r="J158" s="1"/>
      <c r="K158" s="1"/>
    </row>
    <row r="159" spans="7:11" x14ac:dyDescent="0.25">
      <c r="G159" s="1"/>
      <c r="H159" s="1"/>
      <c r="I159" s="1"/>
      <c r="J159" s="1"/>
      <c r="K159" s="1"/>
    </row>
    <row r="160" spans="7:11" x14ac:dyDescent="0.25">
      <c r="G160" s="1"/>
      <c r="H160" s="1"/>
      <c r="I160" s="1"/>
      <c r="J160" s="1"/>
      <c r="K160" s="1"/>
    </row>
    <row r="161" spans="7:11" x14ac:dyDescent="0.25">
      <c r="G161" s="1"/>
      <c r="H161" s="1"/>
      <c r="I161" s="1"/>
      <c r="J161" s="1"/>
      <c r="K161" s="1"/>
    </row>
    <row r="162" spans="7:11" x14ac:dyDescent="0.25">
      <c r="G162" s="1"/>
      <c r="H162" s="1"/>
      <c r="I162" s="1"/>
      <c r="J162" s="1"/>
      <c r="K162" s="1"/>
    </row>
    <row r="163" spans="7:11" x14ac:dyDescent="0.25">
      <c r="G163" s="1"/>
      <c r="H163" s="1"/>
      <c r="I163" s="1"/>
      <c r="J163" s="1"/>
      <c r="K163" s="1"/>
    </row>
    <row r="164" spans="7:11" x14ac:dyDescent="0.25">
      <c r="G164" s="1"/>
      <c r="H164" s="1"/>
      <c r="I164" s="1"/>
      <c r="J164" s="1"/>
      <c r="K164" s="1"/>
    </row>
    <row r="165" spans="7:11" x14ac:dyDescent="0.25">
      <c r="G165" s="1"/>
      <c r="H165" s="1"/>
      <c r="I165" s="1"/>
      <c r="J165" s="1"/>
      <c r="K165" s="1"/>
    </row>
    <row r="166" spans="7:11" x14ac:dyDescent="0.25">
      <c r="G166" s="1"/>
      <c r="H166" s="1"/>
      <c r="I166" s="1"/>
      <c r="J166" s="1"/>
      <c r="K166" s="1"/>
    </row>
    <row r="167" spans="7:11" x14ac:dyDescent="0.25">
      <c r="G167" s="1"/>
      <c r="H167" s="1"/>
      <c r="I167" s="1"/>
      <c r="J167" s="1"/>
      <c r="K167" s="1"/>
    </row>
    <row r="168" spans="7:11" x14ac:dyDescent="0.25">
      <c r="G168" s="1"/>
      <c r="H168" s="1"/>
      <c r="I168" s="1"/>
      <c r="J168" s="1"/>
      <c r="K168" s="1"/>
    </row>
    <row r="169" spans="7:11" x14ac:dyDescent="0.25">
      <c r="G169" s="1"/>
      <c r="H169" s="1"/>
      <c r="I169" s="1"/>
      <c r="J169" s="1"/>
      <c r="K169" s="1"/>
    </row>
    <row r="170" spans="7:11" x14ac:dyDescent="0.25">
      <c r="G170" s="1"/>
      <c r="H170" s="1"/>
      <c r="I170" s="1"/>
      <c r="J170" s="1"/>
      <c r="K170" s="1"/>
    </row>
    <row r="171" spans="7:11" x14ac:dyDescent="0.25">
      <c r="G171" s="1"/>
      <c r="H171" s="1"/>
      <c r="I171" s="1"/>
      <c r="J171" s="1"/>
      <c r="K171" s="1"/>
    </row>
    <row r="172" spans="7:11" x14ac:dyDescent="0.25">
      <c r="G172" s="1"/>
      <c r="H172" s="1"/>
      <c r="I172" s="1"/>
      <c r="J172" s="1"/>
      <c r="K172" s="1"/>
    </row>
    <row r="173" spans="7:11" x14ac:dyDescent="0.25">
      <c r="G173" s="1"/>
      <c r="H173" s="1"/>
      <c r="I173" s="1"/>
      <c r="J173" s="1"/>
      <c r="K173" s="1"/>
    </row>
    <row r="174" spans="7:11" x14ac:dyDescent="0.25">
      <c r="G174" s="1"/>
      <c r="H174" s="1"/>
      <c r="I174" s="1"/>
      <c r="J174" s="1"/>
      <c r="K174" s="1"/>
    </row>
    <row r="175" spans="7:11" x14ac:dyDescent="0.25">
      <c r="G175" s="1"/>
      <c r="H175" s="1"/>
      <c r="I175" s="1"/>
      <c r="J175" s="1"/>
      <c r="K175" s="1"/>
    </row>
    <row r="176" spans="7:11" x14ac:dyDescent="0.25">
      <c r="G176" s="1"/>
      <c r="H176" s="1"/>
      <c r="I176" s="1"/>
      <c r="J176" s="1"/>
      <c r="K176" s="1"/>
    </row>
    <row r="177" spans="7:11" x14ac:dyDescent="0.25">
      <c r="G177" s="1"/>
      <c r="H177" s="1"/>
      <c r="I177" s="1"/>
      <c r="J177" s="1"/>
      <c r="K177" s="1"/>
    </row>
    <row r="178" spans="7:11" x14ac:dyDescent="0.25">
      <c r="G178" s="1"/>
      <c r="H178" s="1"/>
      <c r="I178" s="1"/>
      <c r="J178" s="1"/>
      <c r="K178" s="1"/>
    </row>
    <row r="179" spans="7:11" x14ac:dyDescent="0.25">
      <c r="G179" s="1"/>
      <c r="H179" s="1"/>
      <c r="I179" s="1"/>
      <c r="J179" s="1"/>
      <c r="K179" s="1"/>
    </row>
    <row r="180" spans="7:11" x14ac:dyDescent="0.25">
      <c r="G180" s="1"/>
      <c r="H180" s="1"/>
      <c r="I180" s="1"/>
      <c r="J180" s="1"/>
      <c r="K180" s="1"/>
    </row>
    <row r="181" spans="7:11" x14ac:dyDescent="0.25">
      <c r="G181" s="1"/>
      <c r="H181" s="1"/>
      <c r="I181" s="1"/>
      <c r="J181" s="1"/>
      <c r="K181" s="1"/>
    </row>
    <row r="182" spans="7:11" x14ac:dyDescent="0.25">
      <c r="G182" s="1"/>
      <c r="H182" s="1"/>
      <c r="I182" s="1"/>
      <c r="J182" s="1"/>
      <c r="K182" s="1"/>
    </row>
    <row r="183" spans="7:11" x14ac:dyDescent="0.25">
      <c r="G183" s="1"/>
      <c r="H183" s="1"/>
      <c r="I183" s="1"/>
      <c r="J183" s="1"/>
      <c r="K183" s="1"/>
    </row>
    <row r="184" spans="7:11" x14ac:dyDescent="0.25">
      <c r="G184" s="1"/>
      <c r="H184" s="1"/>
      <c r="I184" s="1"/>
      <c r="J184" s="1"/>
      <c r="K184" s="1"/>
    </row>
    <row r="185" spans="7:11" x14ac:dyDescent="0.25">
      <c r="G185" s="1"/>
      <c r="H185" s="1"/>
      <c r="I185" s="1"/>
      <c r="J185" s="1"/>
      <c r="K185" s="1"/>
    </row>
    <row r="186" spans="7:11" x14ac:dyDescent="0.25">
      <c r="G186" s="1"/>
      <c r="H186" s="1"/>
      <c r="I186" s="1"/>
      <c r="J186" s="1"/>
      <c r="K186" s="1"/>
    </row>
    <row r="187" spans="7:11" x14ac:dyDescent="0.25">
      <c r="G187" s="1"/>
      <c r="H187" s="1"/>
      <c r="I187" s="1"/>
      <c r="J187" s="1"/>
      <c r="K187" s="1"/>
    </row>
    <row r="188" spans="7:11" x14ac:dyDescent="0.25">
      <c r="G188" s="1"/>
      <c r="H188" s="1"/>
      <c r="I188" s="1"/>
      <c r="J188" s="1"/>
      <c r="K188" s="1"/>
    </row>
    <row r="189" spans="7:11" x14ac:dyDescent="0.25">
      <c r="G189" s="1"/>
      <c r="H189" s="1"/>
      <c r="I189" s="1"/>
      <c r="J189" s="1"/>
      <c r="K189" s="1"/>
    </row>
    <row r="190" spans="7:11" x14ac:dyDescent="0.25">
      <c r="G190" s="1"/>
      <c r="H190" s="1"/>
      <c r="I190" s="1"/>
      <c r="J190" s="1"/>
      <c r="K190" s="1"/>
    </row>
    <row r="191" spans="7:11" x14ac:dyDescent="0.25">
      <c r="G191" s="1"/>
      <c r="H191" s="1"/>
      <c r="I191" s="1"/>
      <c r="J191" s="1"/>
      <c r="K191" s="1"/>
    </row>
    <row r="192" spans="7:11" x14ac:dyDescent="0.25">
      <c r="G192" s="1"/>
      <c r="H192" s="1"/>
      <c r="I192" s="1"/>
      <c r="J192" s="1"/>
      <c r="K192" s="1"/>
    </row>
    <row r="193" spans="7:11" x14ac:dyDescent="0.25">
      <c r="G193" s="1"/>
      <c r="H193" s="1"/>
      <c r="I193" s="1"/>
      <c r="J193" s="1"/>
      <c r="K193" s="1"/>
    </row>
    <row r="194" spans="7:11" x14ac:dyDescent="0.25">
      <c r="G194" s="1"/>
      <c r="H194" s="1"/>
      <c r="I194" s="1"/>
      <c r="J194" s="1"/>
      <c r="K194" s="1"/>
    </row>
    <row r="195" spans="7:11" x14ac:dyDescent="0.25">
      <c r="G195" s="1"/>
      <c r="H195" s="1"/>
      <c r="I195" s="1"/>
      <c r="J195" s="1"/>
      <c r="K195" s="1"/>
    </row>
    <row r="196" spans="7:11" x14ac:dyDescent="0.25">
      <c r="G196" s="1"/>
      <c r="H196" s="1"/>
      <c r="I196" s="1"/>
      <c r="J196" s="1"/>
      <c r="K196" s="1"/>
    </row>
    <row r="197" spans="7:11" x14ac:dyDescent="0.25">
      <c r="G197" s="1"/>
      <c r="H197" s="1"/>
      <c r="I197" s="1"/>
      <c r="J197" s="1"/>
      <c r="K197" s="1"/>
    </row>
    <row r="198" spans="7:11" x14ac:dyDescent="0.25">
      <c r="G198" s="1"/>
      <c r="H198" s="1"/>
      <c r="I198" s="1"/>
      <c r="J198" s="1"/>
      <c r="K198" s="1"/>
    </row>
    <row r="199" spans="7:11" x14ac:dyDescent="0.25">
      <c r="G199" s="1"/>
      <c r="H199" s="1"/>
      <c r="I199" s="1"/>
      <c r="J199" s="1"/>
      <c r="K199" s="1"/>
    </row>
    <row r="200" spans="7:11" x14ac:dyDescent="0.25">
      <c r="G200" s="1"/>
      <c r="H200" s="1"/>
      <c r="I200" s="1"/>
      <c r="J200" s="1"/>
      <c r="K200" s="1"/>
    </row>
    <row r="201" spans="7:11" x14ac:dyDescent="0.25">
      <c r="G201" s="1"/>
      <c r="H201" s="1"/>
      <c r="I201" s="1"/>
      <c r="J201" s="1"/>
      <c r="K201" s="1"/>
    </row>
    <row r="202" spans="7:11" x14ac:dyDescent="0.25">
      <c r="G202" s="1"/>
      <c r="H202" s="1"/>
      <c r="I202" s="1"/>
      <c r="J202" s="1"/>
      <c r="K202" s="1"/>
    </row>
    <row r="203" spans="7:11" x14ac:dyDescent="0.25">
      <c r="G203" s="1"/>
      <c r="H203" s="1"/>
      <c r="I203" s="1"/>
      <c r="J203" s="1"/>
      <c r="K203" s="1"/>
    </row>
    <row r="204" spans="7:11" x14ac:dyDescent="0.25">
      <c r="G204" s="1"/>
      <c r="H204" s="1"/>
      <c r="I204" s="1"/>
      <c r="J204" s="1"/>
      <c r="K204" s="1"/>
    </row>
    <row r="205" spans="7:11" x14ac:dyDescent="0.25">
      <c r="G205" s="1"/>
      <c r="H205" s="1"/>
      <c r="I205" s="1"/>
      <c r="J205" s="1"/>
      <c r="K205" s="1"/>
    </row>
    <row r="206" spans="7:11" x14ac:dyDescent="0.25">
      <c r="G206" s="1"/>
      <c r="H206" s="1"/>
      <c r="I206" s="1"/>
      <c r="J206" s="1"/>
      <c r="K206" s="1"/>
    </row>
    <row r="207" spans="7:11" x14ac:dyDescent="0.25">
      <c r="G207" s="1"/>
      <c r="H207" s="1"/>
      <c r="I207" s="1"/>
      <c r="J207" s="1"/>
      <c r="K207" s="1"/>
    </row>
    <row r="208" spans="7:11" x14ac:dyDescent="0.25">
      <c r="G208" s="1"/>
      <c r="H208" s="1"/>
      <c r="I208" s="1"/>
      <c r="J208" s="1"/>
      <c r="K208" s="1"/>
    </row>
    <row r="209" spans="7:11" x14ac:dyDescent="0.25">
      <c r="G209" s="1"/>
      <c r="H209" s="1"/>
      <c r="I209" s="1"/>
      <c r="J209" s="1"/>
      <c r="K209" s="1"/>
    </row>
    <row r="210" spans="7:11" x14ac:dyDescent="0.25">
      <c r="G210" s="1"/>
      <c r="H210" s="1"/>
      <c r="I210" s="1"/>
      <c r="J210" s="1"/>
      <c r="K210" s="1"/>
    </row>
    <row r="211" spans="7:11" x14ac:dyDescent="0.25">
      <c r="G211" s="1"/>
      <c r="H211" s="1"/>
      <c r="I211" s="1"/>
      <c r="J211" s="1"/>
      <c r="K211" s="1"/>
    </row>
    <row r="212" spans="7:11" x14ac:dyDescent="0.25">
      <c r="G212" s="1"/>
      <c r="H212" s="1"/>
      <c r="I212" s="1"/>
      <c r="J212" s="1"/>
      <c r="K212" s="1"/>
    </row>
    <row r="213" spans="7:11" x14ac:dyDescent="0.25">
      <c r="G213" s="1"/>
      <c r="H213" s="1"/>
      <c r="I213" s="1"/>
      <c r="J213" s="1"/>
      <c r="K213" s="1"/>
    </row>
    <row r="214" spans="7:11" x14ac:dyDescent="0.25">
      <c r="G214" s="1"/>
      <c r="H214" s="1"/>
      <c r="I214" s="1"/>
      <c r="J214" s="1"/>
      <c r="K214" s="1"/>
    </row>
    <row r="215" spans="7:11" x14ac:dyDescent="0.25">
      <c r="G215" s="1"/>
      <c r="H215" s="1"/>
      <c r="I215" s="1"/>
      <c r="J215" s="1"/>
      <c r="K215" s="1"/>
    </row>
    <row r="216" spans="7:11" x14ac:dyDescent="0.25">
      <c r="G216" s="1"/>
      <c r="H216" s="1"/>
      <c r="I216" s="1"/>
      <c r="J216" s="1"/>
      <c r="K216" s="1"/>
    </row>
    <row r="217" spans="7:11" x14ac:dyDescent="0.25">
      <c r="G217" s="1"/>
      <c r="H217" s="1"/>
      <c r="I217" s="1"/>
      <c r="J217" s="1"/>
      <c r="K217" s="1"/>
    </row>
    <row r="218" spans="7:11" x14ac:dyDescent="0.25">
      <c r="G218" s="1"/>
      <c r="H218" s="1"/>
      <c r="I218" s="1"/>
      <c r="J218" s="1"/>
      <c r="K218" s="1"/>
    </row>
    <row r="219" spans="7:11" x14ac:dyDescent="0.25">
      <c r="G219" s="1"/>
      <c r="H219" s="1"/>
      <c r="I219" s="1"/>
      <c r="J219" s="1"/>
      <c r="K219" s="1"/>
    </row>
    <row r="220" spans="7:11" x14ac:dyDescent="0.25">
      <c r="G220" s="1"/>
      <c r="H220" s="1"/>
      <c r="I220" s="1"/>
      <c r="J220" s="1"/>
      <c r="K220" s="1"/>
    </row>
    <row r="221" spans="7:11" x14ac:dyDescent="0.25">
      <c r="G221" s="1"/>
      <c r="H221" s="1"/>
      <c r="I221" s="1"/>
      <c r="J221" s="1"/>
      <c r="K221" s="1"/>
    </row>
    <row r="222" spans="7:11" x14ac:dyDescent="0.25">
      <c r="G222" s="1"/>
      <c r="H222" s="1"/>
      <c r="I222" s="1"/>
      <c r="J222" s="1"/>
      <c r="K222" s="1"/>
    </row>
    <row r="223" spans="7:11" x14ac:dyDescent="0.25">
      <c r="G223" s="1"/>
      <c r="H223" s="1"/>
      <c r="I223" s="1"/>
      <c r="J223" s="1"/>
      <c r="K223" s="1"/>
    </row>
    <row r="224" spans="7:11" x14ac:dyDescent="0.25">
      <c r="G224" s="1"/>
      <c r="H224" s="1"/>
      <c r="I224" s="1"/>
      <c r="J224" s="1"/>
      <c r="K224" s="1"/>
    </row>
    <row r="225" spans="7:11" x14ac:dyDescent="0.25">
      <c r="G225" s="1"/>
      <c r="H225" s="1"/>
      <c r="I225" s="1"/>
      <c r="J225" s="1"/>
      <c r="K225" s="1"/>
    </row>
    <row r="226" spans="7:11" x14ac:dyDescent="0.25">
      <c r="G226" s="1"/>
      <c r="H226" s="1"/>
      <c r="I226" s="1"/>
      <c r="J226" s="1"/>
      <c r="K226" s="1"/>
    </row>
    <row r="227" spans="7:11" x14ac:dyDescent="0.25">
      <c r="G227" s="1"/>
      <c r="H227" s="1"/>
      <c r="I227" s="1"/>
      <c r="J227" s="1"/>
      <c r="K227" s="1"/>
    </row>
    <row r="228" spans="7:11" x14ac:dyDescent="0.25">
      <c r="G228" s="1"/>
      <c r="H228" s="1"/>
      <c r="I228" s="1"/>
      <c r="J228" s="1"/>
      <c r="K228" s="1"/>
    </row>
    <row r="229" spans="7:11" x14ac:dyDescent="0.25">
      <c r="G229" s="1"/>
      <c r="H229" s="1"/>
      <c r="I229" s="1"/>
      <c r="J229" s="1"/>
      <c r="K229" s="1"/>
    </row>
    <row r="230" spans="7:11" x14ac:dyDescent="0.25">
      <c r="G230" s="1"/>
      <c r="H230" s="1"/>
      <c r="I230" s="1"/>
      <c r="J230" s="1"/>
      <c r="K230" s="1"/>
    </row>
    <row r="231" spans="7:11" x14ac:dyDescent="0.25">
      <c r="G231" s="1"/>
      <c r="H231" s="1"/>
      <c r="I231" s="1"/>
      <c r="J231" s="1"/>
      <c r="K231" s="1"/>
    </row>
    <row r="232" spans="7:11" x14ac:dyDescent="0.25">
      <c r="G232" s="1"/>
      <c r="H232" s="1"/>
      <c r="I232" s="1"/>
      <c r="J232" s="1"/>
      <c r="K232" s="1"/>
    </row>
    <row r="233" spans="7:11" x14ac:dyDescent="0.25">
      <c r="G233" s="1"/>
      <c r="H233" s="1"/>
      <c r="I233" s="1"/>
      <c r="J233" s="1"/>
      <c r="K233" s="1"/>
    </row>
    <row r="234" spans="7:11" x14ac:dyDescent="0.25">
      <c r="G234" s="1"/>
      <c r="H234" s="1"/>
      <c r="I234" s="1"/>
      <c r="J234" s="1"/>
      <c r="K234" s="1"/>
    </row>
    <row r="235" spans="7:11" x14ac:dyDescent="0.25">
      <c r="G235" s="1"/>
      <c r="H235" s="1"/>
      <c r="I235" s="1"/>
      <c r="J235" s="1"/>
      <c r="K235" s="1"/>
    </row>
    <row r="236" spans="7:11" x14ac:dyDescent="0.25">
      <c r="G236" s="1"/>
      <c r="H236" s="1"/>
      <c r="I236" s="1"/>
      <c r="J236" s="1"/>
      <c r="K236" s="1"/>
    </row>
    <row r="237" spans="7:11" x14ac:dyDescent="0.25">
      <c r="G237" s="1"/>
      <c r="H237" s="1"/>
      <c r="I237" s="1"/>
      <c r="J237" s="1"/>
      <c r="K237" s="1"/>
    </row>
    <row r="238" spans="7:11" x14ac:dyDescent="0.25">
      <c r="G238" s="1"/>
      <c r="H238" s="1"/>
      <c r="I238" s="1"/>
      <c r="J238" s="1"/>
      <c r="K238" s="1"/>
    </row>
    <row r="239" spans="7:11" x14ac:dyDescent="0.25">
      <c r="G239" s="1"/>
      <c r="H239" s="1"/>
      <c r="I239" s="1"/>
      <c r="J239" s="1"/>
      <c r="K239" s="1"/>
    </row>
    <row r="240" spans="7:11" x14ac:dyDescent="0.25">
      <c r="G240" s="1"/>
      <c r="H240" s="1"/>
      <c r="I240" s="1"/>
      <c r="J240" s="1"/>
      <c r="K240" s="1"/>
    </row>
    <row r="241" spans="7:11" x14ac:dyDescent="0.25">
      <c r="G241" s="1"/>
      <c r="H241" s="1"/>
      <c r="I241" s="1"/>
      <c r="J241" s="1"/>
      <c r="K241" s="1"/>
    </row>
    <row r="242" spans="7:11" x14ac:dyDescent="0.25">
      <c r="G242" s="1"/>
      <c r="H242" s="1"/>
      <c r="I242" s="1"/>
      <c r="J242" s="1"/>
      <c r="K242" s="1"/>
    </row>
    <row r="243" spans="7:11" x14ac:dyDescent="0.25">
      <c r="G243" s="1"/>
      <c r="H243" s="1"/>
      <c r="I243" s="1"/>
      <c r="J243" s="1"/>
      <c r="K243" s="1"/>
    </row>
    <row r="244" spans="7:11" x14ac:dyDescent="0.25">
      <c r="G244" s="1"/>
      <c r="H244" s="1"/>
      <c r="I244" s="1"/>
      <c r="J244" s="1"/>
      <c r="K244" s="1"/>
    </row>
    <row r="245" spans="7:11" x14ac:dyDescent="0.25">
      <c r="G245" s="1"/>
      <c r="H245" s="1"/>
      <c r="I245" s="1"/>
      <c r="J245" s="1"/>
      <c r="K245" s="1"/>
    </row>
    <row r="246" spans="7:11" x14ac:dyDescent="0.25">
      <c r="G246" s="1"/>
      <c r="H246" s="1"/>
      <c r="I246" s="1"/>
      <c r="J246" s="1"/>
      <c r="K246" s="1"/>
    </row>
    <row r="247" spans="7:11" x14ac:dyDescent="0.25">
      <c r="G247" s="1"/>
      <c r="H247" s="1"/>
      <c r="I247" s="1"/>
      <c r="J247" s="1"/>
      <c r="K247" s="1"/>
    </row>
    <row r="248" spans="7:11" x14ac:dyDescent="0.25">
      <c r="G248" s="1"/>
      <c r="H248" s="1"/>
      <c r="I248" s="1"/>
      <c r="J248" s="1"/>
      <c r="K248" s="1"/>
    </row>
    <row r="249" spans="7:11" x14ac:dyDescent="0.25">
      <c r="G249" s="1"/>
      <c r="H249" s="1"/>
      <c r="I249" s="1"/>
      <c r="J249" s="1"/>
      <c r="K249" s="1"/>
    </row>
    <row r="250" spans="7:11" x14ac:dyDescent="0.25">
      <c r="G250" s="1"/>
      <c r="H250" s="1"/>
      <c r="I250" s="1"/>
      <c r="J250" s="1"/>
      <c r="K250" s="1"/>
    </row>
    <row r="251" spans="7:11" x14ac:dyDescent="0.25">
      <c r="G251" s="1"/>
      <c r="H251" s="1"/>
      <c r="I251" s="1"/>
      <c r="J251" s="1"/>
      <c r="K251" s="1"/>
    </row>
    <row r="252" spans="7:11" x14ac:dyDescent="0.25">
      <c r="G252" s="1"/>
      <c r="H252" s="1"/>
      <c r="I252" s="1"/>
      <c r="J252" s="1"/>
      <c r="K252" s="1"/>
    </row>
    <row r="253" spans="7:11" x14ac:dyDescent="0.25">
      <c r="G253" s="1"/>
      <c r="H253" s="1"/>
      <c r="I253" s="1"/>
      <c r="J253" s="1"/>
      <c r="K253" s="1"/>
    </row>
    <row r="254" spans="7:11" x14ac:dyDescent="0.25">
      <c r="G254" s="1"/>
      <c r="H254" s="1"/>
      <c r="I254" s="1"/>
      <c r="J254" s="1"/>
      <c r="K254" s="1"/>
    </row>
    <row r="255" spans="7:11" x14ac:dyDescent="0.25">
      <c r="G255" s="1"/>
      <c r="H255" s="1"/>
      <c r="I255" s="1"/>
      <c r="J255" s="1"/>
      <c r="K255" s="1"/>
    </row>
    <row r="256" spans="7:11" x14ac:dyDescent="0.25">
      <c r="G256" s="1"/>
      <c r="H256" s="1"/>
      <c r="I256" s="1"/>
      <c r="J256" s="1"/>
      <c r="K256" s="1"/>
    </row>
    <row r="257" spans="7:11" x14ac:dyDescent="0.25">
      <c r="G257" s="1"/>
      <c r="H257" s="1"/>
      <c r="I257" s="1"/>
      <c r="J257" s="1"/>
      <c r="K257" s="1"/>
    </row>
    <row r="258" spans="7:11" x14ac:dyDescent="0.25">
      <c r="G258" s="1"/>
      <c r="H258" s="1"/>
      <c r="I258" s="1"/>
      <c r="J258" s="1"/>
      <c r="K258" s="1"/>
    </row>
    <row r="259" spans="7:11" x14ac:dyDescent="0.25">
      <c r="G259" s="1"/>
      <c r="H259" s="1"/>
      <c r="I259" s="1"/>
      <c r="J259" s="1"/>
      <c r="K259" s="1"/>
    </row>
    <row r="260" spans="7:11" x14ac:dyDescent="0.25">
      <c r="G260" s="1"/>
      <c r="H260" s="1"/>
      <c r="I260" s="1"/>
      <c r="J260" s="1"/>
      <c r="K260" s="1"/>
    </row>
    <row r="261" spans="7:11" x14ac:dyDescent="0.25">
      <c r="G261" s="1"/>
      <c r="H261" s="1"/>
      <c r="I261" s="1"/>
      <c r="J261" s="1"/>
      <c r="K261" s="1"/>
    </row>
    <row r="262" spans="7:11" x14ac:dyDescent="0.25">
      <c r="G262" s="1"/>
      <c r="H262" s="1"/>
      <c r="I262" s="1"/>
      <c r="J262" s="1"/>
      <c r="K262" s="1"/>
    </row>
    <row r="263" spans="7:11" x14ac:dyDescent="0.25">
      <c r="G263" s="1"/>
      <c r="H263" s="1"/>
      <c r="I263" s="1"/>
      <c r="J263" s="1"/>
      <c r="K263" s="1"/>
    </row>
    <row r="264" spans="7:11" x14ac:dyDescent="0.25">
      <c r="G264" s="1"/>
      <c r="H264" s="1"/>
      <c r="I264" s="1"/>
      <c r="J264" s="1"/>
      <c r="K264" s="1"/>
    </row>
    <row r="265" spans="7:11" x14ac:dyDescent="0.25">
      <c r="G265" s="1"/>
      <c r="H265" s="1"/>
      <c r="I265" s="1"/>
      <c r="J265" s="1"/>
      <c r="K265" s="1"/>
    </row>
    <row r="266" spans="7:11" x14ac:dyDescent="0.25">
      <c r="G266" s="1"/>
      <c r="H266" s="1"/>
      <c r="I266" s="1"/>
      <c r="J266" s="1"/>
      <c r="K266" s="1"/>
    </row>
    <row r="267" spans="7:11" x14ac:dyDescent="0.25">
      <c r="G267" s="1"/>
      <c r="H267" s="1"/>
      <c r="I267" s="1"/>
      <c r="J267" s="1"/>
      <c r="K267" s="1"/>
    </row>
    <row r="268" spans="7:11" x14ac:dyDescent="0.25">
      <c r="G268" s="1"/>
      <c r="H268" s="1"/>
      <c r="I268" s="1"/>
      <c r="J268" s="1"/>
      <c r="K268" s="1"/>
    </row>
    <row r="269" spans="7:11" x14ac:dyDescent="0.25">
      <c r="G269" s="1"/>
      <c r="H269" s="1"/>
      <c r="I269" s="1"/>
      <c r="J269" s="1"/>
      <c r="K269" s="1"/>
    </row>
    <row r="270" spans="7:11" x14ac:dyDescent="0.25">
      <c r="G270" s="1"/>
      <c r="H270" s="1"/>
      <c r="I270" s="1"/>
      <c r="J270" s="1"/>
      <c r="K270" s="1"/>
    </row>
    <row r="271" spans="7:11" x14ac:dyDescent="0.25">
      <c r="G271" s="1"/>
      <c r="H271" s="1"/>
      <c r="I271" s="1"/>
      <c r="J271" s="1"/>
      <c r="K271" s="1"/>
    </row>
    <row r="272" spans="7:11" x14ac:dyDescent="0.25">
      <c r="G272" s="1"/>
      <c r="H272" s="1"/>
      <c r="I272" s="1"/>
      <c r="J272" s="1"/>
      <c r="K272" s="1"/>
    </row>
    <row r="273" spans="7:11" x14ac:dyDescent="0.25">
      <c r="G273" s="1"/>
      <c r="H273" s="1"/>
      <c r="I273" s="1"/>
      <c r="J273" s="1"/>
      <c r="K273" s="1"/>
    </row>
    <row r="274" spans="7:11" x14ac:dyDescent="0.25">
      <c r="G274" s="1"/>
      <c r="H274" s="1"/>
      <c r="I274" s="1"/>
      <c r="J274" s="1"/>
      <c r="K274" s="1"/>
    </row>
    <row r="275" spans="7:11" x14ac:dyDescent="0.25">
      <c r="G275" s="1"/>
      <c r="H275" s="1"/>
      <c r="I275" s="1"/>
      <c r="J275" s="1"/>
      <c r="K275" s="1"/>
    </row>
    <row r="276" spans="7:11" x14ac:dyDescent="0.25">
      <c r="G276" s="1"/>
      <c r="H276" s="1"/>
      <c r="I276" s="1"/>
      <c r="J276" s="1"/>
      <c r="K276" s="1"/>
    </row>
    <row r="277" spans="7:11" x14ac:dyDescent="0.25">
      <c r="G277" s="1"/>
      <c r="H277" s="1"/>
      <c r="I277" s="1"/>
      <c r="J277" s="1"/>
      <c r="K277" s="1"/>
    </row>
    <row r="278" spans="7:11" x14ac:dyDescent="0.25">
      <c r="G278" s="1"/>
      <c r="H278" s="1"/>
      <c r="I278" s="1"/>
      <c r="J278" s="1"/>
      <c r="K278" s="1"/>
    </row>
    <row r="279" spans="7:11" x14ac:dyDescent="0.25">
      <c r="G279" s="1"/>
      <c r="H279" s="1"/>
      <c r="I279" s="1"/>
      <c r="J279" s="1"/>
      <c r="K279" s="1"/>
    </row>
    <row r="280" spans="7:11" x14ac:dyDescent="0.25">
      <c r="G280" s="1"/>
      <c r="H280" s="1"/>
      <c r="I280" s="1"/>
      <c r="J280" s="1"/>
      <c r="K280" s="1"/>
    </row>
    <row r="281" spans="7:11" x14ac:dyDescent="0.25">
      <c r="G281" s="1"/>
      <c r="H281" s="1"/>
      <c r="I281" s="1"/>
      <c r="J281" s="1"/>
      <c r="K281" s="1"/>
    </row>
    <row r="282" spans="7:11" x14ac:dyDescent="0.25">
      <c r="G282" s="1"/>
      <c r="H282" s="1"/>
      <c r="I282" s="1"/>
      <c r="J282" s="1"/>
      <c r="K282" s="1"/>
    </row>
    <row r="283" spans="7:11" x14ac:dyDescent="0.25">
      <c r="G283" s="1"/>
      <c r="H283" s="1"/>
      <c r="I283" s="1"/>
      <c r="J283" s="1"/>
      <c r="K283" s="1"/>
    </row>
    <row r="284" spans="7:11" x14ac:dyDescent="0.25">
      <c r="G284" s="1"/>
      <c r="H284" s="1"/>
      <c r="I284" s="1"/>
      <c r="J284" s="1"/>
      <c r="K284" s="1"/>
    </row>
    <row r="285" spans="7:11" x14ac:dyDescent="0.25">
      <c r="G285" s="1"/>
      <c r="H285" s="1"/>
      <c r="I285" s="1"/>
      <c r="J285" s="1"/>
      <c r="K285" s="1"/>
    </row>
    <row r="286" spans="7:11" x14ac:dyDescent="0.25">
      <c r="G286" s="1"/>
      <c r="H286" s="1"/>
      <c r="I286" s="1"/>
      <c r="J286" s="1"/>
      <c r="K286" s="1"/>
    </row>
    <row r="287" spans="7:11" x14ac:dyDescent="0.25">
      <c r="G287" s="1"/>
      <c r="H287" s="1"/>
      <c r="I287" s="1"/>
      <c r="J287" s="1"/>
      <c r="K287" s="1"/>
    </row>
    <row r="288" spans="7:11" x14ac:dyDescent="0.25">
      <c r="G288" s="1"/>
      <c r="H288" s="1"/>
      <c r="I288" s="1"/>
      <c r="J288" s="1"/>
      <c r="K288" s="1"/>
    </row>
    <row r="289" spans="7:11" x14ac:dyDescent="0.25">
      <c r="G289" s="1"/>
      <c r="H289" s="1"/>
      <c r="I289" s="1"/>
      <c r="J289" s="1"/>
      <c r="K289" s="1"/>
    </row>
    <row r="290" spans="7:11" x14ac:dyDescent="0.25">
      <c r="G290" s="1"/>
      <c r="H290" s="1"/>
      <c r="I290" s="1"/>
      <c r="J290" s="1"/>
      <c r="K290" s="1"/>
    </row>
    <row r="291" spans="7:11" x14ac:dyDescent="0.25">
      <c r="G291" s="1"/>
      <c r="H291" s="1"/>
      <c r="I291" s="1"/>
      <c r="J291" s="1"/>
      <c r="K291" s="1"/>
    </row>
    <row r="292" spans="7:11" x14ac:dyDescent="0.25">
      <c r="G292" s="1"/>
      <c r="H292" s="1"/>
      <c r="I292" s="1"/>
      <c r="J292" s="1"/>
      <c r="K292" s="1"/>
    </row>
    <row r="293" spans="7:11" x14ac:dyDescent="0.25">
      <c r="G293" s="1"/>
      <c r="H293" s="1"/>
      <c r="I293" s="1"/>
      <c r="J293" s="1"/>
      <c r="K293" s="1"/>
    </row>
    <row r="294" spans="7:11" x14ac:dyDescent="0.25">
      <c r="G294" s="1"/>
      <c r="H294" s="1"/>
      <c r="I294" s="1"/>
      <c r="J294" s="1"/>
      <c r="K294" s="1"/>
    </row>
    <row r="295" spans="7:11" x14ac:dyDescent="0.25">
      <c r="G295" s="1"/>
      <c r="H295" s="1"/>
      <c r="I295" s="1"/>
      <c r="J295" s="1"/>
      <c r="K295" s="1"/>
    </row>
    <row r="296" spans="7:11" x14ac:dyDescent="0.25">
      <c r="G296" s="1"/>
      <c r="H296" s="1"/>
      <c r="I296" s="1"/>
      <c r="J296" s="1"/>
      <c r="K296" s="1"/>
    </row>
    <row r="297" spans="7:11" x14ac:dyDescent="0.25">
      <c r="G297" s="1"/>
      <c r="H297" s="1"/>
      <c r="I297" s="1"/>
      <c r="J297" s="1"/>
      <c r="K297" s="1"/>
    </row>
    <row r="298" spans="7:11" x14ac:dyDescent="0.25">
      <c r="G298" s="1"/>
      <c r="H298" s="1"/>
      <c r="I298" s="1"/>
      <c r="J298" s="1"/>
      <c r="K298" s="1"/>
    </row>
    <row r="299" spans="7:11" x14ac:dyDescent="0.25">
      <c r="G299" s="1"/>
      <c r="H299" s="1"/>
      <c r="I299" s="1"/>
      <c r="J299" s="1"/>
      <c r="K299" s="1"/>
    </row>
    <row r="300" spans="7:11" x14ac:dyDescent="0.25">
      <c r="G300" s="1"/>
      <c r="H300" s="1"/>
      <c r="I300" s="1"/>
      <c r="J300" s="1"/>
      <c r="K300" s="1"/>
    </row>
    <row r="301" spans="7:11" x14ac:dyDescent="0.25">
      <c r="G301" s="1"/>
      <c r="H301" s="1"/>
      <c r="I301" s="1"/>
      <c r="J301" s="1"/>
      <c r="K301" s="1"/>
    </row>
    <row r="302" spans="7:11" x14ac:dyDescent="0.25">
      <c r="G302" s="1"/>
      <c r="H302" s="1"/>
      <c r="I302" s="1"/>
      <c r="J302" s="1"/>
      <c r="K302" s="1"/>
    </row>
    <row r="303" spans="7:11" x14ac:dyDescent="0.25">
      <c r="G303" s="1"/>
      <c r="H303" s="1"/>
      <c r="I303" s="1"/>
      <c r="J303" s="1"/>
      <c r="K303" s="1"/>
    </row>
    <row r="304" spans="7:11" x14ac:dyDescent="0.25">
      <c r="G304" s="1"/>
      <c r="H304" s="1"/>
      <c r="I304" s="1"/>
      <c r="J304" s="1"/>
      <c r="K304" s="1"/>
    </row>
    <row r="305" spans="7:11" x14ac:dyDescent="0.25">
      <c r="G305" s="1"/>
      <c r="H305" s="1"/>
      <c r="I305" s="1"/>
      <c r="J305" s="1"/>
      <c r="K305" s="1"/>
    </row>
    <row r="306" spans="7:11" x14ac:dyDescent="0.25">
      <c r="G306" s="1"/>
      <c r="H306" s="1"/>
      <c r="I306" s="1"/>
      <c r="J306" s="1"/>
      <c r="K306" s="1"/>
    </row>
    <row r="307" spans="7:11" x14ac:dyDescent="0.25">
      <c r="G307" s="1"/>
      <c r="H307" s="1"/>
      <c r="I307" s="1"/>
      <c r="J307" s="1"/>
      <c r="K307" s="1"/>
    </row>
    <row r="308" spans="7:11" x14ac:dyDescent="0.25">
      <c r="G308" s="1"/>
      <c r="H308" s="1"/>
      <c r="I308" s="1"/>
      <c r="J308" s="1"/>
      <c r="K308" s="1"/>
    </row>
    <row r="309" spans="7:11" x14ac:dyDescent="0.25">
      <c r="G309" s="1"/>
      <c r="H309" s="1"/>
      <c r="I309" s="1"/>
      <c r="J309" s="1"/>
      <c r="K309" s="1"/>
    </row>
    <row r="310" spans="7:11" x14ac:dyDescent="0.25">
      <c r="G310" s="1"/>
      <c r="H310" s="1"/>
      <c r="I310" s="1"/>
      <c r="J310" s="1"/>
      <c r="K310" s="1"/>
    </row>
    <row r="311" spans="7:11" x14ac:dyDescent="0.25">
      <c r="G311" s="1"/>
      <c r="H311" s="1"/>
      <c r="I311" s="1"/>
      <c r="J311" s="1"/>
      <c r="K311" s="1"/>
    </row>
    <row r="312" spans="7:11" x14ac:dyDescent="0.25">
      <c r="G312" s="1"/>
      <c r="H312" s="1"/>
      <c r="I312" s="1"/>
      <c r="J312" s="1"/>
      <c r="K312" s="1"/>
    </row>
    <row r="313" spans="7:11" x14ac:dyDescent="0.25">
      <c r="G313" s="1"/>
      <c r="H313" s="1"/>
      <c r="I313" s="1"/>
      <c r="J313" s="1"/>
      <c r="K313" s="1"/>
    </row>
    <row r="314" spans="7:11" x14ac:dyDescent="0.25">
      <c r="G314" s="1"/>
      <c r="H314" s="1"/>
      <c r="I314" s="1"/>
      <c r="J314" s="1"/>
      <c r="K314" s="1"/>
    </row>
    <row r="315" spans="7:11" x14ac:dyDescent="0.25">
      <c r="G315" s="1"/>
      <c r="H315" s="1"/>
      <c r="I315" s="1"/>
      <c r="J315" s="1"/>
      <c r="K315" s="1"/>
    </row>
    <row r="316" spans="7:11" x14ac:dyDescent="0.25">
      <c r="G316" s="1"/>
      <c r="H316" s="1"/>
      <c r="I316" s="1"/>
      <c r="J316" s="1"/>
      <c r="K316" s="1"/>
    </row>
    <row r="317" spans="7:11" x14ac:dyDescent="0.25">
      <c r="G317" s="1"/>
      <c r="H317" s="1"/>
      <c r="I317" s="1"/>
      <c r="J317" s="1"/>
      <c r="K317" s="1"/>
    </row>
    <row r="318" spans="7:11" x14ac:dyDescent="0.25">
      <c r="G318" s="1"/>
      <c r="H318" s="1"/>
      <c r="I318" s="1"/>
      <c r="J318" s="1"/>
      <c r="K318" s="1"/>
    </row>
    <row r="319" spans="7:11" x14ac:dyDescent="0.25">
      <c r="G319" s="1"/>
      <c r="H319" s="1"/>
      <c r="I319" s="1"/>
      <c r="J319" s="1"/>
      <c r="K319" s="1"/>
    </row>
    <row r="320" spans="7:11" x14ac:dyDescent="0.25">
      <c r="G320" s="1"/>
      <c r="H320" s="1"/>
      <c r="I320" s="1"/>
      <c r="J320" s="1"/>
      <c r="K320" s="1"/>
    </row>
    <row r="321" spans="7:11" x14ac:dyDescent="0.25">
      <c r="G321" s="1"/>
      <c r="H321" s="1"/>
      <c r="I321" s="1"/>
      <c r="J321" s="1"/>
      <c r="K321" s="1"/>
    </row>
    <row r="322" spans="7:11" x14ac:dyDescent="0.25">
      <c r="G322" s="1"/>
      <c r="H322" s="1"/>
      <c r="I322" s="1"/>
      <c r="J322" s="1"/>
      <c r="K322" s="1"/>
    </row>
    <row r="323" spans="7:11" x14ac:dyDescent="0.25">
      <c r="G323" s="1"/>
      <c r="H323" s="1"/>
      <c r="I323" s="1"/>
      <c r="J323" s="1"/>
      <c r="K323" s="1"/>
    </row>
    <row r="324" spans="7:11" x14ac:dyDescent="0.25">
      <c r="G324" s="1"/>
      <c r="H324" s="1"/>
      <c r="I324" s="1"/>
      <c r="J324" s="1"/>
      <c r="K324" s="1"/>
    </row>
    <row r="325" spans="7:11" x14ac:dyDescent="0.25">
      <c r="G325" s="1"/>
      <c r="H325" s="1"/>
      <c r="I325" s="1"/>
      <c r="J325" s="1"/>
      <c r="K325" s="1"/>
    </row>
    <row r="326" spans="7:11" x14ac:dyDescent="0.25">
      <c r="G326" s="1"/>
      <c r="H326" s="1"/>
      <c r="I326" s="1"/>
      <c r="J326" s="1"/>
      <c r="K326" s="1"/>
    </row>
    <row r="327" spans="7:11" x14ac:dyDescent="0.25">
      <c r="G327" s="1"/>
      <c r="H327" s="1"/>
      <c r="I327" s="1"/>
      <c r="J327" s="1"/>
      <c r="K327" s="1"/>
    </row>
    <row r="328" spans="7:11" x14ac:dyDescent="0.25">
      <c r="G328" s="1"/>
      <c r="H328" s="1"/>
      <c r="I328" s="1"/>
      <c r="J328" s="1"/>
      <c r="K328" s="1"/>
    </row>
    <row r="329" spans="7:11" x14ac:dyDescent="0.25">
      <c r="G329" s="1"/>
      <c r="H329" s="1"/>
      <c r="I329" s="1"/>
      <c r="J329" s="1"/>
      <c r="K329" s="1"/>
    </row>
    <row r="330" spans="7:11" x14ac:dyDescent="0.25">
      <c r="G330" s="1"/>
      <c r="H330" s="1"/>
      <c r="I330" s="1"/>
      <c r="J330" s="1"/>
      <c r="K330" s="1"/>
    </row>
    <row r="331" spans="7:11" x14ac:dyDescent="0.25">
      <c r="G331" s="1"/>
      <c r="H331" s="1"/>
      <c r="I331" s="1"/>
      <c r="J331" s="1"/>
      <c r="K331" s="1"/>
    </row>
    <row r="332" spans="7:11" x14ac:dyDescent="0.25">
      <c r="G332" s="1"/>
      <c r="H332" s="1"/>
      <c r="I332" s="1"/>
      <c r="J332" s="1"/>
      <c r="K332" s="1"/>
    </row>
    <row r="333" spans="7:11" x14ac:dyDescent="0.25">
      <c r="G333" s="1"/>
      <c r="H333" s="1"/>
      <c r="I333" s="1"/>
      <c r="J333" s="1"/>
      <c r="K333" s="1"/>
    </row>
    <row r="334" spans="7:11" x14ac:dyDescent="0.25">
      <c r="G334" s="1"/>
      <c r="H334" s="1"/>
      <c r="I334" s="1"/>
      <c r="J334" s="1"/>
      <c r="K334" s="1"/>
    </row>
    <row r="335" spans="7:11" x14ac:dyDescent="0.25">
      <c r="G335" s="1"/>
      <c r="H335" s="1"/>
      <c r="I335" s="1"/>
      <c r="J335" s="1"/>
      <c r="K335" s="1"/>
    </row>
    <row r="336" spans="7:11" x14ac:dyDescent="0.25">
      <c r="G336" s="1"/>
      <c r="H336" s="1"/>
      <c r="I336" s="1"/>
      <c r="J336" s="1"/>
      <c r="K336" s="1"/>
    </row>
    <row r="337" spans="7:11" x14ac:dyDescent="0.25">
      <c r="G337" s="1"/>
      <c r="H337" s="1"/>
      <c r="I337" s="1"/>
      <c r="J337" s="1"/>
      <c r="K337" s="1"/>
    </row>
    <row r="338" spans="7:11" x14ac:dyDescent="0.25">
      <c r="G338" s="1"/>
      <c r="H338" s="1"/>
      <c r="I338" s="1"/>
      <c r="J338" s="1"/>
      <c r="K338" s="1"/>
    </row>
    <row r="339" spans="7:11" x14ac:dyDescent="0.25">
      <c r="G339" s="1"/>
      <c r="H339" s="1"/>
      <c r="I339" s="1"/>
      <c r="J339" s="1"/>
      <c r="K339" s="1"/>
    </row>
    <row r="340" spans="7:11" x14ac:dyDescent="0.25">
      <c r="G340" s="1"/>
      <c r="H340" s="1"/>
      <c r="I340" s="1"/>
      <c r="J340" s="1"/>
      <c r="K340" s="1"/>
    </row>
    <row r="341" spans="7:11" x14ac:dyDescent="0.25">
      <c r="G341" s="1"/>
      <c r="H341" s="1"/>
      <c r="I341" s="1"/>
      <c r="J341" s="1"/>
      <c r="K341" s="1"/>
    </row>
    <row r="342" spans="7:11" x14ac:dyDescent="0.25">
      <c r="G342" s="1"/>
      <c r="H342" s="1"/>
      <c r="I342" s="1"/>
      <c r="J342" s="1"/>
      <c r="K342" s="1"/>
    </row>
    <row r="343" spans="7:11" x14ac:dyDescent="0.25">
      <c r="G343" s="1"/>
      <c r="H343" s="1"/>
      <c r="I343" s="1"/>
      <c r="J343" s="1"/>
      <c r="K343" s="1"/>
    </row>
    <row r="344" spans="7:11" x14ac:dyDescent="0.25">
      <c r="G344" s="1"/>
      <c r="H344" s="1"/>
      <c r="I344" s="1"/>
      <c r="J344" s="1"/>
      <c r="K344" s="1"/>
    </row>
    <row r="345" spans="7:11" x14ac:dyDescent="0.25">
      <c r="G345" s="1"/>
      <c r="H345" s="1"/>
      <c r="I345" s="1"/>
      <c r="J345" s="1"/>
      <c r="K345" s="1"/>
    </row>
    <row r="346" spans="7:11" x14ac:dyDescent="0.25">
      <c r="G346" s="1"/>
      <c r="H346" s="1"/>
      <c r="I346" s="1"/>
      <c r="J346" s="1"/>
      <c r="K346" s="1"/>
    </row>
    <row r="347" spans="7:11" x14ac:dyDescent="0.25">
      <c r="G347" s="1"/>
      <c r="H347" s="1"/>
      <c r="I347" s="1"/>
      <c r="J347" s="1"/>
      <c r="K347" s="1"/>
    </row>
    <row r="348" spans="7:11" x14ac:dyDescent="0.25">
      <c r="G348" s="1"/>
      <c r="H348" s="1"/>
      <c r="I348" s="1"/>
      <c r="J348" s="1"/>
      <c r="K348" s="1"/>
    </row>
    <row r="349" spans="7:11" x14ac:dyDescent="0.25">
      <c r="G349" s="1"/>
      <c r="H349" s="1"/>
      <c r="I349" s="1"/>
      <c r="J349" s="1"/>
      <c r="K349" s="1"/>
    </row>
    <row r="350" spans="7:11" x14ac:dyDescent="0.25">
      <c r="G350" s="1"/>
      <c r="H350" s="1"/>
      <c r="I350" s="1"/>
      <c r="J350" s="1"/>
      <c r="K350" s="1"/>
    </row>
    <row r="351" spans="7:11" x14ac:dyDescent="0.25">
      <c r="G351" s="1"/>
      <c r="H351" s="1"/>
      <c r="I351" s="1"/>
      <c r="J351" s="1"/>
      <c r="K351" s="1"/>
    </row>
    <row r="352" spans="7:11" x14ac:dyDescent="0.25">
      <c r="G352" s="1"/>
      <c r="H352" s="1"/>
      <c r="I352" s="1"/>
      <c r="J352" s="1"/>
      <c r="K352" s="1"/>
    </row>
    <row r="353" spans="7:11" x14ac:dyDescent="0.25">
      <c r="G353" s="1"/>
      <c r="H353" s="1"/>
      <c r="I353" s="1"/>
      <c r="J353" s="1"/>
      <c r="K353" s="1"/>
    </row>
    <row r="354" spans="7:11" x14ac:dyDescent="0.25">
      <c r="G354" s="1"/>
      <c r="H354" s="1"/>
      <c r="I354" s="1"/>
      <c r="J354" s="1"/>
      <c r="K354" s="1"/>
    </row>
    <row r="355" spans="7:11" x14ac:dyDescent="0.25">
      <c r="G355" s="1"/>
      <c r="H355" s="1"/>
      <c r="I355" s="1"/>
      <c r="J355" s="1"/>
      <c r="K355" s="1"/>
    </row>
    <row r="356" spans="7:11" x14ac:dyDescent="0.25">
      <c r="G356" s="1"/>
      <c r="H356" s="1"/>
      <c r="I356" s="1"/>
      <c r="J356" s="1"/>
      <c r="K356" s="1"/>
    </row>
    <row r="357" spans="7:11" x14ac:dyDescent="0.25">
      <c r="G357" s="1"/>
      <c r="H357" s="1"/>
      <c r="I357" s="1"/>
      <c r="J357" s="1"/>
      <c r="K357" s="1"/>
    </row>
    <row r="358" spans="7:11" x14ac:dyDescent="0.25">
      <c r="G358" s="1"/>
      <c r="H358" s="1"/>
      <c r="I358" s="1"/>
      <c r="J358" s="1"/>
      <c r="K358" s="1"/>
    </row>
    <row r="359" spans="7:11" x14ac:dyDescent="0.25">
      <c r="G359" s="1"/>
      <c r="H359" s="1"/>
      <c r="I359" s="1"/>
      <c r="J359" s="1"/>
      <c r="K359" s="1"/>
    </row>
    <row r="360" spans="7:11" x14ac:dyDescent="0.25">
      <c r="G360" s="1"/>
      <c r="H360" s="1"/>
      <c r="I360" s="1"/>
      <c r="J360" s="1"/>
      <c r="K360" s="1"/>
    </row>
    <row r="361" spans="7:11" x14ac:dyDescent="0.25">
      <c r="G361" s="1"/>
      <c r="H361" s="1"/>
      <c r="I361" s="1"/>
      <c r="J361" s="1"/>
      <c r="K361" s="1"/>
    </row>
    <row r="362" spans="7:11" x14ac:dyDescent="0.25">
      <c r="G362" s="1"/>
      <c r="H362" s="1"/>
      <c r="I362" s="1"/>
      <c r="J362" s="1"/>
      <c r="K362" s="1"/>
    </row>
    <row r="363" spans="7:11" x14ac:dyDescent="0.25">
      <c r="G363" s="1"/>
      <c r="H363" s="1"/>
      <c r="I363" s="1"/>
      <c r="J363" s="1"/>
      <c r="K363" s="1"/>
    </row>
    <row r="364" spans="7:11" x14ac:dyDescent="0.25">
      <c r="G364" s="1"/>
      <c r="H364" s="1"/>
      <c r="I364" s="1"/>
      <c r="J364" s="1"/>
      <c r="K364" s="1"/>
    </row>
    <row r="365" spans="7:11" x14ac:dyDescent="0.25">
      <c r="G365" s="1"/>
      <c r="H365" s="1"/>
      <c r="I365" s="1"/>
      <c r="J365" s="1"/>
      <c r="K365" s="1"/>
    </row>
    <row r="366" spans="7:11" x14ac:dyDescent="0.25">
      <c r="G366" s="1"/>
      <c r="H366" s="1"/>
      <c r="I366" s="1"/>
      <c r="J366" s="1"/>
      <c r="K366" s="1"/>
    </row>
    <row r="367" spans="7:11" x14ac:dyDescent="0.25">
      <c r="G367" s="1"/>
      <c r="H367" s="1"/>
      <c r="I367" s="1"/>
      <c r="J367" s="1"/>
      <c r="K367" s="1"/>
    </row>
    <row r="368" spans="7:11" x14ac:dyDescent="0.25">
      <c r="G368" s="1"/>
      <c r="H368" s="1"/>
      <c r="I368" s="1"/>
      <c r="J368" s="1"/>
      <c r="K368" s="1"/>
    </row>
    <row r="369" spans="7:11" x14ac:dyDescent="0.25">
      <c r="G369" s="1"/>
      <c r="H369" s="1"/>
      <c r="I369" s="1"/>
      <c r="J369" s="1"/>
      <c r="K369" s="1"/>
    </row>
    <row r="370" spans="7:11" x14ac:dyDescent="0.25">
      <c r="G370" s="1"/>
      <c r="H370" s="1"/>
      <c r="I370" s="1"/>
      <c r="J370" s="1"/>
      <c r="K370" s="1"/>
    </row>
    <row r="371" spans="7:11" x14ac:dyDescent="0.25">
      <c r="G371" s="1"/>
      <c r="H371" s="1"/>
      <c r="I371" s="1"/>
      <c r="J371" s="1"/>
      <c r="K371" s="1"/>
    </row>
    <row r="372" spans="7:11" x14ac:dyDescent="0.25">
      <c r="G372" s="1"/>
      <c r="H372" s="1"/>
      <c r="I372" s="1"/>
      <c r="J372" s="1"/>
      <c r="K372" s="1"/>
    </row>
    <row r="373" spans="7:11" x14ac:dyDescent="0.25">
      <c r="G373" s="1"/>
      <c r="H373" s="1"/>
      <c r="I373" s="1"/>
      <c r="J373" s="1"/>
      <c r="K373" s="1"/>
    </row>
    <row r="374" spans="7:11" x14ac:dyDescent="0.25">
      <c r="G374" s="1"/>
      <c r="H374" s="1"/>
      <c r="I374" s="1"/>
      <c r="J374" s="1"/>
      <c r="K374" s="1"/>
    </row>
    <row r="375" spans="7:11" x14ac:dyDescent="0.25">
      <c r="G375" s="1"/>
      <c r="H375" s="1"/>
      <c r="I375" s="1"/>
      <c r="J375" s="1"/>
      <c r="K375" s="1"/>
    </row>
    <row r="376" spans="7:11" x14ac:dyDescent="0.25">
      <c r="G376" s="1"/>
      <c r="H376" s="1"/>
      <c r="I376" s="1"/>
      <c r="J376" s="1"/>
      <c r="K376" s="1"/>
    </row>
    <row r="377" spans="7:11" x14ac:dyDescent="0.25">
      <c r="G377" s="1"/>
      <c r="H377" s="1"/>
      <c r="I377" s="1"/>
      <c r="J377" s="1"/>
      <c r="K377" s="1"/>
    </row>
    <row r="378" spans="7:11" x14ac:dyDescent="0.25">
      <c r="G378" s="1"/>
      <c r="H378" s="1"/>
      <c r="I378" s="1"/>
      <c r="J378" s="1"/>
      <c r="K378" s="1"/>
    </row>
    <row r="379" spans="7:11" x14ac:dyDescent="0.25">
      <c r="G379" s="1"/>
      <c r="H379" s="1"/>
      <c r="I379" s="1"/>
      <c r="J379" s="1"/>
      <c r="K379" s="1"/>
    </row>
    <row r="380" spans="7:11" x14ac:dyDescent="0.25">
      <c r="G380" s="1"/>
      <c r="H380" s="1"/>
      <c r="I380" s="1"/>
      <c r="J380" s="1"/>
      <c r="K380" s="1"/>
    </row>
    <row r="381" spans="7:11" x14ac:dyDescent="0.25">
      <c r="G381" s="1"/>
      <c r="H381" s="1"/>
      <c r="I381" s="1"/>
      <c r="J381" s="1"/>
      <c r="K381" s="1"/>
    </row>
    <row r="382" spans="7:11" x14ac:dyDescent="0.25">
      <c r="G382" s="1"/>
      <c r="H382" s="1"/>
      <c r="I382" s="1"/>
      <c r="J382" s="1"/>
      <c r="K382" s="1"/>
    </row>
    <row r="383" spans="7:11" x14ac:dyDescent="0.25">
      <c r="G383" s="1"/>
      <c r="H383" s="1"/>
      <c r="I383" s="1"/>
      <c r="J383" s="1"/>
      <c r="K383" s="1"/>
    </row>
    <row r="384" spans="7:11" x14ac:dyDescent="0.25">
      <c r="G384" s="1"/>
      <c r="H384" s="1"/>
      <c r="I384" s="1"/>
      <c r="J384" s="1"/>
      <c r="K384" s="1"/>
    </row>
    <row r="385" spans="7:11" x14ac:dyDescent="0.25">
      <c r="G385" s="1"/>
      <c r="H385" s="1"/>
      <c r="I385" s="1"/>
      <c r="J385" s="1"/>
      <c r="K385" s="1"/>
    </row>
    <row r="386" spans="7:11" x14ac:dyDescent="0.25">
      <c r="G386" s="1"/>
      <c r="H386" s="1"/>
      <c r="I386" s="1"/>
      <c r="J386" s="1"/>
      <c r="K386" s="1"/>
    </row>
    <row r="387" spans="7:11" x14ac:dyDescent="0.25">
      <c r="G387" s="1"/>
      <c r="H387" s="1"/>
      <c r="I387" s="1"/>
      <c r="J387" s="1"/>
      <c r="K387" s="1"/>
    </row>
    <row r="388" spans="7:11" x14ac:dyDescent="0.25">
      <c r="G388" s="1"/>
      <c r="H388" s="1"/>
      <c r="I388" s="1"/>
      <c r="J388" s="1"/>
      <c r="K388" s="1"/>
    </row>
    <row r="389" spans="7:11" x14ac:dyDescent="0.25">
      <c r="G389" s="1"/>
      <c r="H389" s="1"/>
      <c r="I389" s="1"/>
      <c r="J389" s="1"/>
      <c r="K389" s="1"/>
    </row>
    <row r="390" spans="7:11" x14ac:dyDescent="0.25">
      <c r="G390" s="1"/>
      <c r="H390" s="1"/>
      <c r="I390" s="1"/>
      <c r="J390" s="1"/>
      <c r="K390" s="1"/>
    </row>
    <row r="391" spans="7:11" x14ac:dyDescent="0.25">
      <c r="G391" s="1"/>
      <c r="H391" s="1"/>
      <c r="I391" s="1"/>
      <c r="J391" s="1"/>
      <c r="K391" s="1"/>
    </row>
    <row r="392" spans="7:11" x14ac:dyDescent="0.25">
      <c r="G392" s="1"/>
      <c r="H392" s="1"/>
      <c r="I392" s="1"/>
      <c r="J392" s="1"/>
      <c r="K392" s="1"/>
    </row>
    <row r="393" spans="7:11" x14ac:dyDescent="0.25">
      <c r="G393" s="1"/>
      <c r="H393" s="1"/>
      <c r="I393" s="1"/>
      <c r="J393" s="1"/>
      <c r="K393" s="1"/>
    </row>
    <row r="394" spans="7:11" x14ac:dyDescent="0.25">
      <c r="G394" s="1"/>
      <c r="H394" s="1"/>
      <c r="I394" s="1"/>
      <c r="J394" s="1"/>
      <c r="K394" s="1"/>
    </row>
    <row r="395" spans="7:11" x14ac:dyDescent="0.25">
      <c r="G395" s="1"/>
      <c r="H395" s="1"/>
      <c r="I395" s="1"/>
      <c r="J395" s="1"/>
      <c r="K395" s="1"/>
    </row>
    <row r="396" spans="7:11" x14ac:dyDescent="0.25">
      <c r="G396" s="1"/>
      <c r="H396" s="1"/>
      <c r="I396" s="1"/>
      <c r="J396" s="1"/>
      <c r="K396" s="1"/>
    </row>
    <row r="397" spans="7:11" x14ac:dyDescent="0.25">
      <c r="G397" s="1"/>
      <c r="H397" s="1"/>
      <c r="I397" s="1"/>
      <c r="J397" s="1"/>
      <c r="K397" s="1"/>
    </row>
    <row r="398" spans="7:11" x14ac:dyDescent="0.25">
      <c r="G398" s="1"/>
      <c r="H398" s="1"/>
      <c r="I398" s="1"/>
      <c r="J398" s="1"/>
      <c r="K398" s="1"/>
    </row>
    <row r="399" spans="7:11" x14ac:dyDescent="0.25">
      <c r="G399" s="1"/>
      <c r="H399" s="1"/>
      <c r="I399" s="1"/>
      <c r="J399" s="1"/>
      <c r="K399" s="1"/>
    </row>
    <row r="400" spans="7:11" x14ac:dyDescent="0.25">
      <c r="G400" s="1"/>
      <c r="H400" s="1"/>
      <c r="I400" s="1"/>
      <c r="J400" s="1"/>
      <c r="K400" s="1"/>
    </row>
    <row r="401" spans="7:11" x14ac:dyDescent="0.25">
      <c r="G401" s="1"/>
      <c r="H401" s="1"/>
      <c r="I401" s="1"/>
      <c r="J401" s="1"/>
      <c r="K401" s="1"/>
    </row>
    <row r="402" spans="7:11" x14ac:dyDescent="0.25">
      <c r="G402" s="1"/>
      <c r="H402" s="1"/>
      <c r="I402" s="1"/>
      <c r="J402" s="1"/>
      <c r="K402" s="1"/>
    </row>
    <row r="403" spans="7:11" x14ac:dyDescent="0.25">
      <c r="G403" s="1"/>
      <c r="H403" s="1"/>
      <c r="I403" s="1"/>
      <c r="J403" s="1"/>
      <c r="K403" s="1"/>
    </row>
    <row r="404" spans="7:11" x14ac:dyDescent="0.25">
      <c r="G404" s="1"/>
      <c r="H404" s="1"/>
      <c r="I404" s="1"/>
      <c r="J404" s="1"/>
      <c r="K404" s="1"/>
    </row>
    <row r="405" spans="7:11" x14ac:dyDescent="0.25">
      <c r="G405" s="1"/>
      <c r="H405" s="1"/>
      <c r="I405" s="1"/>
      <c r="J405" s="1"/>
      <c r="K405" s="1"/>
    </row>
    <row r="406" spans="7:11" x14ac:dyDescent="0.25">
      <c r="G406" s="1"/>
      <c r="H406" s="1"/>
      <c r="I406" s="1"/>
      <c r="J406" s="1"/>
      <c r="K406" s="1"/>
    </row>
    <row r="407" spans="7:11" x14ac:dyDescent="0.25">
      <c r="G407" s="1"/>
      <c r="H407" s="1"/>
      <c r="I407" s="1"/>
      <c r="J407" s="1"/>
      <c r="K407" s="1"/>
    </row>
    <row r="408" spans="7:11" x14ac:dyDescent="0.25">
      <c r="G408" s="1"/>
      <c r="H408" s="1"/>
      <c r="I408" s="1"/>
      <c r="J408" s="1"/>
      <c r="K408" s="1"/>
    </row>
    <row r="409" spans="7:11" x14ac:dyDescent="0.25">
      <c r="G409" s="1"/>
      <c r="H409" s="1"/>
      <c r="I409" s="1"/>
      <c r="J409" s="1"/>
      <c r="K409" s="1"/>
    </row>
    <row r="410" spans="7:11" x14ac:dyDescent="0.25">
      <c r="G410" s="1"/>
      <c r="H410" s="1"/>
      <c r="I410" s="1"/>
      <c r="J410" s="1"/>
      <c r="K410" s="1"/>
    </row>
    <row r="411" spans="7:11" x14ac:dyDescent="0.25">
      <c r="G411" s="1"/>
      <c r="H411" s="1"/>
      <c r="I411" s="1"/>
      <c r="J411" s="1"/>
      <c r="K411" s="1"/>
    </row>
    <row r="412" spans="7:11" x14ac:dyDescent="0.25">
      <c r="G412" s="1"/>
      <c r="H412" s="1"/>
      <c r="I412" s="1"/>
      <c r="J412" s="1"/>
      <c r="K412" s="1"/>
    </row>
    <row r="413" spans="7:11" x14ac:dyDescent="0.25">
      <c r="G413" s="1"/>
      <c r="H413" s="1"/>
      <c r="I413" s="1"/>
      <c r="J413" s="1"/>
      <c r="K413" s="1"/>
    </row>
    <row r="414" spans="7:11" x14ac:dyDescent="0.25">
      <c r="G414" s="1"/>
      <c r="H414" s="1"/>
      <c r="I414" s="1"/>
      <c r="J414" s="1"/>
      <c r="K414" s="1"/>
    </row>
    <row r="415" spans="7:11" x14ac:dyDescent="0.25">
      <c r="G415" s="1"/>
      <c r="H415" s="1"/>
      <c r="I415" s="1"/>
      <c r="J415" s="1"/>
      <c r="K415" s="1"/>
    </row>
    <row r="416" spans="7:11" x14ac:dyDescent="0.25">
      <c r="G416" s="1"/>
      <c r="H416" s="1"/>
      <c r="I416" s="1"/>
      <c r="J416" s="1"/>
      <c r="K416" s="1"/>
    </row>
    <row r="417" spans="7:11" x14ac:dyDescent="0.25">
      <c r="G417" s="1"/>
      <c r="H417" s="1"/>
      <c r="I417" s="1"/>
      <c r="J417" s="1"/>
      <c r="K417" s="1"/>
    </row>
    <row r="418" spans="7:11" x14ac:dyDescent="0.25">
      <c r="G418" s="1"/>
      <c r="H418" s="1"/>
      <c r="I418" s="1"/>
      <c r="J418" s="1"/>
      <c r="K418" s="1"/>
    </row>
    <row r="419" spans="7:11" x14ac:dyDescent="0.25">
      <c r="G419" s="1"/>
      <c r="H419" s="1"/>
      <c r="I419" s="1"/>
      <c r="J419" s="1"/>
      <c r="K419" s="1"/>
    </row>
    <row r="420" spans="7:11" x14ac:dyDescent="0.25">
      <c r="G420" s="1"/>
      <c r="H420" s="1"/>
      <c r="I420" s="1"/>
      <c r="J420" s="1"/>
      <c r="K420" s="1"/>
    </row>
    <row r="421" spans="7:11" x14ac:dyDescent="0.25">
      <c r="G421" s="1"/>
      <c r="H421" s="1"/>
      <c r="I421" s="1"/>
      <c r="J421" s="1"/>
      <c r="K421" s="1"/>
    </row>
    <row r="422" spans="7:11" x14ac:dyDescent="0.25">
      <c r="G422" s="1"/>
      <c r="H422" s="1"/>
      <c r="I422" s="1"/>
      <c r="J422" s="1"/>
      <c r="K422" s="1"/>
    </row>
    <row r="423" spans="7:11" x14ac:dyDescent="0.25">
      <c r="G423" s="1"/>
      <c r="H423" s="1"/>
      <c r="I423" s="1"/>
      <c r="J423" s="1"/>
      <c r="K423" s="1"/>
    </row>
    <row r="424" spans="7:11" x14ac:dyDescent="0.25">
      <c r="G424" s="1"/>
      <c r="H424" s="1"/>
      <c r="I424" s="1"/>
      <c r="J424" s="1"/>
      <c r="K424" s="1"/>
    </row>
    <row r="425" spans="7:11" x14ac:dyDescent="0.25">
      <c r="G425" s="1"/>
      <c r="H425" s="1"/>
      <c r="I425" s="1"/>
      <c r="J425" s="1"/>
      <c r="K425" s="1"/>
    </row>
    <row r="426" spans="7:11" x14ac:dyDescent="0.25">
      <c r="G426" s="1"/>
      <c r="H426" s="1"/>
      <c r="I426" s="1"/>
      <c r="J426" s="1"/>
      <c r="K426" s="1"/>
    </row>
    <row r="427" spans="7:11" x14ac:dyDescent="0.25">
      <c r="G427" s="1"/>
      <c r="H427" s="1"/>
      <c r="I427" s="1"/>
      <c r="J427" s="1"/>
      <c r="K427" s="1"/>
    </row>
    <row r="428" spans="7:11" x14ac:dyDescent="0.25">
      <c r="G428" s="1"/>
      <c r="H428" s="1"/>
      <c r="I428" s="1"/>
      <c r="J428" s="1"/>
      <c r="K428" s="1"/>
    </row>
    <row r="429" spans="7:11" x14ac:dyDescent="0.25">
      <c r="G429" s="1"/>
      <c r="H429" s="1"/>
      <c r="I429" s="1"/>
      <c r="J429" s="1"/>
      <c r="K429" s="1"/>
    </row>
    <row r="430" spans="7:11" x14ac:dyDescent="0.25">
      <c r="G430" s="1"/>
      <c r="H430" s="1"/>
      <c r="I430" s="1"/>
      <c r="J430" s="1"/>
      <c r="K430" s="1"/>
    </row>
    <row r="431" spans="7:11" x14ac:dyDescent="0.25">
      <c r="G431" s="1"/>
      <c r="H431" s="1"/>
      <c r="I431" s="1"/>
      <c r="J431" s="1"/>
      <c r="K431" s="1"/>
    </row>
    <row r="432" spans="7:11" x14ac:dyDescent="0.25">
      <c r="G432" s="1"/>
      <c r="H432" s="1"/>
      <c r="I432" s="1"/>
      <c r="J432" s="1"/>
      <c r="K432" s="1"/>
    </row>
    <row r="433" spans="7:11" x14ac:dyDescent="0.25">
      <c r="G433" s="1"/>
      <c r="H433" s="1"/>
      <c r="I433" s="1"/>
      <c r="J433" s="1"/>
      <c r="K433" s="1"/>
    </row>
    <row r="434" spans="7:11" x14ac:dyDescent="0.25">
      <c r="G434" s="1"/>
      <c r="H434" s="1"/>
      <c r="I434" s="1"/>
      <c r="J434" s="1"/>
      <c r="K434" s="1"/>
    </row>
    <row r="435" spans="7:11" x14ac:dyDescent="0.25">
      <c r="G435" s="1"/>
      <c r="H435" s="1"/>
      <c r="I435" s="1"/>
      <c r="J435" s="1"/>
      <c r="K435" s="1"/>
    </row>
    <row r="436" spans="7:11" x14ac:dyDescent="0.25">
      <c r="G436" s="1"/>
      <c r="H436" s="1"/>
      <c r="I436" s="1"/>
      <c r="J436" s="1"/>
      <c r="K436" s="1"/>
    </row>
    <row r="437" spans="7:11" x14ac:dyDescent="0.25">
      <c r="G437" s="1"/>
      <c r="H437" s="1"/>
      <c r="I437" s="1"/>
      <c r="J437" s="1"/>
      <c r="K437" s="1"/>
    </row>
    <row r="438" spans="7:11" x14ac:dyDescent="0.25">
      <c r="G438" s="1"/>
      <c r="H438" s="1"/>
      <c r="I438" s="1"/>
      <c r="J438" s="1"/>
      <c r="K438" s="1"/>
    </row>
    <row r="439" spans="7:11" x14ac:dyDescent="0.25">
      <c r="G439" s="1"/>
      <c r="H439" s="1"/>
      <c r="I439" s="1"/>
      <c r="J439" s="1"/>
      <c r="K439" s="1"/>
    </row>
    <row r="440" spans="7:11" x14ac:dyDescent="0.25">
      <c r="G440" s="1"/>
      <c r="H440" s="1"/>
      <c r="I440" s="1"/>
      <c r="J440" s="1"/>
      <c r="K440" s="1"/>
    </row>
    <row r="441" spans="7:11" x14ac:dyDescent="0.25">
      <c r="G441" s="1"/>
      <c r="H441" s="1"/>
      <c r="I441" s="1"/>
      <c r="J441" s="1"/>
      <c r="K441" s="1"/>
    </row>
    <row r="442" spans="7:11" x14ac:dyDescent="0.25">
      <c r="G442" s="1"/>
      <c r="H442" s="1"/>
      <c r="I442" s="1"/>
      <c r="J442" s="1"/>
      <c r="K442" s="1"/>
    </row>
    <row r="443" spans="7:11" x14ac:dyDescent="0.25">
      <c r="G443" s="1"/>
      <c r="H443" s="1"/>
      <c r="I443" s="1"/>
      <c r="J443" s="1"/>
      <c r="K443" s="1"/>
    </row>
    <row r="444" spans="7:11" x14ac:dyDescent="0.25">
      <c r="G444" s="1"/>
      <c r="H444" s="1"/>
      <c r="I444" s="1"/>
      <c r="J444" s="1"/>
      <c r="K444" s="1"/>
    </row>
    <row r="445" spans="7:11" x14ac:dyDescent="0.25">
      <c r="G445" s="1"/>
      <c r="H445" s="1"/>
      <c r="I445" s="1"/>
      <c r="J445" s="1"/>
      <c r="K445" s="1"/>
    </row>
    <row r="446" spans="7:11" x14ac:dyDescent="0.25">
      <c r="G446" s="1"/>
      <c r="H446" s="1"/>
      <c r="I446" s="1"/>
      <c r="J446" s="1"/>
      <c r="K446" s="1"/>
    </row>
    <row r="447" spans="7:11" x14ac:dyDescent="0.25">
      <c r="G447" s="1"/>
      <c r="H447" s="1"/>
      <c r="I447" s="1"/>
      <c r="J447" s="1"/>
      <c r="K447" s="1"/>
    </row>
    <row r="448" spans="7:11" x14ac:dyDescent="0.25">
      <c r="G448" s="1"/>
      <c r="H448" s="1"/>
      <c r="I448" s="1"/>
      <c r="J448" s="1"/>
      <c r="K448" s="1"/>
    </row>
    <row r="449" spans="7:11" x14ac:dyDescent="0.25">
      <c r="G449" s="1"/>
      <c r="H449" s="1"/>
      <c r="I449" s="1"/>
      <c r="J449" s="1"/>
      <c r="K449" s="1"/>
    </row>
    <row r="450" spans="7:11" x14ac:dyDescent="0.25">
      <c r="G450" s="1"/>
      <c r="H450" s="1"/>
      <c r="I450" s="1"/>
      <c r="J450" s="1"/>
      <c r="K450" s="1"/>
    </row>
    <row r="451" spans="7:11" x14ac:dyDescent="0.25">
      <c r="G451" s="1"/>
      <c r="H451" s="1"/>
      <c r="I451" s="1"/>
      <c r="J451" s="1"/>
      <c r="K451" s="1"/>
    </row>
    <row r="452" spans="7:11" x14ac:dyDescent="0.25">
      <c r="G452" s="1"/>
      <c r="H452" s="1"/>
      <c r="I452" s="1"/>
      <c r="J452" s="1"/>
      <c r="K452" s="1"/>
    </row>
    <row r="453" spans="7:11" x14ac:dyDescent="0.25">
      <c r="G453" s="1"/>
      <c r="H453" s="1"/>
      <c r="I453" s="1"/>
      <c r="J453" s="1"/>
      <c r="K453" s="1"/>
    </row>
    <row r="454" spans="7:11" x14ac:dyDescent="0.25">
      <c r="G454" s="1"/>
      <c r="H454" s="1"/>
      <c r="I454" s="1"/>
      <c r="J454" s="1"/>
      <c r="K454" s="1"/>
    </row>
    <row r="455" spans="7:11" x14ac:dyDescent="0.25">
      <c r="G455" s="1"/>
      <c r="H455" s="1"/>
      <c r="I455" s="1"/>
      <c r="J455" s="1"/>
      <c r="K455" s="1"/>
    </row>
    <row r="456" spans="7:11" x14ac:dyDescent="0.25">
      <c r="G456" s="1"/>
      <c r="H456" s="1"/>
      <c r="I456" s="1"/>
      <c r="J456" s="1"/>
      <c r="K456" s="1"/>
    </row>
    <row r="457" spans="7:11" x14ac:dyDescent="0.25">
      <c r="G457" s="1"/>
      <c r="H457" s="1"/>
      <c r="I457" s="1"/>
      <c r="J457" s="1"/>
      <c r="K457" s="1"/>
    </row>
    <row r="458" spans="7:11" x14ac:dyDescent="0.25">
      <c r="G458" s="1"/>
      <c r="H458" s="1"/>
      <c r="I458" s="1"/>
      <c r="J458" s="1"/>
      <c r="K458" s="1"/>
    </row>
    <row r="459" spans="7:11" x14ac:dyDescent="0.25">
      <c r="G459" s="1"/>
      <c r="H459" s="1"/>
      <c r="I459" s="1"/>
      <c r="J459" s="1"/>
      <c r="K459" s="1"/>
    </row>
    <row r="460" spans="7:11" x14ac:dyDescent="0.25">
      <c r="G460" s="1"/>
      <c r="H460" s="1"/>
      <c r="I460" s="1"/>
      <c r="J460" s="1"/>
      <c r="K460" s="1"/>
    </row>
    <row r="461" spans="7:11" x14ac:dyDescent="0.25">
      <c r="G461" s="1"/>
      <c r="H461" s="1"/>
      <c r="I461" s="1"/>
      <c r="J461" s="1"/>
      <c r="K461" s="1"/>
    </row>
    <row r="462" spans="7:11" x14ac:dyDescent="0.25">
      <c r="G462" s="1"/>
      <c r="H462" s="1"/>
      <c r="I462" s="1"/>
      <c r="J462" s="1"/>
      <c r="K462" s="1"/>
    </row>
    <row r="463" spans="7:11" x14ac:dyDescent="0.25">
      <c r="G463" s="1"/>
      <c r="H463" s="1"/>
      <c r="I463" s="1"/>
      <c r="J463" s="1"/>
      <c r="K463" s="1"/>
    </row>
    <row r="464" spans="7:11" x14ac:dyDescent="0.25">
      <c r="G464" s="1"/>
      <c r="H464" s="1"/>
      <c r="I464" s="1"/>
      <c r="J464" s="1"/>
      <c r="K464" s="1"/>
    </row>
    <row r="465" spans="7:11" x14ac:dyDescent="0.25">
      <c r="G465" s="1"/>
      <c r="H465" s="1"/>
      <c r="I465" s="1"/>
      <c r="J465" s="1"/>
      <c r="K465" s="1"/>
    </row>
    <row r="466" spans="7:11" x14ac:dyDescent="0.25">
      <c r="G466" s="1"/>
      <c r="H466" s="1"/>
      <c r="I466" s="1"/>
      <c r="J466" s="1"/>
      <c r="K466" s="1"/>
    </row>
    <row r="467" spans="7:11" x14ac:dyDescent="0.25">
      <c r="G467" s="1"/>
      <c r="H467" s="1"/>
      <c r="I467" s="1"/>
      <c r="J467" s="1"/>
      <c r="K467" s="1"/>
    </row>
    <row r="468" spans="7:11" x14ac:dyDescent="0.25">
      <c r="G468" s="1"/>
      <c r="H468" s="1"/>
      <c r="I468" s="1"/>
      <c r="J468" s="1"/>
      <c r="K468" s="1"/>
    </row>
    <row r="469" spans="7:11" x14ac:dyDescent="0.25">
      <c r="G469" s="1"/>
      <c r="H469" s="1"/>
      <c r="I469" s="1"/>
      <c r="J469" s="1"/>
      <c r="K469" s="1"/>
    </row>
    <row r="470" spans="7:11" x14ac:dyDescent="0.25">
      <c r="G470" s="1"/>
      <c r="H470" s="1"/>
      <c r="I470" s="1"/>
      <c r="J470" s="1"/>
      <c r="K470" s="1"/>
    </row>
    <row r="471" spans="7:11" x14ac:dyDescent="0.25">
      <c r="G471" s="1"/>
      <c r="H471" s="1"/>
      <c r="I471" s="1"/>
      <c r="J471" s="1"/>
      <c r="K471" s="1"/>
    </row>
    <row r="472" spans="7:11" x14ac:dyDescent="0.25">
      <c r="G472" s="1"/>
      <c r="H472" s="1"/>
      <c r="I472" s="1"/>
      <c r="J472" s="1"/>
      <c r="K472" s="1"/>
    </row>
    <row r="473" spans="7:11" x14ac:dyDescent="0.25">
      <c r="G473" s="1"/>
      <c r="H473" s="1"/>
      <c r="I473" s="1"/>
      <c r="J473" s="1"/>
      <c r="K473" s="1"/>
    </row>
    <row r="474" spans="7:11" x14ac:dyDescent="0.25">
      <c r="G474" s="1"/>
      <c r="H474" s="1"/>
      <c r="I474" s="1"/>
      <c r="J474" s="1"/>
      <c r="K474" s="1"/>
    </row>
    <row r="475" spans="7:11" x14ac:dyDescent="0.25">
      <c r="G475" s="1"/>
      <c r="H475" s="1"/>
      <c r="I475" s="1"/>
      <c r="J475" s="1"/>
      <c r="K475" s="1"/>
    </row>
    <row r="476" spans="7:11" x14ac:dyDescent="0.25">
      <c r="G476" s="1"/>
      <c r="H476" s="1"/>
      <c r="I476" s="1"/>
      <c r="J476" s="1"/>
      <c r="K476" s="1"/>
    </row>
    <row r="477" spans="7:11" x14ac:dyDescent="0.25">
      <c r="G477" s="1"/>
      <c r="H477" s="1"/>
      <c r="I477" s="1"/>
      <c r="J477" s="1"/>
      <c r="K477" s="1"/>
    </row>
    <row r="478" spans="7:11" x14ac:dyDescent="0.25">
      <c r="G478" s="1"/>
      <c r="H478" s="1"/>
      <c r="I478" s="1"/>
      <c r="J478" s="1"/>
      <c r="K478" s="1"/>
    </row>
    <row r="479" spans="7:11" x14ac:dyDescent="0.25">
      <c r="G479" s="1"/>
      <c r="H479" s="1"/>
      <c r="I479" s="1"/>
      <c r="J479" s="1"/>
      <c r="K479" s="1"/>
    </row>
    <row r="480" spans="7:11" x14ac:dyDescent="0.25">
      <c r="G480" s="1"/>
      <c r="H480" s="1"/>
      <c r="I480" s="1"/>
      <c r="J480" s="1"/>
      <c r="K480" s="1"/>
    </row>
    <row r="481" spans="7:11" x14ac:dyDescent="0.25">
      <c r="G481" s="1"/>
      <c r="H481" s="1"/>
      <c r="I481" s="1"/>
      <c r="J481" s="1"/>
      <c r="K481" s="1"/>
    </row>
    <row r="482" spans="7:11" x14ac:dyDescent="0.25">
      <c r="G482" s="1"/>
      <c r="H482" s="1"/>
      <c r="I482" s="1"/>
      <c r="J482" s="1"/>
      <c r="K482" s="1"/>
    </row>
    <row r="483" spans="7:11" x14ac:dyDescent="0.25">
      <c r="G483" s="1"/>
      <c r="H483" s="1"/>
      <c r="I483" s="1"/>
      <c r="J483" s="1"/>
      <c r="K483" s="1"/>
    </row>
    <row r="484" spans="7:11" x14ac:dyDescent="0.25">
      <c r="G484" s="1"/>
      <c r="H484" s="1"/>
      <c r="I484" s="1"/>
      <c r="J484" s="1"/>
      <c r="K484" s="1"/>
    </row>
    <row r="485" spans="7:11" x14ac:dyDescent="0.25">
      <c r="G485" s="1"/>
      <c r="H485" s="1"/>
      <c r="I485" s="1"/>
      <c r="J485" s="1"/>
      <c r="K485" s="1"/>
    </row>
    <row r="486" spans="7:11" x14ac:dyDescent="0.25">
      <c r="G486" s="1"/>
      <c r="H486" s="1"/>
      <c r="I486" s="1"/>
      <c r="J486" s="1"/>
      <c r="K486" s="1"/>
    </row>
    <row r="487" spans="7:11" x14ac:dyDescent="0.25">
      <c r="G487" s="1"/>
      <c r="H487" s="1"/>
      <c r="I487" s="1"/>
      <c r="J487" s="1"/>
      <c r="K487" s="1"/>
    </row>
    <row r="488" spans="7:11" x14ac:dyDescent="0.25">
      <c r="G488" s="1"/>
      <c r="H488" s="1"/>
      <c r="I488" s="1"/>
      <c r="J488" s="1"/>
      <c r="K488" s="1"/>
    </row>
    <row r="489" spans="7:11" x14ac:dyDescent="0.25">
      <c r="G489" s="1"/>
      <c r="H489" s="1"/>
      <c r="I489" s="1"/>
      <c r="J489" s="1"/>
      <c r="K489" s="1"/>
    </row>
    <row r="490" spans="7:11" x14ac:dyDescent="0.25">
      <c r="G490" s="1"/>
      <c r="H490" s="1"/>
      <c r="I490" s="1"/>
      <c r="J490" s="1"/>
      <c r="K490" s="1"/>
    </row>
    <row r="491" spans="7:11" x14ac:dyDescent="0.25">
      <c r="G491" s="1"/>
      <c r="H491" s="1"/>
      <c r="I491" s="1"/>
      <c r="J491" s="1"/>
      <c r="K491" s="1"/>
    </row>
    <row r="492" spans="7:11" x14ac:dyDescent="0.25">
      <c r="G492" s="1"/>
      <c r="H492" s="1"/>
      <c r="I492" s="1"/>
      <c r="J492" s="1"/>
      <c r="K492" s="1"/>
    </row>
    <row r="493" spans="7:11" x14ac:dyDescent="0.25">
      <c r="G493" s="1"/>
      <c r="H493" s="1"/>
      <c r="I493" s="1"/>
      <c r="J493" s="1"/>
      <c r="K493" s="1"/>
    </row>
    <row r="494" spans="7:11" x14ac:dyDescent="0.25">
      <c r="G494" s="1"/>
      <c r="H494" s="1"/>
      <c r="I494" s="1"/>
      <c r="J494" s="1"/>
      <c r="K494" s="1"/>
    </row>
    <row r="495" spans="7:11" x14ac:dyDescent="0.25">
      <c r="G495" s="1"/>
      <c r="H495" s="1"/>
      <c r="I495" s="1"/>
      <c r="J495" s="1"/>
      <c r="K495" s="1"/>
    </row>
    <row r="496" spans="7:11" x14ac:dyDescent="0.25">
      <c r="G496" s="1"/>
      <c r="H496" s="1"/>
      <c r="I496" s="1"/>
      <c r="J496" s="1"/>
      <c r="K496" s="1"/>
    </row>
    <row r="497" spans="7:11" x14ac:dyDescent="0.25">
      <c r="G497" s="1"/>
      <c r="H497" s="1"/>
      <c r="I497" s="1"/>
      <c r="J497" s="1"/>
      <c r="K497" s="1"/>
    </row>
    <row r="498" spans="7:11" x14ac:dyDescent="0.25">
      <c r="G498" s="1"/>
      <c r="H498" s="1"/>
      <c r="I498" s="1"/>
      <c r="J498" s="1"/>
      <c r="K498" s="1"/>
    </row>
    <row r="499" spans="7:11" x14ac:dyDescent="0.25">
      <c r="G499" s="1"/>
      <c r="H499" s="1"/>
      <c r="I499" s="1"/>
      <c r="J499" s="1"/>
      <c r="K499" s="1"/>
    </row>
    <row r="500" spans="7:11" x14ac:dyDescent="0.25">
      <c r="G500" s="1"/>
      <c r="H500" s="1"/>
      <c r="I500" s="1"/>
      <c r="J500" s="1"/>
      <c r="K500" s="1"/>
    </row>
    <row r="501" spans="7:11" x14ac:dyDescent="0.25">
      <c r="G501" s="1"/>
      <c r="H501" s="1"/>
      <c r="I501" s="1"/>
      <c r="J501" s="1"/>
      <c r="K501" s="1"/>
    </row>
    <row r="502" spans="7:11" x14ac:dyDescent="0.25">
      <c r="G502" s="1"/>
      <c r="H502" s="1"/>
      <c r="I502" s="1"/>
      <c r="J502" s="1"/>
      <c r="K502" s="1"/>
    </row>
    <row r="503" spans="7:11" x14ac:dyDescent="0.25">
      <c r="G503" s="1"/>
      <c r="H503" s="1"/>
      <c r="I503" s="1"/>
      <c r="J503" s="1"/>
      <c r="K503" s="1"/>
    </row>
    <row r="504" spans="7:11" x14ac:dyDescent="0.25">
      <c r="G504" s="1"/>
      <c r="H504" s="1"/>
      <c r="I504" s="1"/>
      <c r="J504" s="1"/>
      <c r="K504" s="1"/>
    </row>
    <row r="505" spans="7:11" x14ac:dyDescent="0.25">
      <c r="G505" s="1"/>
      <c r="H505" s="1"/>
      <c r="I505" s="1"/>
      <c r="J505" s="1"/>
      <c r="K505" s="1"/>
    </row>
    <row r="506" spans="7:11" x14ac:dyDescent="0.25">
      <c r="G506" s="1"/>
      <c r="H506" s="1"/>
      <c r="I506" s="1"/>
      <c r="J506" s="1"/>
      <c r="K506" s="1"/>
    </row>
    <row r="507" spans="7:11" x14ac:dyDescent="0.25">
      <c r="G507" s="1"/>
      <c r="H507" s="1"/>
      <c r="I507" s="1"/>
      <c r="J507" s="1"/>
      <c r="K507" s="1"/>
    </row>
    <row r="508" spans="7:11" x14ac:dyDescent="0.25">
      <c r="G508" s="1"/>
      <c r="H508" s="1"/>
      <c r="I508" s="1"/>
      <c r="J508" s="1"/>
      <c r="K508" s="1"/>
    </row>
    <row r="509" spans="7:11" x14ac:dyDescent="0.25">
      <c r="G509" s="1"/>
      <c r="H509" s="1"/>
      <c r="I509" s="1"/>
      <c r="J509" s="1"/>
      <c r="K509" s="1"/>
    </row>
    <row r="510" spans="7:11" x14ac:dyDescent="0.25">
      <c r="G510" s="1"/>
      <c r="H510" s="1"/>
      <c r="I510" s="1"/>
      <c r="J510" s="1"/>
      <c r="K510" s="1"/>
    </row>
    <row r="511" spans="7:11" x14ac:dyDescent="0.25">
      <c r="G511" s="1"/>
      <c r="H511" s="1"/>
      <c r="I511" s="1"/>
      <c r="J511" s="1"/>
      <c r="K511" s="1"/>
    </row>
    <row r="512" spans="7:11" x14ac:dyDescent="0.25">
      <c r="G512" s="1"/>
      <c r="H512" s="1"/>
      <c r="I512" s="1"/>
      <c r="J512" s="1"/>
      <c r="K512" s="1"/>
    </row>
    <row r="513" spans="7:11" x14ac:dyDescent="0.25">
      <c r="G513" s="1"/>
      <c r="H513" s="1"/>
      <c r="I513" s="1"/>
      <c r="J513" s="1"/>
      <c r="K513" s="1"/>
    </row>
    <row r="514" spans="7:11" x14ac:dyDescent="0.25">
      <c r="G514" s="1"/>
      <c r="H514" s="1"/>
      <c r="I514" s="1"/>
      <c r="J514" s="1"/>
      <c r="K514" s="1"/>
    </row>
    <row r="515" spans="7:11" x14ac:dyDescent="0.25">
      <c r="G515" s="1"/>
      <c r="H515" s="1"/>
      <c r="I515" s="1"/>
      <c r="J515" s="1"/>
      <c r="K515" s="1"/>
    </row>
    <row r="516" spans="7:11" x14ac:dyDescent="0.25">
      <c r="G516" s="1"/>
      <c r="H516" s="1"/>
      <c r="I516" s="1"/>
      <c r="J516" s="1"/>
      <c r="K516" s="1"/>
    </row>
    <row r="517" spans="7:11" x14ac:dyDescent="0.25">
      <c r="G517" s="1"/>
      <c r="H517" s="1"/>
      <c r="I517" s="1"/>
      <c r="J517" s="1"/>
      <c r="K517" s="1"/>
    </row>
    <row r="518" spans="7:11" x14ac:dyDescent="0.25">
      <c r="G518" s="1"/>
      <c r="H518" s="1"/>
      <c r="I518" s="1"/>
      <c r="J518" s="1"/>
      <c r="K518" s="1"/>
    </row>
    <row r="519" spans="7:11" x14ac:dyDescent="0.25">
      <c r="G519" s="1"/>
      <c r="H519" s="1"/>
      <c r="I519" s="1"/>
      <c r="J519" s="1"/>
      <c r="K519" s="1"/>
    </row>
    <row r="520" spans="7:11" x14ac:dyDescent="0.25">
      <c r="G520" s="1"/>
      <c r="H520" s="1"/>
      <c r="I520" s="1"/>
      <c r="J520" s="1"/>
      <c r="K520" s="1"/>
    </row>
    <row r="521" spans="7:11" x14ac:dyDescent="0.25">
      <c r="G521" s="1"/>
      <c r="H521" s="1"/>
      <c r="I521" s="1"/>
      <c r="J521" s="1"/>
      <c r="K521" s="1"/>
    </row>
    <row r="522" spans="7:11" x14ac:dyDescent="0.25">
      <c r="G522" s="1"/>
      <c r="H522" s="1"/>
      <c r="I522" s="1"/>
      <c r="J522" s="1"/>
      <c r="K522" s="1"/>
    </row>
    <row r="523" spans="7:11" x14ac:dyDescent="0.25">
      <c r="G523" s="1"/>
      <c r="H523" s="1"/>
      <c r="I523" s="1"/>
      <c r="J523" s="1"/>
      <c r="K523" s="1"/>
    </row>
    <row r="524" spans="7:11" x14ac:dyDescent="0.25">
      <c r="G524" s="1"/>
      <c r="H524" s="1"/>
      <c r="I524" s="1"/>
      <c r="J524" s="1"/>
      <c r="K524" s="1"/>
    </row>
    <row r="525" spans="7:11" x14ac:dyDescent="0.25">
      <c r="G525" s="1"/>
      <c r="H525" s="1"/>
      <c r="I525" s="1"/>
      <c r="J525" s="1"/>
      <c r="K525" s="1"/>
    </row>
    <row r="526" spans="7:11" x14ac:dyDescent="0.25">
      <c r="G526" s="1"/>
      <c r="H526" s="1"/>
      <c r="I526" s="1"/>
      <c r="J526" s="1"/>
      <c r="K526" s="1"/>
    </row>
    <row r="527" spans="7:11" x14ac:dyDescent="0.25">
      <c r="G527" s="1"/>
      <c r="H527" s="1"/>
      <c r="I527" s="1"/>
      <c r="J527" s="1"/>
      <c r="K527" s="1"/>
    </row>
    <row r="528" spans="7:11" x14ac:dyDescent="0.25">
      <c r="G528" s="1"/>
      <c r="H528" s="1"/>
      <c r="I528" s="1"/>
      <c r="J528" s="1"/>
      <c r="K528" s="1"/>
    </row>
    <row r="529" spans="7:11" x14ac:dyDescent="0.25">
      <c r="G529" s="1"/>
      <c r="H529" s="1"/>
      <c r="I529" s="1"/>
      <c r="J529" s="1"/>
      <c r="K529" s="1"/>
    </row>
    <row r="530" spans="7:11" x14ac:dyDescent="0.25">
      <c r="G530" s="1"/>
      <c r="H530" s="1"/>
      <c r="I530" s="1"/>
      <c r="J530" s="1"/>
      <c r="K530" s="1"/>
    </row>
    <row r="531" spans="7:11" x14ac:dyDescent="0.25">
      <c r="G531" s="1"/>
      <c r="H531" s="1"/>
      <c r="I531" s="1"/>
      <c r="J531" s="1"/>
      <c r="K531" s="1"/>
    </row>
    <row r="532" spans="7:11" x14ac:dyDescent="0.25">
      <c r="G532" s="1"/>
      <c r="H532" s="1"/>
      <c r="I532" s="1"/>
      <c r="J532" s="1"/>
      <c r="K532" s="1"/>
    </row>
    <row r="533" spans="7:11" x14ac:dyDescent="0.25">
      <c r="G533" s="1"/>
      <c r="H533" s="1"/>
      <c r="I533" s="1"/>
      <c r="J533" s="1"/>
      <c r="K533" s="1"/>
    </row>
    <row r="534" spans="7:11" x14ac:dyDescent="0.25">
      <c r="G534" s="1"/>
      <c r="H534" s="1"/>
      <c r="I534" s="1"/>
      <c r="J534" s="1"/>
      <c r="K534" s="1"/>
    </row>
    <row r="535" spans="7:11" x14ac:dyDescent="0.25">
      <c r="G535" s="1"/>
      <c r="H535" s="1"/>
      <c r="I535" s="1"/>
      <c r="J535" s="1"/>
      <c r="K535" s="1"/>
    </row>
    <row r="536" spans="7:11" x14ac:dyDescent="0.25">
      <c r="G536" s="1"/>
      <c r="H536" s="1"/>
      <c r="I536" s="1"/>
      <c r="J536" s="1"/>
      <c r="K536" s="1"/>
    </row>
    <row r="537" spans="7:11" x14ac:dyDescent="0.25">
      <c r="G537" s="1"/>
      <c r="H537" s="1"/>
      <c r="I537" s="1"/>
      <c r="J537" s="1"/>
      <c r="K537" s="1"/>
    </row>
    <row r="538" spans="7:11" x14ac:dyDescent="0.25">
      <c r="G538" s="1"/>
      <c r="H538" s="1"/>
      <c r="I538" s="1"/>
      <c r="J538" s="1"/>
      <c r="K538" s="1"/>
    </row>
    <row r="539" spans="7:11" x14ac:dyDescent="0.25">
      <c r="G539" s="1"/>
      <c r="H539" s="1"/>
      <c r="I539" s="1"/>
      <c r="J539" s="1"/>
      <c r="K539" s="1"/>
    </row>
    <row r="540" spans="7:11" x14ac:dyDescent="0.25">
      <c r="G540" s="1"/>
      <c r="H540" s="1"/>
      <c r="I540" s="1"/>
      <c r="J540" s="1"/>
      <c r="K540" s="1"/>
    </row>
    <row r="541" spans="7:11" x14ac:dyDescent="0.25">
      <c r="G541" s="1"/>
      <c r="H541" s="1"/>
      <c r="I541" s="1"/>
      <c r="J541" s="1"/>
      <c r="K541" s="1"/>
    </row>
    <row r="542" spans="7:11" x14ac:dyDescent="0.25">
      <c r="G542" s="1"/>
      <c r="H542" s="1"/>
      <c r="I542" s="1"/>
      <c r="J542" s="1"/>
      <c r="K542" s="1"/>
    </row>
    <row r="543" spans="7:11" x14ac:dyDescent="0.25">
      <c r="G543" s="1"/>
      <c r="H543" s="1"/>
      <c r="I543" s="1"/>
      <c r="J543" s="1"/>
      <c r="K543" s="1"/>
    </row>
    <row r="544" spans="7:11" x14ac:dyDescent="0.25">
      <c r="G544" s="1"/>
      <c r="H544" s="1"/>
      <c r="I544" s="1"/>
      <c r="J544" s="1"/>
      <c r="K544" s="1"/>
    </row>
    <row r="545" spans="7:11" x14ac:dyDescent="0.25">
      <c r="G545" s="16"/>
      <c r="H545" s="16"/>
      <c r="I545" s="16"/>
      <c r="J545" s="16"/>
      <c r="K545" s="16"/>
    </row>
    <row r="546" spans="7:11" x14ac:dyDescent="0.25">
      <c r="G546" s="16"/>
      <c r="H546" s="16"/>
      <c r="I546" s="16"/>
      <c r="J546" s="16"/>
      <c r="K546" s="16"/>
    </row>
    <row r="547" spans="7:11" x14ac:dyDescent="0.25">
      <c r="G547" s="16"/>
      <c r="H547" s="16"/>
      <c r="I547" s="16"/>
      <c r="J547" s="16"/>
      <c r="K547" s="16"/>
    </row>
    <row r="548" spans="7:11" x14ac:dyDescent="0.25">
      <c r="G548" s="16"/>
      <c r="H548" s="16"/>
      <c r="I548" s="16"/>
      <c r="J548" s="16"/>
      <c r="K548" s="16"/>
    </row>
    <row r="549" spans="7:11" x14ac:dyDescent="0.25">
      <c r="G549" s="16"/>
      <c r="H549" s="16"/>
      <c r="I549" s="16"/>
      <c r="J549" s="16"/>
      <c r="K549" s="16"/>
    </row>
    <row r="550" spans="7:11" x14ac:dyDescent="0.25">
      <c r="G550" s="16"/>
      <c r="H550" s="16"/>
      <c r="I550" s="16"/>
      <c r="J550" s="16"/>
      <c r="K550" s="16"/>
    </row>
    <row r="551" spans="7:11" x14ac:dyDescent="0.25">
      <c r="G551" s="16"/>
      <c r="H551" s="16"/>
      <c r="I551" s="16"/>
      <c r="J551" s="16"/>
      <c r="K551" s="16"/>
    </row>
    <row r="552" spans="7:11" x14ac:dyDescent="0.25">
      <c r="G552" s="16"/>
      <c r="H552" s="16"/>
      <c r="I552" s="16"/>
      <c r="J552" s="16"/>
      <c r="K552" s="16"/>
    </row>
    <row r="553" spans="7:11" x14ac:dyDescent="0.25">
      <c r="G553" s="16"/>
      <c r="H553" s="16"/>
      <c r="I553" s="16"/>
      <c r="J553" s="16"/>
      <c r="K553" s="16"/>
    </row>
    <row r="554" spans="7:11" x14ac:dyDescent="0.25">
      <c r="G554" s="16"/>
      <c r="H554" s="16"/>
      <c r="I554" s="16"/>
      <c r="J554" s="16"/>
      <c r="K554" s="16"/>
    </row>
    <row r="555" spans="7:11" x14ac:dyDescent="0.25">
      <c r="G555" s="16"/>
      <c r="H555" s="16"/>
      <c r="I555" s="16"/>
      <c r="J555" s="16"/>
      <c r="K555" s="16"/>
    </row>
    <row r="556" spans="7:11" x14ac:dyDescent="0.25">
      <c r="G556" s="16"/>
      <c r="H556" s="16"/>
      <c r="I556" s="16"/>
      <c r="J556" s="16"/>
      <c r="K556" s="16"/>
    </row>
    <row r="557" spans="7:11" x14ac:dyDescent="0.25">
      <c r="G557" s="16"/>
      <c r="H557" s="16"/>
      <c r="I557" s="16"/>
      <c r="J557" s="16"/>
      <c r="K557" s="16"/>
    </row>
    <row r="558" spans="7:11" x14ac:dyDescent="0.25">
      <c r="G558" s="16"/>
      <c r="H558" s="16"/>
      <c r="I558" s="16"/>
      <c r="J558" s="16"/>
      <c r="K558" s="16"/>
    </row>
    <row r="559" spans="7:11" x14ac:dyDescent="0.25">
      <c r="G559" s="16"/>
      <c r="H559" s="16"/>
      <c r="I559" s="16"/>
      <c r="J559" s="16"/>
      <c r="K559" s="16"/>
    </row>
    <row r="560" spans="7:11" x14ac:dyDescent="0.25">
      <c r="G560" s="16"/>
      <c r="H560" s="16"/>
      <c r="I560" s="16"/>
      <c r="J560" s="16"/>
      <c r="K560" s="16"/>
    </row>
    <row r="561" spans="7:11" x14ac:dyDescent="0.25">
      <c r="G561" s="16"/>
      <c r="H561" s="16"/>
      <c r="I561" s="16"/>
      <c r="J561" s="16"/>
      <c r="K561" s="16"/>
    </row>
    <row r="562" spans="7:11" x14ac:dyDescent="0.25">
      <c r="G562" s="16"/>
      <c r="H562" s="16"/>
      <c r="I562" s="16"/>
      <c r="J562" s="16"/>
      <c r="K562" s="16"/>
    </row>
    <row r="563" spans="7:11" x14ac:dyDescent="0.25">
      <c r="G563" s="16"/>
      <c r="H563" s="16"/>
      <c r="I563" s="16"/>
      <c r="J563" s="16"/>
      <c r="K563" s="16"/>
    </row>
    <row r="564" spans="7:11" x14ac:dyDescent="0.25">
      <c r="G564" s="16"/>
      <c r="H564" s="16"/>
      <c r="I564" s="16"/>
      <c r="J564" s="16"/>
      <c r="K564" s="16"/>
    </row>
    <row r="565" spans="7:11" x14ac:dyDescent="0.25">
      <c r="G565" s="16"/>
      <c r="H565" s="16"/>
      <c r="I565" s="16"/>
      <c r="J565" s="16"/>
      <c r="K565" s="16"/>
    </row>
    <row r="566" spans="7:11" x14ac:dyDescent="0.25">
      <c r="G566" s="16"/>
      <c r="H566" s="16"/>
      <c r="I566" s="16"/>
      <c r="J566" s="16"/>
      <c r="K566" s="16"/>
    </row>
    <row r="567" spans="7:11" x14ac:dyDescent="0.25">
      <c r="G567" s="16"/>
      <c r="H567" s="16"/>
      <c r="I567" s="16"/>
      <c r="J567" s="16"/>
      <c r="K567" s="16"/>
    </row>
    <row r="568" spans="7:11" x14ac:dyDescent="0.25">
      <c r="G568" s="16"/>
      <c r="H568" s="16"/>
      <c r="I568" s="16"/>
      <c r="J568" s="16"/>
      <c r="K568" s="16"/>
    </row>
    <row r="569" spans="7:11" x14ac:dyDescent="0.25">
      <c r="G569" s="16"/>
      <c r="H569" s="16"/>
      <c r="I569" s="16"/>
      <c r="J569" s="16"/>
      <c r="K569" s="16"/>
    </row>
    <row r="570" spans="7:11" x14ac:dyDescent="0.25">
      <c r="G570" s="16"/>
      <c r="H570" s="16"/>
      <c r="I570" s="16"/>
      <c r="J570" s="16"/>
      <c r="K570" s="16"/>
    </row>
    <row r="571" spans="7:11" x14ac:dyDescent="0.25">
      <c r="G571" s="16"/>
      <c r="H571" s="16"/>
      <c r="I571" s="16"/>
      <c r="J571" s="16"/>
      <c r="K571" s="16"/>
    </row>
    <row r="572" spans="7:11" x14ac:dyDescent="0.25">
      <c r="G572" s="16"/>
      <c r="H572" s="16"/>
      <c r="I572" s="16"/>
      <c r="J572" s="16"/>
      <c r="K572" s="16"/>
    </row>
    <row r="573" spans="7:11" x14ac:dyDescent="0.25">
      <c r="G573" s="16"/>
      <c r="H573" s="16"/>
      <c r="I573" s="16"/>
      <c r="J573" s="16"/>
      <c r="K573" s="16"/>
    </row>
    <row r="574" spans="7:11" x14ac:dyDescent="0.25">
      <c r="G574" s="16"/>
      <c r="H574" s="16"/>
      <c r="I574" s="16"/>
      <c r="J574" s="16"/>
      <c r="K574" s="16"/>
    </row>
    <row r="575" spans="7:11" x14ac:dyDescent="0.25">
      <c r="G575" s="16"/>
      <c r="H575" s="16"/>
      <c r="I575" s="16"/>
      <c r="J575" s="16"/>
      <c r="K575" s="16"/>
    </row>
    <row r="576" spans="7:11" x14ac:dyDescent="0.25">
      <c r="G576" s="16"/>
      <c r="H576" s="16"/>
      <c r="I576" s="16"/>
      <c r="J576" s="16"/>
      <c r="K576" s="16"/>
    </row>
    <row r="577" spans="7:11" x14ac:dyDescent="0.25">
      <c r="G577" s="16"/>
      <c r="H577" s="16"/>
      <c r="I577" s="16"/>
      <c r="J577" s="16"/>
      <c r="K577" s="16"/>
    </row>
    <row r="578" spans="7:11" x14ac:dyDescent="0.25">
      <c r="G578" s="16"/>
      <c r="H578" s="16"/>
      <c r="I578" s="16"/>
      <c r="J578" s="16"/>
      <c r="K578" s="16"/>
    </row>
    <row r="579" spans="7:11" x14ac:dyDescent="0.25">
      <c r="G579" s="16"/>
      <c r="H579" s="16"/>
      <c r="I579" s="16"/>
      <c r="J579" s="16"/>
      <c r="K579" s="16"/>
    </row>
    <row r="580" spans="7:11" x14ac:dyDescent="0.25">
      <c r="G580" s="16"/>
      <c r="H580" s="16"/>
      <c r="I580" s="16"/>
      <c r="J580" s="16"/>
      <c r="K580" s="16"/>
    </row>
    <row r="581" spans="7:11" x14ac:dyDescent="0.25">
      <c r="G581" s="16"/>
      <c r="H581" s="16"/>
      <c r="I581" s="16"/>
      <c r="J581" s="16"/>
      <c r="K581" s="16"/>
    </row>
    <row r="582" spans="7:11" x14ac:dyDescent="0.25">
      <c r="G582" s="16"/>
      <c r="H582" s="16"/>
      <c r="I582" s="16"/>
      <c r="J582" s="16"/>
      <c r="K582" s="16"/>
    </row>
    <row r="583" spans="7:11" x14ac:dyDescent="0.25">
      <c r="G583" s="16"/>
      <c r="H583" s="16"/>
      <c r="I583" s="16"/>
      <c r="J583" s="16"/>
      <c r="K583" s="16"/>
    </row>
    <row r="584" spans="7:11" x14ac:dyDescent="0.25">
      <c r="G584" s="16"/>
      <c r="H584" s="16"/>
      <c r="I584" s="16"/>
      <c r="J584" s="16"/>
      <c r="K584" s="16"/>
    </row>
    <row r="585" spans="7:11" x14ac:dyDescent="0.25">
      <c r="G585" s="16"/>
      <c r="H585" s="16"/>
      <c r="I585" s="16"/>
      <c r="J585" s="16"/>
      <c r="K585" s="16"/>
    </row>
    <row r="586" spans="7:11" x14ac:dyDescent="0.25">
      <c r="G586" s="16"/>
      <c r="H586" s="16"/>
      <c r="I586" s="16"/>
      <c r="J586" s="16"/>
      <c r="K586" s="16"/>
    </row>
    <row r="587" spans="7:11" x14ac:dyDescent="0.25">
      <c r="G587" s="16"/>
      <c r="H587" s="16"/>
      <c r="I587" s="16"/>
      <c r="J587" s="16"/>
      <c r="K587" s="16"/>
    </row>
    <row r="588" spans="7:11" x14ac:dyDescent="0.25">
      <c r="G588" s="16"/>
      <c r="H588" s="16"/>
      <c r="I588" s="16"/>
      <c r="J588" s="16"/>
      <c r="K588" s="16"/>
    </row>
    <row r="589" spans="7:11" x14ac:dyDescent="0.25">
      <c r="G589" s="16"/>
      <c r="H589" s="16"/>
      <c r="I589" s="16"/>
      <c r="J589" s="16"/>
      <c r="K589" s="16"/>
    </row>
    <row r="590" spans="7:11" x14ac:dyDescent="0.25">
      <c r="G590" s="16"/>
      <c r="H590" s="16"/>
      <c r="I590" s="16"/>
      <c r="J590" s="16"/>
      <c r="K590" s="16"/>
    </row>
    <row r="591" spans="7:11" x14ac:dyDescent="0.25">
      <c r="G591" s="16"/>
      <c r="H591" s="16"/>
      <c r="I591" s="16"/>
      <c r="J591" s="16"/>
      <c r="K591" s="16"/>
    </row>
    <row r="592" spans="7:11" x14ac:dyDescent="0.25">
      <c r="G592" s="16"/>
      <c r="H592" s="16"/>
      <c r="I592" s="16"/>
      <c r="J592" s="16"/>
      <c r="K592" s="16"/>
    </row>
    <row r="593" spans="7:11" x14ac:dyDescent="0.25">
      <c r="G593" s="16"/>
      <c r="H593" s="16"/>
      <c r="I593" s="16"/>
      <c r="J593" s="16"/>
      <c r="K593" s="16"/>
    </row>
    <row r="594" spans="7:11" x14ac:dyDescent="0.25">
      <c r="G594" s="16"/>
      <c r="H594" s="16"/>
      <c r="I594" s="16"/>
      <c r="J594" s="16"/>
      <c r="K594" s="16"/>
    </row>
    <row r="595" spans="7:11" x14ac:dyDescent="0.25">
      <c r="G595" s="16"/>
      <c r="H595" s="16"/>
      <c r="I595" s="16"/>
      <c r="J595" s="16"/>
      <c r="K595" s="16"/>
    </row>
    <row r="596" spans="7:11" x14ac:dyDescent="0.25">
      <c r="G596" s="16"/>
      <c r="H596" s="16"/>
      <c r="I596" s="16"/>
      <c r="J596" s="16"/>
      <c r="K596" s="16"/>
    </row>
    <row r="597" spans="7:11" x14ac:dyDescent="0.25">
      <c r="G597" s="16"/>
      <c r="H597" s="16"/>
      <c r="I597" s="16"/>
      <c r="J597" s="16"/>
      <c r="K597" s="16"/>
    </row>
    <row r="598" spans="7:11" x14ac:dyDescent="0.25">
      <c r="G598" s="16"/>
      <c r="H598" s="16"/>
      <c r="I598" s="16"/>
      <c r="J598" s="16"/>
      <c r="K598" s="16"/>
    </row>
    <row r="599" spans="7:11" x14ac:dyDescent="0.25">
      <c r="G599" s="16"/>
      <c r="H599" s="16"/>
      <c r="I599" s="16"/>
      <c r="J599" s="16"/>
      <c r="K599" s="16"/>
    </row>
    <row r="600" spans="7:11" x14ac:dyDescent="0.25">
      <c r="G600" s="16"/>
      <c r="H600" s="16"/>
      <c r="I600" s="16"/>
      <c r="J600" s="16"/>
      <c r="K600" s="16"/>
    </row>
    <row r="601" spans="7:11" x14ac:dyDescent="0.25">
      <c r="G601" s="16"/>
      <c r="H601" s="16"/>
      <c r="I601" s="16"/>
      <c r="J601" s="16"/>
      <c r="K601" s="16"/>
    </row>
    <row r="602" spans="7:11" x14ac:dyDescent="0.25">
      <c r="G602" s="16"/>
      <c r="H602" s="16"/>
      <c r="I602" s="16"/>
      <c r="J602" s="16"/>
      <c r="K602" s="16"/>
    </row>
    <row r="603" spans="7:11" x14ac:dyDescent="0.25">
      <c r="G603" s="16"/>
      <c r="H603" s="16"/>
      <c r="I603" s="16"/>
      <c r="J603" s="16"/>
      <c r="K603" s="16"/>
    </row>
    <row r="604" spans="7:11" x14ac:dyDescent="0.25">
      <c r="G604" s="16"/>
      <c r="H604" s="16"/>
      <c r="I604" s="16"/>
      <c r="J604" s="16"/>
      <c r="K604" s="16"/>
    </row>
    <row r="605" spans="7:11" x14ac:dyDescent="0.25">
      <c r="G605" s="16"/>
      <c r="H605" s="16"/>
      <c r="I605" s="16"/>
      <c r="J605" s="16"/>
      <c r="K605" s="16"/>
    </row>
    <row r="606" spans="7:11" x14ac:dyDescent="0.25">
      <c r="G606" s="16"/>
      <c r="H606" s="16"/>
      <c r="I606" s="16"/>
      <c r="J606" s="16"/>
      <c r="K606" s="16"/>
    </row>
    <row r="607" spans="7:11" x14ac:dyDescent="0.25">
      <c r="G607" s="16"/>
      <c r="H607" s="16"/>
      <c r="I607" s="16"/>
      <c r="J607" s="16"/>
      <c r="K607" s="16"/>
    </row>
    <row r="608" spans="7:11" x14ac:dyDescent="0.25">
      <c r="G608" s="16"/>
      <c r="H608" s="16"/>
      <c r="I608" s="16"/>
      <c r="J608" s="16"/>
      <c r="K608" s="16"/>
    </row>
    <row r="609" spans="7:11" x14ac:dyDescent="0.25">
      <c r="G609" s="16"/>
      <c r="H609" s="16"/>
      <c r="I609" s="16"/>
      <c r="J609" s="16"/>
      <c r="K609" s="16"/>
    </row>
    <row r="610" spans="7:11" x14ac:dyDescent="0.25">
      <c r="G610" s="16"/>
      <c r="H610" s="16"/>
      <c r="I610" s="16"/>
      <c r="J610" s="16"/>
      <c r="K610" s="16"/>
    </row>
    <row r="611" spans="7:11" x14ac:dyDescent="0.25">
      <c r="G611" s="16"/>
      <c r="H611" s="16"/>
      <c r="I611" s="16"/>
      <c r="J611" s="16"/>
      <c r="K611" s="16"/>
    </row>
    <row r="612" spans="7:11" x14ac:dyDescent="0.25">
      <c r="G612" s="16"/>
      <c r="H612" s="16"/>
      <c r="I612" s="16"/>
      <c r="J612" s="16"/>
      <c r="K612" s="16"/>
    </row>
    <row r="613" spans="7:11" x14ac:dyDescent="0.25">
      <c r="G613" s="16"/>
      <c r="H613" s="16"/>
      <c r="I613" s="16"/>
      <c r="J613" s="16"/>
      <c r="K613" s="16"/>
    </row>
    <row r="614" spans="7:11" x14ac:dyDescent="0.25">
      <c r="G614" s="16"/>
      <c r="H614" s="16"/>
      <c r="I614" s="16"/>
      <c r="J614" s="16"/>
      <c r="K614" s="16"/>
    </row>
    <row r="615" spans="7:11" x14ac:dyDescent="0.25">
      <c r="G615" s="16"/>
      <c r="H615" s="16"/>
      <c r="I615" s="16"/>
      <c r="J615" s="16"/>
      <c r="K615" s="16"/>
    </row>
    <row r="616" spans="7:11" x14ac:dyDescent="0.25">
      <c r="G616" s="16"/>
      <c r="H616" s="16"/>
      <c r="I616" s="16"/>
      <c r="J616" s="16"/>
      <c r="K616" s="16"/>
    </row>
    <row r="617" spans="7:11" x14ac:dyDescent="0.25">
      <c r="G617" s="16"/>
      <c r="H617" s="16"/>
      <c r="I617" s="16"/>
      <c r="J617" s="16"/>
      <c r="K617" s="16"/>
    </row>
    <row r="618" spans="7:11" x14ac:dyDescent="0.25">
      <c r="G618" s="16"/>
      <c r="H618" s="16"/>
      <c r="I618" s="16"/>
      <c r="J618" s="16"/>
      <c r="K618" s="16"/>
    </row>
    <row r="619" spans="7:11" x14ac:dyDescent="0.25">
      <c r="G619" s="16"/>
      <c r="H619" s="16"/>
      <c r="I619" s="16"/>
      <c r="J619" s="16"/>
      <c r="K619" s="16"/>
    </row>
    <row r="620" spans="7:11" x14ac:dyDescent="0.25">
      <c r="G620" s="16"/>
      <c r="H620" s="16"/>
      <c r="I620" s="16"/>
      <c r="J620" s="16"/>
      <c r="K620" s="16"/>
    </row>
    <row r="621" spans="7:11" x14ac:dyDescent="0.25">
      <c r="G621" s="16"/>
      <c r="H621" s="16"/>
      <c r="I621" s="16"/>
      <c r="J621" s="16"/>
      <c r="K621" s="16"/>
    </row>
    <row r="622" spans="7:11" x14ac:dyDescent="0.25">
      <c r="G622" s="16"/>
      <c r="H622" s="16"/>
      <c r="I622" s="16"/>
      <c r="J622" s="16"/>
      <c r="K622" s="16"/>
    </row>
    <row r="623" spans="7:11" x14ac:dyDescent="0.25">
      <c r="G623" s="16"/>
      <c r="H623" s="16"/>
      <c r="I623" s="16"/>
      <c r="J623" s="16"/>
      <c r="K623" s="16"/>
    </row>
    <row r="624" spans="7:11" x14ac:dyDescent="0.25">
      <c r="G624" s="16"/>
      <c r="H624" s="16"/>
      <c r="I624" s="16"/>
      <c r="J624" s="16"/>
      <c r="K624" s="16"/>
    </row>
    <row r="625" spans="7:11" x14ac:dyDescent="0.25">
      <c r="G625" s="16"/>
      <c r="H625" s="16"/>
      <c r="I625" s="16"/>
      <c r="J625" s="16"/>
      <c r="K625" s="16"/>
    </row>
    <row r="626" spans="7:11" x14ac:dyDescent="0.25">
      <c r="G626" s="16"/>
      <c r="H626" s="16"/>
      <c r="I626" s="16"/>
      <c r="J626" s="16"/>
      <c r="K626" s="16"/>
    </row>
    <row r="627" spans="7:11" x14ac:dyDescent="0.25">
      <c r="G627" s="16"/>
      <c r="H627" s="16"/>
      <c r="I627" s="16"/>
      <c r="J627" s="16"/>
      <c r="K627" s="16"/>
    </row>
    <row r="628" spans="7:11" x14ac:dyDescent="0.25">
      <c r="G628" s="16"/>
      <c r="H628" s="16"/>
      <c r="I628" s="16"/>
      <c r="J628" s="16"/>
      <c r="K628" s="16"/>
    </row>
    <row r="629" spans="7:11" x14ac:dyDescent="0.25">
      <c r="G629" s="16"/>
      <c r="H629" s="16"/>
      <c r="I629" s="16"/>
      <c r="J629" s="16"/>
      <c r="K629" s="16"/>
    </row>
    <row r="630" spans="7:11" x14ac:dyDescent="0.25">
      <c r="G630" s="16"/>
      <c r="H630" s="16"/>
      <c r="I630" s="16"/>
      <c r="J630" s="16"/>
      <c r="K630" s="16"/>
    </row>
    <row r="631" spans="7:11" x14ac:dyDescent="0.25">
      <c r="G631" s="16"/>
      <c r="H631" s="16"/>
      <c r="I631" s="16"/>
      <c r="J631" s="16"/>
      <c r="K631" s="16"/>
    </row>
    <row r="632" spans="7:11" x14ac:dyDescent="0.25">
      <c r="G632" s="16"/>
      <c r="H632" s="16"/>
      <c r="I632" s="16"/>
      <c r="J632" s="16"/>
      <c r="K632" s="16"/>
    </row>
    <row r="633" spans="7:11" x14ac:dyDescent="0.25">
      <c r="G633" s="16"/>
      <c r="H633" s="16"/>
      <c r="I633" s="16"/>
      <c r="J633" s="16"/>
      <c r="K633" s="16"/>
    </row>
    <row r="634" spans="7:11" x14ac:dyDescent="0.25">
      <c r="G634" s="16"/>
      <c r="H634" s="16"/>
      <c r="I634" s="16"/>
      <c r="J634" s="16"/>
      <c r="K634" s="16"/>
    </row>
    <row r="635" spans="7:11" x14ac:dyDescent="0.25">
      <c r="G635" s="16"/>
      <c r="H635" s="16"/>
      <c r="I635" s="16"/>
      <c r="J635" s="16"/>
      <c r="K635" s="16"/>
    </row>
    <row r="636" spans="7:11" x14ac:dyDescent="0.25">
      <c r="G636" s="16"/>
      <c r="H636" s="16"/>
      <c r="I636" s="16"/>
      <c r="J636" s="16"/>
      <c r="K636" s="16"/>
    </row>
    <row r="637" spans="7:11" x14ac:dyDescent="0.25">
      <c r="G637" s="16"/>
      <c r="H637" s="16"/>
      <c r="I637" s="16"/>
      <c r="J637" s="16"/>
      <c r="K637" s="16"/>
    </row>
    <row r="638" spans="7:11" x14ac:dyDescent="0.25">
      <c r="G638" s="16"/>
      <c r="H638" s="16"/>
      <c r="I638" s="16"/>
      <c r="J638" s="16"/>
      <c r="K638" s="16"/>
    </row>
    <row r="639" spans="7:11" x14ac:dyDescent="0.25">
      <c r="G639" s="16"/>
      <c r="H639" s="16"/>
      <c r="I639" s="16"/>
      <c r="J639" s="16"/>
      <c r="K639" s="16"/>
    </row>
    <row r="640" spans="7:11" x14ac:dyDescent="0.25">
      <c r="G640" s="16"/>
      <c r="H640" s="16"/>
      <c r="I640" s="16"/>
      <c r="J640" s="16"/>
      <c r="K640" s="16"/>
    </row>
    <row r="641" spans="7:11" x14ac:dyDescent="0.25">
      <c r="G641" s="16"/>
      <c r="H641" s="16"/>
      <c r="I641" s="16"/>
      <c r="J641" s="16"/>
      <c r="K641" s="16"/>
    </row>
    <row r="642" spans="7:11" x14ac:dyDescent="0.25">
      <c r="G642" s="16"/>
      <c r="H642" s="16"/>
      <c r="I642" s="16"/>
      <c r="J642" s="16"/>
      <c r="K642" s="16"/>
    </row>
    <row r="643" spans="7:11" x14ac:dyDescent="0.25">
      <c r="G643" s="16"/>
      <c r="H643" s="16"/>
      <c r="I643" s="16"/>
      <c r="J643" s="16"/>
      <c r="K643" s="16"/>
    </row>
    <row r="644" spans="7:11" x14ac:dyDescent="0.25">
      <c r="G644" s="16"/>
      <c r="H644" s="16"/>
      <c r="I644" s="16"/>
      <c r="J644" s="16"/>
      <c r="K644" s="16"/>
    </row>
    <row r="645" spans="7:11" x14ac:dyDescent="0.25">
      <c r="G645" s="16"/>
      <c r="H645" s="16"/>
      <c r="I645" s="16"/>
      <c r="J645" s="16"/>
      <c r="K645" s="16"/>
    </row>
    <row r="646" spans="7:11" x14ac:dyDescent="0.25">
      <c r="G646" s="16"/>
      <c r="H646" s="16"/>
      <c r="I646" s="16"/>
      <c r="J646" s="16"/>
      <c r="K646" s="16"/>
    </row>
    <row r="647" spans="7:11" x14ac:dyDescent="0.25">
      <c r="G647" s="16"/>
      <c r="H647" s="16"/>
      <c r="I647" s="16"/>
      <c r="J647" s="16"/>
      <c r="K647" s="16"/>
    </row>
    <row r="648" spans="7:11" x14ac:dyDescent="0.25">
      <c r="G648" s="16"/>
      <c r="H648" s="16"/>
      <c r="I648" s="16"/>
      <c r="J648" s="16"/>
      <c r="K648" s="16"/>
    </row>
    <row r="649" spans="7:11" x14ac:dyDescent="0.25">
      <c r="G649" s="16"/>
      <c r="H649" s="16"/>
      <c r="I649" s="16"/>
      <c r="J649" s="16"/>
      <c r="K649" s="16"/>
    </row>
    <row r="650" spans="7:11" x14ac:dyDescent="0.25">
      <c r="G650" s="16"/>
      <c r="H650" s="16"/>
      <c r="I650" s="16"/>
      <c r="J650" s="16"/>
      <c r="K650" s="16"/>
    </row>
    <row r="651" spans="7:11" x14ac:dyDescent="0.25">
      <c r="G651" s="16"/>
      <c r="H651" s="16"/>
      <c r="I651" s="16"/>
      <c r="J651" s="16"/>
      <c r="K651" s="16"/>
    </row>
    <row r="652" spans="7:11" x14ac:dyDescent="0.25">
      <c r="G652" s="16"/>
      <c r="H652" s="16"/>
      <c r="I652" s="16"/>
      <c r="J652" s="16"/>
      <c r="K652" s="16"/>
    </row>
    <row r="653" spans="7:11" x14ac:dyDescent="0.25">
      <c r="G653" s="16"/>
      <c r="H653" s="16"/>
      <c r="I653" s="16"/>
      <c r="J653" s="16"/>
      <c r="K653" s="16"/>
    </row>
    <row r="654" spans="7:11" x14ac:dyDescent="0.25">
      <c r="G654" s="16"/>
      <c r="H654" s="16"/>
      <c r="I654" s="16"/>
      <c r="J654" s="16"/>
      <c r="K654" s="16"/>
    </row>
    <row r="655" spans="7:11" x14ac:dyDescent="0.25">
      <c r="G655" s="16"/>
      <c r="H655" s="16"/>
      <c r="I655" s="16"/>
      <c r="J655" s="16"/>
      <c r="K655" s="16"/>
    </row>
    <row r="656" spans="7:11" x14ac:dyDescent="0.25">
      <c r="G656" s="16"/>
      <c r="H656" s="16"/>
      <c r="I656" s="16"/>
      <c r="J656" s="16"/>
      <c r="K656" s="16"/>
    </row>
    <row r="657" spans="7:11" x14ac:dyDescent="0.25">
      <c r="G657" s="16"/>
      <c r="H657" s="16"/>
      <c r="I657" s="16"/>
      <c r="J657" s="16"/>
      <c r="K657" s="16"/>
    </row>
    <row r="658" spans="7:11" x14ac:dyDescent="0.25">
      <c r="G658" s="16"/>
      <c r="H658" s="16"/>
      <c r="I658" s="16"/>
      <c r="J658" s="16"/>
      <c r="K658" s="16"/>
    </row>
    <row r="659" spans="7:11" x14ac:dyDescent="0.25">
      <c r="G659" s="16"/>
      <c r="H659" s="16"/>
      <c r="I659" s="16"/>
      <c r="J659" s="16"/>
      <c r="K659" s="16"/>
    </row>
    <row r="660" spans="7:11" x14ac:dyDescent="0.25">
      <c r="G660" s="16"/>
      <c r="H660" s="16"/>
      <c r="I660" s="16"/>
      <c r="J660" s="16"/>
      <c r="K660" s="16"/>
    </row>
    <row r="661" spans="7:11" x14ac:dyDescent="0.25">
      <c r="G661" s="16"/>
      <c r="H661" s="16"/>
      <c r="I661" s="16"/>
      <c r="J661" s="16"/>
      <c r="K661" s="16"/>
    </row>
    <row r="662" spans="7:11" x14ac:dyDescent="0.25">
      <c r="G662" s="16"/>
      <c r="H662" s="16"/>
      <c r="I662" s="16"/>
      <c r="J662" s="16"/>
      <c r="K662" s="16"/>
    </row>
    <row r="663" spans="7:11" x14ac:dyDescent="0.25">
      <c r="G663" s="16"/>
      <c r="H663" s="16"/>
      <c r="I663" s="16"/>
      <c r="J663" s="16"/>
      <c r="K663" s="16"/>
    </row>
    <row r="664" spans="7:11" x14ac:dyDescent="0.25">
      <c r="G664" s="16"/>
      <c r="H664" s="16"/>
      <c r="I664" s="16"/>
      <c r="J664" s="16"/>
      <c r="K664" s="16"/>
    </row>
    <row r="665" spans="7:11" x14ac:dyDescent="0.25">
      <c r="G665" s="16"/>
      <c r="H665" s="16"/>
      <c r="I665" s="16"/>
      <c r="J665" s="16"/>
      <c r="K665" s="16"/>
    </row>
    <row r="666" spans="7:11" x14ac:dyDescent="0.25">
      <c r="G666" s="16"/>
      <c r="H666" s="16"/>
      <c r="I666" s="16"/>
      <c r="J666" s="16"/>
      <c r="K666" s="16"/>
    </row>
    <row r="667" spans="7:11" x14ac:dyDescent="0.25">
      <c r="G667" s="16"/>
      <c r="H667" s="16"/>
      <c r="I667" s="16"/>
      <c r="J667" s="16"/>
      <c r="K667" s="16"/>
    </row>
    <row r="668" spans="7:11" x14ac:dyDescent="0.25">
      <c r="G668" s="16"/>
      <c r="H668" s="16"/>
      <c r="I668" s="16"/>
      <c r="J668" s="16"/>
      <c r="K668" s="16"/>
    </row>
    <row r="669" spans="7:11" x14ac:dyDescent="0.25">
      <c r="G669" s="16"/>
      <c r="H669" s="16"/>
      <c r="I669" s="16"/>
      <c r="J669" s="16"/>
      <c r="K669" s="16"/>
    </row>
    <row r="670" spans="7:11" x14ac:dyDescent="0.25">
      <c r="G670" s="16"/>
      <c r="H670" s="16"/>
      <c r="I670" s="16"/>
      <c r="J670" s="16"/>
      <c r="K670" s="16"/>
    </row>
    <row r="671" spans="7:11" x14ac:dyDescent="0.25">
      <c r="G671" s="16"/>
      <c r="H671" s="16"/>
      <c r="I671" s="16"/>
      <c r="J671" s="16"/>
      <c r="K671" s="16"/>
    </row>
    <row r="672" spans="7:11" x14ac:dyDescent="0.25">
      <c r="G672" s="16"/>
      <c r="H672" s="16"/>
      <c r="I672" s="16"/>
      <c r="J672" s="16"/>
      <c r="K672" s="16"/>
    </row>
    <row r="673" spans="7:11" x14ac:dyDescent="0.25">
      <c r="G673" s="16"/>
      <c r="H673" s="16"/>
      <c r="I673" s="16"/>
      <c r="J673" s="16"/>
      <c r="K673" s="16"/>
    </row>
    <row r="674" spans="7:11" x14ac:dyDescent="0.25">
      <c r="G674" s="16"/>
      <c r="H674" s="16"/>
      <c r="I674" s="16"/>
      <c r="J674" s="16"/>
      <c r="K674" s="16"/>
    </row>
    <row r="675" spans="7:11" x14ac:dyDescent="0.25">
      <c r="G675" s="16"/>
      <c r="H675" s="16"/>
      <c r="I675" s="16"/>
      <c r="J675" s="16"/>
      <c r="K675" s="16"/>
    </row>
    <row r="676" spans="7:11" x14ac:dyDescent="0.25">
      <c r="G676" s="16"/>
      <c r="H676" s="16"/>
      <c r="I676" s="16"/>
      <c r="J676" s="16"/>
      <c r="K676" s="16"/>
    </row>
    <row r="677" spans="7:11" x14ac:dyDescent="0.25">
      <c r="G677" s="16"/>
      <c r="H677" s="16"/>
      <c r="I677" s="16"/>
      <c r="J677" s="16"/>
      <c r="K677" s="16"/>
    </row>
    <row r="678" spans="7:11" x14ac:dyDescent="0.25">
      <c r="G678" s="16"/>
      <c r="H678" s="16"/>
      <c r="I678" s="16"/>
      <c r="J678" s="16"/>
      <c r="K678" s="16"/>
    </row>
    <row r="679" spans="7:11" x14ac:dyDescent="0.25">
      <c r="G679" s="16"/>
      <c r="H679" s="16"/>
      <c r="I679" s="16"/>
      <c r="J679" s="16"/>
      <c r="K679" s="16"/>
    </row>
    <row r="680" spans="7:11" x14ac:dyDescent="0.25">
      <c r="G680" s="16"/>
      <c r="H680" s="16"/>
      <c r="I680" s="16"/>
      <c r="J680" s="16"/>
      <c r="K680" s="16"/>
    </row>
    <row r="681" spans="7:11" x14ac:dyDescent="0.25">
      <c r="G681" s="16"/>
      <c r="H681" s="16"/>
      <c r="I681" s="16"/>
      <c r="J681" s="16"/>
      <c r="K681" s="16"/>
    </row>
    <row r="682" spans="7:11" x14ac:dyDescent="0.25">
      <c r="G682" s="16"/>
      <c r="H682" s="16"/>
      <c r="I682" s="16"/>
      <c r="J682" s="16"/>
      <c r="K682" s="16"/>
    </row>
    <row r="683" spans="7:11" x14ac:dyDescent="0.25">
      <c r="G683" s="16"/>
      <c r="H683" s="16"/>
      <c r="I683" s="16"/>
      <c r="J683" s="16"/>
      <c r="K683" s="16"/>
    </row>
    <row r="684" spans="7:11" x14ac:dyDescent="0.25">
      <c r="G684" s="16"/>
      <c r="H684" s="16"/>
      <c r="I684" s="16"/>
      <c r="J684" s="16"/>
      <c r="K684" s="16"/>
    </row>
    <row r="685" spans="7:11" x14ac:dyDescent="0.25">
      <c r="G685" s="16"/>
      <c r="H685" s="16"/>
      <c r="I685" s="16"/>
      <c r="J685" s="16"/>
      <c r="K685" s="16"/>
    </row>
    <row r="686" spans="7:11" x14ac:dyDescent="0.25">
      <c r="G686" s="16"/>
      <c r="H686" s="16"/>
      <c r="I686" s="16"/>
      <c r="J686" s="16"/>
      <c r="K686" s="16"/>
    </row>
    <row r="687" spans="7:11" x14ac:dyDescent="0.25">
      <c r="G687" s="16"/>
      <c r="H687" s="16"/>
      <c r="I687" s="16"/>
      <c r="J687" s="16"/>
      <c r="K687" s="16"/>
    </row>
    <row r="688" spans="7:11" x14ac:dyDescent="0.25">
      <c r="G688" s="16"/>
      <c r="H688" s="16"/>
      <c r="I688" s="16"/>
      <c r="J688" s="16"/>
      <c r="K688" s="16"/>
    </row>
    <row r="689" spans="7:11" x14ac:dyDescent="0.25">
      <c r="G689" s="16"/>
      <c r="H689" s="16"/>
      <c r="I689" s="16"/>
      <c r="J689" s="16"/>
      <c r="K689" s="16"/>
    </row>
    <row r="690" spans="7:11" x14ac:dyDescent="0.25">
      <c r="G690" s="16"/>
      <c r="H690" s="16"/>
      <c r="I690" s="16"/>
      <c r="J690" s="16"/>
      <c r="K690" s="16"/>
    </row>
    <row r="691" spans="7:11" x14ac:dyDescent="0.25">
      <c r="G691" s="16"/>
      <c r="H691" s="16"/>
      <c r="I691" s="16"/>
      <c r="J691" s="16"/>
      <c r="K691" s="16"/>
    </row>
    <row r="692" spans="7:11" x14ac:dyDescent="0.25">
      <c r="G692" s="16"/>
      <c r="H692" s="16"/>
      <c r="I692" s="16"/>
      <c r="J692" s="16"/>
      <c r="K692" s="16"/>
    </row>
    <row r="693" spans="7:11" x14ac:dyDescent="0.25">
      <c r="G693" s="16"/>
      <c r="H693" s="16"/>
      <c r="I693" s="16"/>
      <c r="J693" s="16"/>
      <c r="K693" s="16"/>
    </row>
    <row r="694" spans="7:11" x14ac:dyDescent="0.25">
      <c r="G694" s="16"/>
      <c r="H694" s="16"/>
      <c r="I694" s="16"/>
      <c r="J694" s="16"/>
      <c r="K694" s="16"/>
    </row>
    <row r="695" spans="7:11" x14ac:dyDescent="0.25">
      <c r="G695" s="16"/>
      <c r="H695" s="16"/>
      <c r="I695" s="16"/>
      <c r="J695" s="16"/>
      <c r="K695" s="16"/>
    </row>
    <row r="696" spans="7:11" x14ac:dyDescent="0.25">
      <c r="G696" s="16"/>
      <c r="H696" s="16"/>
      <c r="I696" s="16"/>
      <c r="J696" s="16"/>
      <c r="K696" s="16"/>
    </row>
    <row r="697" spans="7:11" x14ac:dyDescent="0.25">
      <c r="G697" s="16"/>
      <c r="H697" s="16"/>
      <c r="I697" s="16"/>
      <c r="J697" s="16"/>
      <c r="K697" s="16"/>
    </row>
    <row r="698" spans="7:11" x14ac:dyDescent="0.25">
      <c r="G698" s="16"/>
      <c r="H698" s="16"/>
      <c r="I698" s="16"/>
      <c r="J698" s="16"/>
      <c r="K698" s="16"/>
    </row>
    <row r="699" spans="7:11" x14ac:dyDescent="0.25">
      <c r="G699" s="16"/>
      <c r="H699" s="16"/>
      <c r="I699" s="16"/>
      <c r="J699" s="16"/>
      <c r="K699" s="16"/>
    </row>
    <row r="700" spans="7:11" x14ac:dyDescent="0.25">
      <c r="G700" s="16"/>
      <c r="H700" s="16"/>
      <c r="I700" s="16"/>
      <c r="J700" s="16"/>
      <c r="K700" s="16"/>
    </row>
    <row r="701" spans="7:11" x14ac:dyDescent="0.25">
      <c r="G701" s="16"/>
      <c r="H701" s="16"/>
      <c r="I701" s="16"/>
      <c r="J701" s="16"/>
      <c r="K701" s="16"/>
    </row>
    <row r="702" spans="7:11" x14ac:dyDescent="0.25">
      <c r="G702" s="16"/>
      <c r="H702" s="16"/>
      <c r="I702" s="16"/>
      <c r="J702" s="16"/>
      <c r="K702" s="16"/>
    </row>
    <row r="703" spans="7:11" x14ac:dyDescent="0.25">
      <c r="G703" s="16"/>
      <c r="H703" s="16"/>
      <c r="I703" s="16"/>
      <c r="J703" s="16"/>
      <c r="K703" s="16"/>
    </row>
    <row r="704" spans="7:11" x14ac:dyDescent="0.25">
      <c r="G704" s="16"/>
      <c r="H704" s="16"/>
      <c r="I704" s="16"/>
      <c r="J704" s="16"/>
      <c r="K704" s="16"/>
    </row>
    <row r="705" spans="7:11" x14ac:dyDescent="0.25">
      <c r="G705" s="16"/>
      <c r="H705" s="16"/>
      <c r="I705" s="16"/>
      <c r="J705" s="16"/>
      <c r="K705" s="16"/>
    </row>
    <row r="706" spans="7:11" x14ac:dyDescent="0.25">
      <c r="G706" s="16"/>
      <c r="H706" s="16"/>
      <c r="I706" s="16"/>
      <c r="J706" s="16"/>
      <c r="K706" s="16"/>
    </row>
    <row r="707" spans="7:11" x14ac:dyDescent="0.25">
      <c r="G707" s="16"/>
      <c r="H707" s="16"/>
      <c r="I707" s="16"/>
      <c r="J707" s="16"/>
      <c r="K707" s="16"/>
    </row>
    <row r="708" spans="7:11" x14ac:dyDescent="0.25">
      <c r="G708" s="16"/>
      <c r="H708" s="16"/>
      <c r="I708" s="16"/>
      <c r="J708" s="16"/>
      <c r="K708" s="16"/>
    </row>
    <row r="709" spans="7:11" x14ac:dyDescent="0.25">
      <c r="G709" s="16"/>
      <c r="H709" s="16"/>
      <c r="I709" s="16"/>
      <c r="J709" s="16"/>
      <c r="K709" s="16"/>
    </row>
    <row r="710" spans="7:11" x14ac:dyDescent="0.25">
      <c r="G710" s="16"/>
      <c r="H710" s="16"/>
      <c r="I710" s="16"/>
      <c r="J710" s="16"/>
      <c r="K710" s="16"/>
    </row>
    <row r="711" spans="7:11" x14ac:dyDescent="0.25">
      <c r="G711" s="16"/>
      <c r="H711" s="16"/>
      <c r="I711" s="16"/>
      <c r="J711" s="16"/>
      <c r="K711" s="16"/>
    </row>
    <row r="712" spans="7:11" x14ac:dyDescent="0.25">
      <c r="G712" s="16"/>
      <c r="H712" s="16"/>
      <c r="I712" s="16"/>
      <c r="J712" s="16"/>
      <c r="K712" s="16"/>
    </row>
    <row r="713" spans="7:11" x14ac:dyDescent="0.25">
      <c r="G713" s="16"/>
      <c r="H713" s="16"/>
      <c r="I713" s="16"/>
      <c r="J713" s="16"/>
      <c r="K713" s="16"/>
    </row>
    <row r="714" spans="7:11" x14ac:dyDescent="0.25">
      <c r="G714" s="16"/>
      <c r="H714" s="16"/>
      <c r="I714" s="16"/>
      <c r="J714" s="16"/>
      <c r="K714" s="16"/>
    </row>
    <row r="715" spans="7:11" x14ac:dyDescent="0.25">
      <c r="G715" s="16"/>
      <c r="H715" s="16"/>
      <c r="I715" s="16"/>
      <c r="J715" s="16"/>
      <c r="K715" s="16"/>
    </row>
    <row r="716" spans="7:11" x14ac:dyDescent="0.25">
      <c r="G716" s="16"/>
      <c r="H716" s="16"/>
      <c r="I716" s="16"/>
      <c r="J716" s="16"/>
      <c r="K716" s="16"/>
    </row>
    <row r="717" spans="7:11" x14ac:dyDescent="0.25">
      <c r="G717" s="16"/>
      <c r="H717" s="16"/>
      <c r="I717" s="16"/>
      <c r="J717" s="16"/>
      <c r="K717" s="16"/>
    </row>
    <row r="718" spans="7:11" x14ac:dyDescent="0.25">
      <c r="G718" s="16"/>
      <c r="H718" s="16"/>
      <c r="I718" s="16"/>
      <c r="J718" s="16"/>
      <c r="K718" s="16"/>
    </row>
    <row r="719" spans="7:11" x14ac:dyDescent="0.25">
      <c r="G719" s="16"/>
      <c r="H719" s="16"/>
      <c r="I719" s="16"/>
      <c r="J719" s="16"/>
      <c r="K719" s="16"/>
    </row>
    <row r="720" spans="7:11" x14ac:dyDescent="0.25">
      <c r="G720" s="16"/>
      <c r="H720" s="16"/>
      <c r="I720" s="16"/>
      <c r="J720" s="16"/>
      <c r="K720" s="16"/>
    </row>
    <row r="721" spans="7:11" x14ac:dyDescent="0.25">
      <c r="G721" s="16"/>
      <c r="H721" s="16"/>
      <c r="I721" s="16"/>
      <c r="J721" s="16"/>
      <c r="K721" s="16"/>
    </row>
    <row r="722" spans="7:11" x14ac:dyDescent="0.25">
      <c r="G722" s="16"/>
      <c r="H722" s="16"/>
      <c r="I722" s="16"/>
      <c r="J722" s="16"/>
      <c r="K722" s="16"/>
    </row>
    <row r="723" spans="7:11" x14ac:dyDescent="0.25">
      <c r="G723" s="16"/>
      <c r="H723" s="16"/>
      <c r="I723" s="16"/>
      <c r="J723" s="16"/>
      <c r="K723" s="16"/>
    </row>
    <row r="724" spans="7:11" x14ac:dyDescent="0.25">
      <c r="G724" s="16"/>
      <c r="H724" s="16"/>
      <c r="I724" s="16"/>
      <c r="J724" s="16"/>
      <c r="K724" s="16"/>
    </row>
    <row r="725" spans="7:11" x14ac:dyDescent="0.25">
      <c r="G725" s="16"/>
      <c r="H725" s="16"/>
      <c r="I725" s="16"/>
      <c r="J725" s="16"/>
      <c r="K725" s="16"/>
    </row>
    <row r="726" spans="7:11" x14ac:dyDescent="0.25">
      <c r="G726" s="16"/>
      <c r="H726" s="16"/>
      <c r="I726" s="16"/>
      <c r="J726" s="16"/>
      <c r="K726" s="16"/>
    </row>
    <row r="727" spans="7:11" x14ac:dyDescent="0.25">
      <c r="G727" s="16"/>
      <c r="H727" s="16"/>
      <c r="I727" s="16"/>
      <c r="J727" s="16"/>
      <c r="K727" s="16"/>
    </row>
    <row r="728" spans="7:11" x14ac:dyDescent="0.25">
      <c r="G728" s="16"/>
      <c r="H728" s="16"/>
      <c r="I728" s="16"/>
      <c r="J728" s="16"/>
      <c r="K728" s="16"/>
    </row>
    <row r="729" spans="7:11" x14ac:dyDescent="0.25">
      <c r="G729" s="16"/>
      <c r="H729" s="16"/>
      <c r="I729" s="16"/>
      <c r="J729" s="16"/>
      <c r="K729" s="16"/>
    </row>
    <row r="730" spans="7:11" x14ac:dyDescent="0.25">
      <c r="G730" s="16"/>
      <c r="H730" s="16"/>
      <c r="I730" s="16"/>
      <c r="J730" s="16"/>
      <c r="K730" s="16"/>
    </row>
    <row r="731" spans="7:11" x14ac:dyDescent="0.25">
      <c r="G731" s="16"/>
      <c r="H731" s="16"/>
      <c r="I731" s="16"/>
      <c r="J731" s="16"/>
      <c r="K731" s="16"/>
    </row>
    <row r="732" spans="7:11" x14ac:dyDescent="0.25">
      <c r="G732" s="16"/>
      <c r="H732" s="16"/>
      <c r="I732" s="16"/>
      <c r="J732" s="16"/>
      <c r="K732" s="16"/>
    </row>
    <row r="733" spans="7:11" x14ac:dyDescent="0.25">
      <c r="G733" s="16"/>
      <c r="H733" s="16"/>
      <c r="I733" s="16"/>
      <c r="J733" s="16"/>
      <c r="K733" s="16"/>
    </row>
    <row r="734" spans="7:11" x14ac:dyDescent="0.25">
      <c r="G734" s="16"/>
      <c r="H734" s="16"/>
      <c r="I734" s="16"/>
      <c r="J734" s="16"/>
      <c r="K734" s="16"/>
    </row>
    <row r="735" spans="7:11" x14ac:dyDescent="0.25">
      <c r="G735" s="16"/>
      <c r="H735" s="16"/>
      <c r="I735" s="16"/>
      <c r="J735" s="16"/>
      <c r="K735" s="16"/>
    </row>
    <row r="736" spans="7:11" x14ac:dyDescent="0.25">
      <c r="G736" s="16"/>
      <c r="H736" s="16"/>
      <c r="I736" s="16"/>
      <c r="J736" s="16"/>
      <c r="K736" s="16"/>
    </row>
    <row r="737" spans="7:11" x14ac:dyDescent="0.25">
      <c r="G737" s="16"/>
      <c r="H737" s="16"/>
      <c r="I737" s="16"/>
      <c r="J737" s="16"/>
      <c r="K737" s="16"/>
    </row>
    <row r="738" spans="7:11" x14ac:dyDescent="0.25">
      <c r="G738" s="16"/>
      <c r="H738" s="16"/>
      <c r="I738" s="16"/>
      <c r="J738" s="16"/>
      <c r="K738" s="16"/>
    </row>
    <row r="739" spans="7:11" x14ac:dyDescent="0.25">
      <c r="G739" s="16"/>
      <c r="H739" s="16"/>
      <c r="I739" s="16"/>
      <c r="J739" s="16"/>
      <c r="K739" s="16"/>
    </row>
    <row r="740" spans="7:11" x14ac:dyDescent="0.25">
      <c r="G740" s="16"/>
      <c r="H740" s="16"/>
      <c r="I740" s="16"/>
      <c r="J740" s="16"/>
      <c r="K740" s="16"/>
    </row>
    <row r="741" spans="7:11" x14ac:dyDescent="0.25">
      <c r="G741" s="16"/>
      <c r="H741" s="16"/>
      <c r="I741" s="16"/>
      <c r="J741" s="16"/>
      <c r="K741" s="16"/>
    </row>
    <row r="742" spans="7:11" x14ac:dyDescent="0.25">
      <c r="G742" s="16"/>
      <c r="H742" s="16"/>
      <c r="I742" s="16"/>
      <c r="J742" s="16"/>
      <c r="K742" s="16"/>
    </row>
    <row r="743" spans="7:11" x14ac:dyDescent="0.25">
      <c r="G743" s="16"/>
      <c r="H743" s="16"/>
      <c r="I743" s="16"/>
      <c r="J743" s="16"/>
      <c r="K743" s="16"/>
    </row>
    <row r="744" spans="7:11" x14ac:dyDescent="0.25">
      <c r="G744" s="16"/>
      <c r="H744" s="16"/>
      <c r="I744" s="16"/>
      <c r="J744" s="16"/>
      <c r="K744" s="16"/>
    </row>
    <row r="745" spans="7:11" x14ac:dyDescent="0.25">
      <c r="G745" s="16"/>
      <c r="H745" s="16"/>
      <c r="I745" s="16"/>
      <c r="J745" s="16"/>
      <c r="K745" s="16"/>
    </row>
    <row r="746" spans="7:11" x14ac:dyDescent="0.25">
      <c r="G746" s="16"/>
      <c r="H746" s="16"/>
      <c r="I746" s="16"/>
      <c r="J746" s="16"/>
      <c r="K746" s="16"/>
    </row>
    <row r="747" spans="7:11" x14ac:dyDescent="0.25">
      <c r="G747" s="16"/>
      <c r="H747" s="16"/>
      <c r="I747" s="16"/>
      <c r="J747" s="16"/>
      <c r="K747" s="16"/>
    </row>
    <row r="748" spans="7:11" x14ac:dyDescent="0.25">
      <c r="G748" s="16"/>
      <c r="H748" s="16"/>
      <c r="I748" s="16"/>
      <c r="J748" s="16"/>
      <c r="K748" s="16"/>
    </row>
    <row r="749" spans="7:11" x14ac:dyDescent="0.25">
      <c r="G749" s="16"/>
      <c r="H749" s="16"/>
      <c r="I749" s="16"/>
      <c r="J749" s="16"/>
      <c r="K749" s="16"/>
    </row>
    <row r="750" spans="7:11" x14ac:dyDescent="0.25">
      <c r="G750" s="16"/>
      <c r="H750" s="16"/>
      <c r="I750" s="16"/>
      <c r="J750" s="16"/>
      <c r="K750" s="16"/>
    </row>
    <row r="751" spans="7:11" x14ac:dyDescent="0.25">
      <c r="G751" s="16"/>
      <c r="H751" s="16"/>
      <c r="I751" s="16"/>
      <c r="J751" s="16"/>
      <c r="K751" s="16"/>
    </row>
    <row r="752" spans="7:11" x14ac:dyDescent="0.25">
      <c r="G752" s="16"/>
      <c r="H752" s="16"/>
      <c r="I752" s="16"/>
      <c r="J752" s="16"/>
      <c r="K752" s="16"/>
    </row>
    <row r="753" spans="7:11" x14ac:dyDescent="0.25">
      <c r="G753" s="16"/>
      <c r="H753" s="16"/>
      <c r="I753" s="16"/>
      <c r="J753" s="16"/>
      <c r="K753" s="16"/>
    </row>
    <row r="754" spans="7:11" x14ac:dyDescent="0.25">
      <c r="G754" s="16"/>
      <c r="H754" s="16"/>
      <c r="I754" s="16"/>
      <c r="J754" s="16"/>
      <c r="K754" s="16"/>
    </row>
    <row r="755" spans="7:11" x14ac:dyDescent="0.25">
      <c r="G755" s="16"/>
      <c r="H755" s="16"/>
      <c r="I755" s="16"/>
      <c r="J755" s="16"/>
      <c r="K755" s="16"/>
    </row>
    <row r="756" spans="7:11" x14ac:dyDescent="0.25">
      <c r="G756" s="16"/>
      <c r="H756" s="16"/>
      <c r="I756" s="16"/>
      <c r="J756" s="16"/>
      <c r="K756" s="16"/>
    </row>
    <row r="757" spans="7:11" x14ac:dyDescent="0.25">
      <c r="G757" s="16"/>
      <c r="H757" s="16"/>
      <c r="I757" s="16"/>
      <c r="J757" s="16"/>
      <c r="K757" s="16"/>
    </row>
    <row r="758" spans="7:11" x14ac:dyDescent="0.25">
      <c r="G758" s="16"/>
      <c r="H758" s="16"/>
      <c r="I758" s="16"/>
      <c r="J758" s="16"/>
      <c r="K758" s="16"/>
    </row>
    <row r="759" spans="7:11" x14ac:dyDescent="0.25">
      <c r="G759" s="16"/>
      <c r="H759" s="16"/>
      <c r="I759" s="16"/>
      <c r="J759" s="16"/>
      <c r="K759" s="16"/>
    </row>
    <row r="760" spans="7:11" x14ac:dyDescent="0.25">
      <c r="G760" s="16"/>
      <c r="H760" s="16"/>
      <c r="I760" s="16"/>
      <c r="J760" s="16"/>
      <c r="K760" s="16"/>
    </row>
    <row r="761" spans="7:11" x14ac:dyDescent="0.25">
      <c r="G761" s="16"/>
      <c r="H761" s="16"/>
      <c r="I761" s="16"/>
      <c r="J761" s="16"/>
      <c r="K761" s="16"/>
    </row>
    <row r="762" spans="7:11" x14ac:dyDescent="0.25">
      <c r="G762" s="16"/>
      <c r="H762" s="16"/>
      <c r="I762" s="16"/>
      <c r="J762" s="16"/>
      <c r="K762" s="16"/>
    </row>
    <row r="763" spans="7:11" x14ac:dyDescent="0.25">
      <c r="G763" s="16"/>
      <c r="H763" s="16"/>
      <c r="I763" s="16"/>
      <c r="J763" s="16"/>
      <c r="K763" s="16"/>
    </row>
    <row r="764" spans="7:11" x14ac:dyDescent="0.25">
      <c r="G764" s="16"/>
      <c r="H764" s="16"/>
      <c r="I764" s="16"/>
      <c r="J764" s="16"/>
      <c r="K764" s="16"/>
    </row>
    <row r="765" spans="7:11" x14ac:dyDescent="0.25">
      <c r="G765" s="16"/>
      <c r="H765" s="16"/>
      <c r="I765" s="16"/>
      <c r="J765" s="16"/>
      <c r="K765" s="16"/>
    </row>
    <row r="766" spans="7:11" x14ac:dyDescent="0.25">
      <c r="G766" s="16"/>
      <c r="H766" s="16"/>
      <c r="I766" s="16"/>
      <c r="J766" s="16"/>
      <c r="K766" s="16"/>
    </row>
    <row r="767" spans="7:11" x14ac:dyDescent="0.25">
      <c r="G767" s="16"/>
      <c r="H767" s="16"/>
      <c r="I767" s="16"/>
      <c r="J767" s="16"/>
      <c r="K767" s="16"/>
    </row>
    <row r="768" spans="7:11" x14ac:dyDescent="0.25">
      <c r="G768" s="16"/>
      <c r="H768" s="16"/>
      <c r="I768" s="16"/>
      <c r="J768" s="16"/>
      <c r="K768" s="16"/>
    </row>
    <row r="769" spans="7:11" x14ac:dyDescent="0.25">
      <c r="G769" s="16"/>
      <c r="H769" s="16"/>
      <c r="I769" s="16"/>
      <c r="J769" s="16"/>
      <c r="K769" s="16"/>
    </row>
    <row r="770" spans="7:11" x14ac:dyDescent="0.25">
      <c r="G770" s="16"/>
      <c r="H770" s="16"/>
      <c r="I770" s="16"/>
      <c r="J770" s="16"/>
      <c r="K770" s="16"/>
    </row>
    <row r="771" spans="7:11" x14ac:dyDescent="0.25">
      <c r="G771" s="16"/>
      <c r="H771" s="16"/>
      <c r="I771" s="16"/>
      <c r="J771" s="16"/>
      <c r="K771" s="16"/>
    </row>
    <row r="772" spans="7:11" x14ac:dyDescent="0.25">
      <c r="G772" s="16"/>
      <c r="H772" s="16"/>
      <c r="I772" s="16"/>
      <c r="J772" s="16"/>
      <c r="K772" s="16"/>
    </row>
    <row r="773" spans="7:11" x14ac:dyDescent="0.25">
      <c r="G773" s="16"/>
      <c r="H773" s="16"/>
      <c r="I773" s="16"/>
      <c r="J773" s="16"/>
      <c r="K773" s="16"/>
    </row>
    <row r="774" spans="7:11" x14ac:dyDescent="0.25">
      <c r="G774" s="16"/>
      <c r="H774" s="16"/>
      <c r="I774" s="16"/>
      <c r="J774" s="16"/>
      <c r="K774" s="16"/>
    </row>
    <row r="775" spans="7:11" x14ac:dyDescent="0.25">
      <c r="G775" s="16"/>
      <c r="H775" s="16"/>
      <c r="I775" s="16"/>
      <c r="J775" s="16"/>
      <c r="K775" s="16"/>
    </row>
    <row r="776" spans="7:11" x14ac:dyDescent="0.25">
      <c r="G776" s="16"/>
      <c r="H776" s="16"/>
      <c r="I776" s="16"/>
      <c r="J776" s="16"/>
      <c r="K776" s="16"/>
    </row>
    <row r="777" spans="7:11" x14ac:dyDescent="0.25">
      <c r="G777" s="16"/>
      <c r="H777" s="16"/>
      <c r="I777" s="16"/>
      <c r="J777" s="16"/>
      <c r="K777" s="16"/>
    </row>
    <row r="778" spans="7:11" x14ac:dyDescent="0.25">
      <c r="G778" s="16"/>
      <c r="H778" s="16"/>
      <c r="I778" s="16"/>
      <c r="J778" s="16"/>
      <c r="K778" s="16"/>
    </row>
    <row r="779" spans="7:11" x14ac:dyDescent="0.25">
      <c r="G779" s="16"/>
      <c r="H779" s="16"/>
      <c r="I779" s="16"/>
      <c r="J779" s="16"/>
      <c r="K779" s="16"/>
    </row>
    <row r="780" spans="7:11" x14ac:dyDescent="0.25">
      <c r="G780" s="16"/>
      <c r="H780" s="16"/>
      <c r="I780" s="16"/>
      <c r="J780" s="16"/>
      <c r="K780" s="16"/>
    </row>
    <row r="781" spans="7:11" x14ac:dyDescent="0.25">
      <c r="G781" s="16"/>
      <c r="H781" s="16"/>
      <c r="I781" s="16"/>
      <c r="J781" s="16"/>
      <c r="K781" s="16"/>
    </row>
    <row r="782" spans="7:11" x14ac:dyDescent="0.25">
      <c r="G782" s="16"/>
      <c r="H782" s="16"/>
      <c r="I782" s="16"/>
      <c r="J782" s="16"/>
      <c r="K782" s="16"/>
    </row>
    <row r="783" spans="7:11" x14ac:dyDescent="0.25">
      <c r="G783" s="16"/>
      <c r="H783" s="16"/>
      <c r="I783" s="16"/>
      <c r="J783" s="16"/>
      <c r="K783" s="16"/>
    </row>
    <row r="784" spans="7:11" x14ac:dyDescent="0.25">
      <c r="G784" s="16"/>
      <c r="H784" s="16"/>
      <c r="I784" s="16"/>
      <c r="J784" s="16"/>
      <c r="K784" s="16"/>
    </row>
    <row r="785" spans="7:11" x14ac:dyDescent="0.25">
      <c r="G785" s="16"/>
      <c r="H785" s="16"/>
      <c r="I785" s="16"/>
      <c r="J785" s="16"/>
      <c r="K785" s="16"/>
    </row>
    <row r="786" spans="7:11" x14ac:dyDescent="0.25">
      <c r="G786" s="16"/>
      <c r="H786" s="16"/>
      <c r="I786" s="16"/>
      <c r="J786" s="16"/>
      <c r="K786" s="16"/>
    </row>
    <row r="787" spans="7:11" x14ac:dyDescent="0.25">
      <c r="G787" s="16"/>
      <c r="H787" s="16"/>
      <c r="I787" s="16"/>
      <c r="J787" s="16"/>
      <c r="K787" s="16"/>
    </row>
    <row r="788" spans="7:11" x14ac:dyDescent="0.25">
      <c r="G788" s="16"/>
      <c r="H788" s="16"/>
      <c r="I788" s="16"/>
      <c r="J788" s="16"/>
      <c r="K788" s="16"/>
    </row>
    <row r="789" spans="7:11" x14ac:dyDescent="0.25">
      <c r="G789" s="16"/>
      <c r="H789" s="16"/>
      <c r="I789" s="16"/>
      <c r="J789" s="16"/>
      <c r="K789" s="16"/>
    </row>
    <row r="790" spans="7:11" x14ac:dyDescent="0.25">
      <c r="G790" s="16"/>
      <c r="H790" s="16"/>
      <c r="I790" s="16"/>
      <c r="J790" s="16"/>
      <c r="K790" s="16"/>
    </row>
    <row r="791" spans="7:11" x14ac:dyDescent="0.25">
      <c r="G791" s="16"/>
      <c r="H791" s="16"/>
      <c r="I791" s="16"/>
      <c r="J791" s="16"/>
      <c r="K791" s="16"/>
    </row>
    <row r="792" spans="7:11" x14ac:dyDescent="0.25">
      <c r="G792" s="16"/>
      <c r="H792" s="16"/>
      <c r="I792" s="16"/>
      <c r="J792" s="16"/>
      <c r="K792" s="16"/>
    </row>
    <row r="793" spans="7:11" x14ac:dyDescent="0.25">
      <c r="G793" s="16"/>
      <c r="H793" s="16"/>
      <c r="I793" s="16"/>
      <c r="J793" s="16"/>
      <c r="K793" s="16"/>
    </row>
    <row r="794" spans="7:11" x14ac:dyDescent="0.25">
      <c r="G794" s="16"/>
      <c r="H794" s="16"/>
      <c r="I794" s="16"/>
      <c r="J794" s="16"/>
      <c r="K794" s="16"/>
    </row>
    <row r="795" spans="7:11" x14ac:dyDescent="0.25">
      <c r="G795" s="16"/>
      <c r="H795" s="16"/>
      <c r="I795" s="16"/>
      <c r="J795" s="16"/>
      <c r="K795" s="16"/>
    </row>
    <row r="796" spans="7:11" x14ac:dyDescent="0.25">
      <c r="G796" s="16"/>
      <c r="H796" s="16"/>
      <c r="I796" s="16"/>
      <c r="J796" s="16"/>
      <c r="K796" s="16"/>
    </row>
    <row r="797" spans="7:11" x14ac:dyDescent="0.25">
      <c r="G797" s="16"/>
      <c r="H797" s="16"/>
      <c r="I797" s="16"/>
      <c r="J797" s="16"/>
      <c r="K797" s="16"/>
    </row>
    <row r="798" spans="7:11" x14ac:dyDescent="0.25">
      <c r="G798" s="16"/>
      <c r="H798" s="16"/>
      <c r="I798" s="16"/>
      <c r="J798" s="16"/>
      <c r="K798" s="16"/>
    </row>
    <row r="799" spans="7:11" x14ac:dyDescent="0.25">
      <c r="G799" s="16"/>
      <c r="H799" s="16"/>
      <c r="I799" s="16"/>
      <c r="J799" s="16"/>
      <c r="K799" s="16"/>
    </row>
    <row r="800" spans="7:11" x14ac:dyDescent="0.25">
      <c r="G800" s="16"/>
      <c r="H800" s="16"/>
      <c r="I800" s="16"/>
      <c r="J800" s="16"/>
      <c r="K800" s="16"/>
    </row>
    <row r="801" spans="7:11" x14ac:dyDescent="0.25">
      <c r="G801" s="16"/>
      <c r="H801" s="16"/>
      <c r="I801" s="16"/>
      <c r="J801" s="16"/>
      <c r="K801" s="16"/>
    </row>
    <row r="802" spans="7:11" x14ac:dyDescent="0.25">
      <c r="G802" s="16"/>
      <c r="H802" s="16"/>
      <c r="I802" s="16"/>
      <c r="J802" s="16"/>
      <c r="K802" s="16"/>
    </row>
    <row r="803" spans="7:11" x14ac:dyDescent="0.25">
      <c r="G803" s="16"/>
      <c r="H803" s="16"/>
      <c r="I803" s="16"/>
      <c r="J803" s="16"/>
      <c r="K803" s="16"/>
    </row>
    <row r="804" spans="7:11" x14ac:dyDescent="0.25">
      <c r="G804" s="16"/>
      <c r="H804" s="16"/>
      <c r="I804" s="16"/>
      <c r="J804" s="16"/>
      <c r="K804" s="16"/>
    </row>
    <row r="805" spans="7:11" x14ac:dyDescent="0.25">
      <c r="G805" s="16"/>
      <c r="H805" s="16"/>
      <c r="I805" s="16"/>
      <c r="J805" s="16"/>
      <c r="K805" s="16"/>
    </row>
    <row r="806" spans="7:11" x14ac:dyDescent="0.25">
      <c r="G806" s="16"/>
      <c r="H806" s="16"/>
      <c r="I806" s="16"/>
      <c r="J806" s="16"/>
      <c r="K806" s="16"/>
    </row>
    <row r="807" spans="7:11" x14ac:dyDescent="0.25">
      <c r="G807" s="16"/>
      <c r="H807" s="16"/>
      <c r="I807" s="16"/>
      <c r="J807" s="16"/>
      <c r="K807" s="16"/>
    </row>
    <row r="808" spans="7:11" x14ac:dyDescent="0.25">
      <c r="G808" s="16"/>
      <c r="H808" s="16"/>
      <c r="I808" s="16"/>
      <c r="J808" s="16"/>
      <c r="K808" s="16"/>
    </row>
    <row r="809" spans="7:11" x14ac:dyDescent="0.25">
      <c r="G809" s="16"/>
      <c r="H809" s="16"/>
      <c r="I809" s="16"/>
      <c r="J809" s="16"/>
      <c r="K809" s="16"/>
    </row>
    <row r="810" spans="7:11" x14ac:dyDescent="0.25">
      <c r="G810" s="16"/>
      <c r="H810" s="16"/>
      <c r="I810" s="16"/>
      <c r="J810" s="16"/>
      <c r="K810" s="16"/>
    </row>
    <row r="811" spans="7:11" x14ac:dyDescent="0.25">
      <c r="G811" s="16"/>
      <c r="H811" s="16"/>
      <c r="I811" s="16"/>
      <c r="J811" s="16"/>
      <c r="K811" s="16"/>
    </row>
    <row r="812" spans="7:11" x14ac:dyDescent="0.25">
      <c r="G812" s="16"/>
      <c r="H812" s="16"/>
      <c r="I812" s="16"/>
      <c r="J812" s="16"/>
      <c r="K812" s="16"/>
    </row>
    <row r="813" spans="7:11" x14ac:dyDescent="0.25">
      <c r="G813" s="16"/>
      <c r="H813" s="16"/>
      <c r="I813" s="16"/>
      <c r="J813" s="16"/>
      <c r="K813" s="16"/>
    </row>
    <row r="814" spans="7:11" x14ac:dyDescent="0.25">
      <c r="G814" s="16"/>
      <c r="H814" s="16"/>
      <c r="I814" s="16"/>
      <c r="J814" s="16"/>
      <c r="K814" s="16"/>
    </row>
    <row r="815" spans="7:11" x14ac:dyDescent="0.25">
      <c r="G815" s="16"/>
      <c r="H815" s="16"/>
      <c r="I815" s="16"/>
      <c r="J815" s="16"/>
      <c r="K815" s="16"/>
    </row>
    <row r="816" spans="7:11" x14ac:dyDescent="0.25">
      <c r="G816" s="16"/>
      <c r="H816" s="16"/>
      <c r="I816" s="16"/>
      <c r="J816" s="16"/>
      <c r="K816" s="16"/>
    </row>
    <row r="817" spans="7:11" x14ac:dyDescent="0.25">
      <c r="G817" s="16"/>
      <c r="H817" s="16"/>
      <c r="I817" s="16"/>
      <c r="J817" s="16"/>
      <c r="K817" s="16"/>
    </row>
    <row r="818" spans="7:11" x14ac:dyDescent="0.25">
      <c r="G818" s="16"/>
      <c r="H818" s="16"/>
      <c r="I818" s="16"/>
      <c r="J818" s="16"/>
      <c r="K818" s="16"/>
    </row>
    <row r="819" spans="7:11" x14ac:dyDescent="0.25">
      <c r="G819" s="16"/>
      <c r="H819" s="16"/>
      <c r="I819" s="16"/>
      <c r="J819" s="16"/>
      <c r="K819" s="16"/>
    </row>
    <row r="820" spans="7:11" x14ac:dyDescent="0.25">
      <c r="G820" s="16"/>
      <c r="H820" s="16"/>
      <c r="I820" s="16"/>
      <c r="J820" s="16"/>
      <c r="K820" s="16"/>
    </row>
    <row r="821" spans="7:11" x14ac:dyDescent="0.25">
      <c r="G821" s="16"/>
      <c r="H821" s="16"/>
      <c r="I821" s="16"/>
      <c r="J821" s="16"/>
      <c r="K821" s="16"/>
    </row>
    <row r="822" spans="7:11" x14ac:dyDescent="0.25">
      <c r="G822" s="16"/>
      <c r="H822" s="16"/>
      <c r="I822" s="16"/>
      <c r="J822" s="16"/>
      <c r="K822" s="16"/>
    </row>
    <row r="823" spans="7:11" x14ac:dyDescent="0.25">
      <c r="G823" s="16"/>
      <c r="H823" s="16"/>
      <c r="I823" s="16"/>
      <c r="J823" s="16"/>
      <c r="K823" s="16"/>
    </row>
    <row r="824" spans="7:11" x14ac:dyDescent="0.25">
      <c r="G824" s="16"/>
      <c r="H824" s="16"/>
      <c r="I824" s="16"/>
      <c r="J824" s="16"/>
      <c r="K824" s="16"/>
    </row>
    <row r="825" spans="7:11" x14ac:dyDescent="0.25">
      <c r="G825" s="16"/>
      <c r="H825" s="16"/>
      <c r="I825" s="16"/>
      <c r="J825" s="16"/>
      <c r="K825" s="16"/>
    </row>
    <row r="826" spans="7:11" x14ac:dyDescent="0.25">
      <c r="G826" s="16"/>
      <c r="H826" s="16"/>
      <c r="I826" s="16"/>
      <c r="J826" s="16"/>
      <c r="K826" s="16"/>
    </row>
    <row r="827" spans="7:11" x14ac:dyDescent="0.25">
      <c r="G827" s="16"/>
      <c r="H827" s="16"/>
      <c r="I827" s="16"/>
      <c r="J827" s="16"/>
      <c r="K827" s="16"/>
    </row>
    <row r="828" spans="7:11" x14ac:dyDescent="0.25">
      <c r="G828" s="16"/>
      <c r="H828" s="16"/>
      <c r="I828" s="16"/>
      <c r="J828" s="16"/>
      <c r="K828" s="16"/>
    </row>
    <row r="829" spans="7:11" x14ac:dyDescent="0.25">
      <c r="G829" s="16"/>
      <c r="H829" s="16"/>
      <c r="I829" s="16"/>
      <c r="J829" s="16"/>
      <c r="K829" s="16"/>
    </row>
    <row r="830" spans="7:11" x14ac:dyDescent="0.25">
      <c r="G830" s="16"/>
      <c r="H830" s="16"/>
      <c r="I830" s="16"/>
      <c r="J830" s="16"/>
      <c r="K830" s="16"/>
    </row>
    <row r="831" spans="7:11" x14ac:dyDescent="0.25">
      <c r="G831" s="16"/>
      <c r="H831" s="16"/>
      <c r="I831" s="16"/>
      <c r="J831" s="16"/>
      <c r="K831" s="16"/>
    </row>
    <row r="832" spans="7:11" x14ac:dyDescent="0.25">
      <c r="G832" s="16"/>
      <c r="H832" s="16"/>
      <c r="I832" s="16"/>
      <c r="J832" s="16"/>
      <c r="K832" s="16"/>
    </row>
    <row r="833" spans="7:11" x14ac:dyDescent="0.25">
      <c r="G833" s="16"/>
      <c r="H833" s="16"/>
      <c r="I833" s="16"/>
      <c r="J833" s="16"/>
      <c r="K833" s="16"/>
    </row>
    <row r="834" spans="7:11" x14ac:dyDescent="0.25">
      <c r="G834" s="16"/>
      <c r="H834" s="16"/>
      <c r="I834" s="16"/>
      <c r="J834" s="16"/>
      <c r="K834" s="16"/>
    </row>
    <row r="835" spans="7:11" x14ac:dyDescent="0.25">
      <c r="G835" s="16"/>
      <c r="H835" s="16"/>
      <c r="I835" s="16"/>
      <c r="J835" s="16"/>
      <c r="K835" s="16"/>
    </row>
    <row r="836" spans="7:11" x14ac:dyDescent="0.25">
      <c r="G836" s="16"/>
      <c r="H836" s="16"/>
      <c r="I836" s="16"/>
      <c r="J836" s="16"/>
      <c r="K836" s="16"/>
    </row>
    <row r="837" spans="7:11" x14ac:dyDescent="0.25">
      <c r="G837" s="16"/>
      <c r="H837" s="16"/>
      <c r="I837" s="16"/>
      <c r="J837" s="16"/>
      <c r="K837" s="16"/>
    </row>
    <row r="838" spans="7:11" x14ac:dyDescent="0.25">
      <c r="G838" s="16"/>
      <c r="H838" s="16"/>
      <c r="I838" s="16"/>
      <c r="J838" s="16"/>
      <c r="K838" s="16"/>
    </row>
    <row r="839" spans="7:11" x14ac:dyDescent="0.25">
      <c r="G839" s="16"/>
      <c r="H839" s="16"/>
      <c r="I839" s="16"/>
      <c r="J839" s="16"/>
      <c r="K839" s="16"/>
    </row>
    <row r="840" spans="7:11" x14ac:dyDescent="0.25">
      <c r="G840" s="16"/>
      <c r="H840" s="16"/>
      <c r="I840" s="16"/>
      <c r="J840" s="16"/>
      <c r="K840" s="16"/>
    </row>
    <row r="841" spans="7:11" x14ac:dyDescent="0.25">
      <c r="G841" s="16"/>
      <c r="H841" s="16"/>
      <c r="I841" s="16"/>
      <c r="J841" s="16"/>
      <c r="K841" s="16"/>
    </row>
    <row r="842" spans="7:11" x14ac:dyDescent="0.25">
      <c r="G842" s="16"/>
      <c r="H842" s="16"/>
      <c r="I842" s="16"/>
      <c r="J842" s="16"/>
      <c r="K842" s="16"/>
    </row>
    <row r="843" spans="7:11" x14ac:dyDescent="0.25">
      <c r="G843" s="16"/>
      <c r="H843" s="16"/>
      <c r="I843" s="16"/>
      <c r="J843" s="16"/>
      <c r="K843" s="16"/>
    </row>
    <row r="844" spans="7:11" x14ac:dyDescent="0.25">
      <c r="G844" s="16"/>
      <c r="H844" s="16"/>
      <c r="I844" s="16"/>
      <c r="J844" s="16"/>
      <c r="K844" s="16"/>
    </row>
    <row r="845" spans="7:11" x14ac:dyDescent="0.25">
      <c r="G845" s="16"/>
      <c r="H845" s="16"/>
      <c r="I845" s="16"/>
      <c r="J845" s="16"/>
      <c r="K845" s="16"/>
    </row>
    <row r="846" spans="7:11" x14ac:dyDescent="0.25">
      <c r="G846" s="16"/>
      <c r="H846" s="16"/>
      <c r="I846" s="16"/>
      <c r="J846" s="16"/>
      <c r="K846" s="16"/>
    </row>
    <row r="847" spans="7:11" x14ac:dyDescent="0.25">
      <c r="G847" s="16"/>
      <c r="H847" s="16"/>
      <c r="I847" s="16"/>
      <c r="J847" s="16"/>
      <c r="K847" s="16"/>
    </row>
    <row r="848" spans="7:11" x14ac:dyDescent="0.25">
      <c r="G848" s="16"/>
      <c r="H848" s="16"/>
      <c r="I848" s="16"/>
      <c r="J848" s="16"/>
      <c r="K848" s="16"/>
    </row>
    <row r="849" spans="7:11" x14ac:dyDescent="0.25">
      <c r="G849" s="16"/>
      <c r="H849" s="16"/>
      <c r="I849" s="16"/>
      <c r="J849" s="16"/>
      <c r="K849" s="16"/>
    </row>
    <row r="850" spans="7:11" x14ac:dyDescent="0.25">
      <c r="G850" s="16"/>
      <c r="H850" s="16"/>
      <c r="I850" s="16"/>
      <c r="J850" s="16"/>
      <c r="K850" s="16"/>
    </row>
    <row r="851" spans="7:11" x14ac:dyDescent="0.25">
      <c r="G851" s="16"/>
      <c r="H851" s="16"/>
      <c r="I851" s="16"/>
      <c r="J851" s="16"/>
      <c r="K851" s="16"/>
    </row>
    <row r="852" spans="7:11" x14ac:dyDescent="0.25">
      <c r="G852" s="16"/>
      <c r="H852" s="16"/>
      <c r="I852" s="16"/>
      <c r="J852" s="16"/>
      <c r="K852" s="16"/>
    </row>
    <row r="853" spans="7:11" x14ac:dyDescent="0.25">
      <c r="G853" s="16"/>
      <c r="H853" s="16"/>
      <c r="I853" s="16"/>
      <c r="J853" s="16"/>
      <c r="K853" s="16"/>
    </row>
    <row r="854" spans="7:11" x14ac:dyDescent="0.25">
      <c r="G854" s="16"/>
      <c r="H854" s="16"/>
      <c r="I854" s="16"/>
      <c r="J854" s="16"/>
      <c r="K854" s="16"/>
    </row>
    <row r="855" spans="7:11" x14ac:dyDescent="0.25">
      <c r="G855" s="16"/>
      <c r="H855" s="16"/>
      <c r="I855" s="16"/>
      <c r="J855" s="16"/>
      <c r="K855" s="16"/>
    </row>
    <row r="856" spans="7:11" x14ac:dyDescent="0.25">
      <c r="G856" s="16"/>
      <c r="H856" s="16"/>
      <c r="I856" s="16"/>
      <c r="J856" s="16"/>
      <c r="K856" s="16"/>
    </row>
    <row r="857" spans="7:11" x14ac:dyDescent="0.25">
      <c r="G857" s="16"/>
      <c r="H857" s="16"/>
      <c r="I857" s="16"/>
      <c r="J857" s="16"/>
      <c r="K857" s="16"/>
    </row>
    <row r="858" spans="7:11" x14ac:dyDescent="0.25">
      <c r="G858" s="16"/>
      <c r="H858" s="16"/>
      <c r="I858" s="16"/>
      <c r="J858" s="16"/>
      <c r="K858" s="16"/>
    </row>
    <row r="859" spans="7:11" x14ac:dyDescent="0.25">
      <c r="G859" s="16"/>
      <c r="H859" s="16"/>
      <c r="I859" s="16"/>
      <c r="J859" s="16"/>
      <c r="K859" s="16"/>
    </row>
    <row r="860" spans="7:11" x14ac:dyDescent="0.25">
      <c r="G860" s="16"/>
      <c r="H860" s="16"/>
      <c r="I860" s="16"/>
      <c r="J860" s="16"/>
      <c r="K860" s="16"/>
    </row>
    <row r="861" spans="7:11" x14ac:dyDescent="0.25">
      <c r="G861" s="16"/>
      <c r="H861" s="16"/>
      <c r="I861" s="16"/>
      <c r="J861" s="16"/>
      <c r="K861" s="16"/>
    </row>
    <row r="862" spans="7:11" x14ac:dyDescent="0.25">
      <c r="G862" s="16"/>
      <c r="H862" s="16"/>
      <c r="I862" s="16"/>
      <c r="J862" s="16"/>
      <c r="K862" s="16"/>
    </row>
    <row r="863" spans="7:11" x14ac:dyDescent="0.25">
      <c r="G863" s="16"/>
      <c r="H863" s="16"/>
      <c r="I863" s="16"/>
      <c r="J863" s="16"/>
      <c r="K863" s="16"/>
    </row>
    <row r="864" spans="7:11" x14ac:dyDescent="0.25">
      <c r="G864" s="16"/>
      <c r="H864" s="16"/>
      <c r="I864" s="16"/>
      <c r="J864" s="16"/>
      <c r="K864" s="16"/>
    </row>
    <row r="865" spans="7:11" x14ac:dyDescent="0.25">
      <c r="G865" s="16"/>
      <c r="H865" s="16"/>
      <c r="I865" s="16"/>
      <c r="J865" s="16"/>
      <c r="K865" s="16"/>
    </row>
    <row r="866" spans="7:11" x14ac:dyDescent="0.25">
      <c r="G866" s="16"/>
      <c r="H866" s="16"/>
      <c r="I866" s="16"/>
      <c r="J866" s="16"/>
      <c r="K866" s="16"/>
    </row>
    <row r="867" spans="7:11" x14ac:dyDescent="0.25">
      <c r="G867" s="16"/>
      <c r="H867" s="16"/>
      <c r="I867" s="16"/>
      <c r="J867" s="16"/>
      <c r="K867" s="16"/>
    </row>
    <row r="868" spans="7:11" x14ac:dyDescent="0.25">
      <c r="G868" s="16"/>
      <c r="H868" s="16"/>
      <c r="I868" s="16"/>
      <c r="J868" s="16"/>
      <c r="K868" s="16"/>
    </row>
    <row r="869" spans="7:11" x14ac:dyDescent="0.25">
      <c r="G869" s="16"/>
      <c r="H869" s="16"/>
      <c r="I869" s="16"/>
      <c r="J869" s="16"/>
      <c r="K869" s="16"/>
    </row>
    <row r="870" spans="7:11" x14ac:dyDescent="0.25">
      <c r="G870" s="16"/>
      <c r="H870" s="16"/>
      <c r="I870" s="16"/>
      <c r="J870" s="16"/>
      <c r="K870" s="16"/>
    </row>
    <row r="871" spans="7:11" x14ac:dyDescent="0.25">
      <c r="G871" s="16"/>
      <c r="H871" s="16"/>
      <c r="I871" s="16"/>
      <c r="J871" s="16"/>
      <c r="K871" s="16"/>
    </row>
    <row r="872" spans="7:11" x14ac:dyDescent="0.25">
      <c r="G872" s="16"/>
      <c r="H872" s="16"/>
      <c r="I872" s="16"/>
      <c r="J872" s="16"/>
      <c r="K872" s="16"/>
    </row>
    <row r="873" spans="7:11" x14ac:dyDescent="0.25">
      <c r="G873" s="16"/>
      <c r="H873" s="16"/>
      <c r="I873" s="16"/>
      <c r="J873" s="16"/>
      <c r="K873" s="16"/>
    </row>
    <row r="874" spans="7:11" x14ac:dyDescent="0.25">
      <c r="G874" s="16"/>
      <c r="H874" s="16"/>
      <c r="I874" s="16"/>
      <c r="J874" s="16"/>
      <c r="K874" s="16"/>
    </row>
    <row r="875" spans="7:11" x14ac:dyDescent="0.25">
      <c r="G875" s="16"/>
      <c r="H875" s="16"/>
      <c r="I875" s="16"/>
      <c r="J875" s="16"/>
      <c r="K875" s="16"/>
    </row>
    <row r="876" spans="7:11" x14ac:dyDescent="0.25">
      <c r="G876" s="16"/>
      <c r="H876" s="16"/>
      <c r="I876" s="16"/>
      <c r="J876" s="16"/>
      <c r="K876" s="16"/>
    </row>
    <row r="877" spans="7:11" x14ac:dyDescent="0.25">
      <c r="G877" s="16"/>
      <c r="H877" s="16"/>
      <c r="I877" s="16"/>
      <c r="J877" s="16"/>
      <c r="K877" s="16"/>
    </row>
    <row r="878" spans="7:11" x14ac:dyDescent="0.25">
      <c r="G878" s="16"/>
      <c r="H878" s="16"/>
      <c r="I878" s="16"/>
      <c r="J878" s="16"/>
      <c r="K878" s="16"/>
    </row>
    <row r="879" spans="7:11" x14ac:dyDescent="0.25">
      <c r="G879" s="16"/>
      <c r="H879" s="16"/>
      <c r="I879" s="16"/>
      <c r="J879" s="16"/>
      <c r="K879" s="16"/>
    </row>
    <row r="880" spans="7:11" x14ac:dyDescent="0.25">
      <c r="G880" s="16"/>
      <c r="H880" s="16"/>
      <c r="I880" s="16"/>
      <c r="J880" s="16"/>
      <c r="K880" s="16"/>
    </row>
    <row r="881" spans="7:11" x14ac:dyDescent="0.25">
      <c r="G881" s="16"/>
      <c r="H881" s="16"/>
      <c r="I881" s="16"/>
      <c r="J881" s="16"/>
      <c r="K881" s="16"/>
    </row>
    <row r="882" spans="7:11" x14ac:dyDescent="0.25">
      <c r="G882" s="16"/>
      <c r="H882" s="16"/>
      <c r="I882" s="16"/>
      <c r="J882" s="16"/>
      <c r="K882" s="16"/>
    </row>
    <row r="883" spans="7:11" x14ac:dyDescent="0.25">
      <c r="G883" s="16"/>
      <c r="H883" s="16"/>
      <c r="I883" s="16"/>
      <c r="J883" s="16"/>
      <c r="K883" s="16"/>
    </row>
    <row r="884" spans="7:11" x14ac:dyDescent="0.25">
      <c r="G884" s="16"/>
      <c r="H884" s="16"/>
      <c r="I884" s="16"/>
      <c r="J884" s="16"/>
      <c r="K884" s="16"/>
    </row>
    <row r="885" spans="7:11" x14ac:dyDescent="0.25">
      <c r="G885" s="16"/>
      <c r="H885" s="16"/>
      <c r="I885" s="16"/>
      <c r="J885" s="16"/>
      <c r="K885" s="16"/>
    </row>
    <row r="886" spans="7:11" x14ac:dyDescent="0.25">
      <c r="G886" s="16"/>
      <c r="H886" s="16"/>
      <c r="I886" s="16"/>
      <c r="J886" s="16"/>
      <c r="K886" s="16"/>
    </row>
    <row r="887" spans="7:11" x14ac:dyDescent="0.25">
      <c r="G887" s="16"/>
      <c r="H887" s="16"/>
      <c r="I887" s="16"/>
      <c r="J887" s="16"/>
      <c r="K887" s="16"/>
    </row>
    <row r="888" spans="7:11" x14ac:dyDescent="0.25">
      <c r="G888" s="16"/>
      <c r="H888" s="16"/>
      <c r="I888" s="16"/>
      <c r="J888" s="16"/>
      <c r="K888" s="16"/>
    </row>
    <row r="889" spans="7:11" x14ac:dyDescent="0.25">
      <c r="G889" s="16"/>
      <c r="H889" s="16"/>
      <c r="I889" s="16"/>
      <c r="J889" s="16"/>
      <c r="K889" s="16"/>
    </row>
    <row r="890" spans="7:11" x14ac:dyDescent="0.25">
      <c r="G890" s="16"/>
      <c r="H890" s="16"/>
      <c r="I890" s="16"/>
      <c r="J890" s="16"/>
      <c r="K890" s="16"/>
    </row>
    <row r="891" spans="7:11" x14ac:dyDescent="0.25">
      <c r="G891" s="16"/>
      <c r="H891" s="16"/>
      <c r="I891" s="16"/>
      <c r="J891" s="16"/>
      <c r="K891" s="16"/>
    </row>
    <row r="892" spans="7:11" x14ac:dyDescent="0.25">
      <c r="G892" s="16"/>
      <c r="H892" s="16"/>
      <c r="I892" s="16"/>
      <c r="J892" s="16"/>
      <c r="K892" s="16"/>
    </row>
    <row r="893" spans="7:11" x14ac:dyDescent="0.25">
      <c r="G893" s="16"/>
      <c r="H893" s="16"/>
      <c r="I893" s="16"/>
      <c r="J893" s="16"/>
      <c r="K893" s="16"/>
    </row>
    <row r="894" spans="7:11" x14ac:dyDescent="0.25">
      <c r="G894" s="16"/>
      <c r="H894" s="16"/>
      <c r="I894" s="16"/>
      <c r="J894" s="16"/>
      <c r="K894" s="16"/>
    </row>
    <row r="895" spans="7:11" x14ac:dyDescent="0.25">
      <c r="G895" s="16"/>
      <c r="H895" s="16"/>
      <c r="I895" s="16"/>
      <c r="J895" s="16"/>
      <c r="K895" s="16"/>
    </row>
    <row r="896" spans="7:11" x14ac:dyDescent="0.25">
      <c r="G896" s="16"/>
      <c r="H896" s="16"/>
      <c r="I896" s="16"/>
      <c r="J896" s="16"/>
      <c r="K896" s="16"/>
    </row>
    <row r="897" spans="7:11" x14ac:dyDescent="0.25">
      <c r="G897" s="16"/>
      <c r="H897" s="16"/>
      <c r="I897" s="16"/>
      <c r="J897" s="16"/>
      <c r="K897" s="16"/>
    </row>
    <row r="898" spans="7:11" x14ac:dyDescent="0.25">
      <c r="G898" s="16"/>
      <c r="H898" s="16"/>
      <c r="I898" s="16"/>
      <c r="J898" s="16"/>
      <c r="K898" s="16"/>
    </row>
    <row r="899" spans="7:11" x14ac:dyDescent="0.25">
      <c r="G899" s="16"/>
      <c r="H899" s="16"/>
      <c r="I899" s="16"/>
      <c r="J899" s="16"/>
      <c r="K899" s="16"/>
    </row>
    <row r="900" spans="7:11" x14ac:dyDescent="0.25">
      <c r="G900" s="16"/>
      <c r="H900" s="16"/>
      <c r="I900" s="16"/>
      <c r="J900" s="16"/>
      <c r="K900" s="16"/>
    </row>
    <row r="901" spans="7:11" x14ac:dyDescent="0.25">
      <c r="G901" s="16"/>
      <c r="H901" s="16"/>
      <c r="I901" s="16"/>
      <c r="J901" s="16"/>
      <c r="K901" s="16"/>
    </row>
    <row r="902" spans="7:11" x14ac:dyDescent="0.25">
      <c r="G902" s="16"/>
      <c r="H902" s="16"/>
      <c r="I902" s="16"/>
      <c r="J902" s="16"/>
      <c r="K902" s="16"/>
    </row>
    <row r="903" spans="7:11" x14ac:dyDescent="0.25">
      <c r="G903" s="16"/>
      <c r="H903" s="16"/>
      <c r="I903" s="16"/>
      <c r="J903" s="16"/>
      <c r="K903" s="16"/>
    </row>
    <row r="904" spans="7:11" x14ac:dyDescent="0.25">
      <c r="G904" s="16"/>
      <c r="H904" s="16"/>
      <c r="I904" s="16"/>
      <c r="J904" s="16"/>
      <c r="K904" s="16"/>
    </row>
    <row r="905" spans="7:11" x14ac:dyDescent="0.25">
      <c r="G905" s="16"/>
      <c r="H905" s="16"/>
      <c r="I905" s="16"/>
      <c r="J905" s="16"/>
      <c r="K905" s="16"/>
    </row>
    <row r="906" spans="7:11" x14ac:dyDescent="0.25">
      <c r="G906" s="16"/>
      <c r="H906" s="16"/>
      <c r="I906" s="16"/>
      <c r="J906" s="16"/>
      <c r="K906" s="16"/>
    </row>
    <row r="907" spans="7:11" x14ac:dyDescent="0.25">
      <c r="G907" s="16"/>
      <c r="H907" s="16"/>
      <c r="I907" s="16"/>
      <c r="J907" s="16"/>
      <c r="K907" s="16"/>
    </row>
    <row r="908" spans="7:11" x14ac:dyDescent="0.25">
      <c r="G908" s="16"/>
      <c r="H908" s="16"/>
      <c r="I908" s="16"/>
      <c r="J908" s="16"/>
      <c r="K908" s="16"/>
    </row>
    <row r="909" spans="7:11" x14ac:dyDescent="0.25">
      <c r="G909" s="16"/>
      <c r="H909" s="16"/>
      <c r="I909" s="16"/>
      <c r="J909" s="16"/>
      <c r="K909" s="16"/>
    </row>
    <row r="910" spans="7:11" x14ac:dyDescent="0.25">
      <c r="G910" s="16"/>
      <c r="H910" s="16"/>
      <c r="I910" s="16"/>
      <c r="J910" s="16"/>
      <c r="K910" s="16"/>
    </row>
    <row r="911" spans="7:11" x14ac:dyDescent="0.25">
      <c r="G911" s="16"/>
      <c r="H911" s="16"/>
      <c r="I911" s="16"/>
      <c r="J911" s="16"/>
      <c r="K911" s="16"/>
    </row>
    <row r="912" spans="7:11" x14ac:dyDescent="0.25">
      <c r="G912" s="16"/>
      <c r="H912" s="16"/>
      <c r="I912" s="16"/>
      <c r="J912" s="16"/>
      <c r="K912" s="16"/>
    </row>
    <row r="913" spans="7:11" x14ac:dyDescent="0.25">
      <c r="G913" s="16"/>
      <c r="H913" s="16"/>
      <c r="I913" s="16"/>
      <c r="J913" s="16"/>
      <c r="K913" s="16"/>
    </row>
    <row r="914" spans="7:11" x14ac:dyDescent="0.25">
      <c r="G914" s="16"/>
      <c r="H914" s="16"/>
      <c r="I914" s="16"/>
      <c r="J914" s="16"/>
      <c r="K914" s="16"/>
    </row>
    <row r="915" spans="7:11" x14ac:dyDescent="0.25">
      <c r="G915" s="16"/>
      <c r="H915" s="16"/>
      <c r="I915" s="16"/>
      <c r="J915" s="16"/>
      <c r="K915" s="16"/>
    </row>
    <row r="916" spans="7:11" x14ac:dyDescent="0.25">
      <c r="G916" s="16"/>
      <c r="H916" s="16"/>
      <c r="I916" s="16"/>
      <c r="J916" s="16"/>
      <c r="K916" s="16"/>
    </row>
    <row r="917" spans="7:11" x14ac:dyDescent="0.25">
      <c r="G917" s="16"/>
      <c r="H917" s="16"/>
      <c r="I917" s="16"/>
      <c r="J917" s="16"/>
      <c r="K917" s="16"/>
    </row>
    <row r="918" spans="7:11" x14ac:dyDescent="0.25">
      <c r="G918" s="16"/>
      <c r="H918" s="16"/>
      <c r="I918" s="16"/>
      <c r="J918" s="16"/>
      <c r="K918" s="16"/>
    </row>
    <row r="919" spans="7:11" x14ac:dyDescent="0.25">
      <c r="G919" s="16"/>
      <c r="H919" s="16"/>
      <c r="I919" s="16"/>
      <c r="J919" s="16"/>
      <c r="K919" s="16"/>
    </row>
    <row r="920" spans="7:11" x14ac:dyDescent="0.25">
      <c r="G920" s="16"/>
      <c r="H920" s="16"/>
      <c r="I920" s="16"/>
      <c r="J920" s="16"/>
      <c r="K920" s="16"/>
    </row>
    <row r="921" spans="7:11" x14ac:dyDescent="0.25">
      <c r="G921" s="16"/>
      <c r="H921" s="16"/>
      <c r="I921" s="16"/>
      <c r="J921" s="16"/>
      <c r="K921" s="16"/>
    </row>
    <row r="922" spans="7:11" x14ac:dyDescent="0.25">
      <c r="G922" s="16"/>
      <c r="H922" s="16"/>
      <c r="I922" s="16"/>
      <c r="J922" s="16"/>
      <c r="K922" s="16"/>
    </row>
    <row r="923" spans="7:11" x14ac:dyDescent="0.25">
      <c r="G923" s="16"/>
      <c r="H923" s="16"/>
      <c r="I923" s="16"/>
      <c r="J923" s="16"/>
      <c r="K923" s="16"/>
    </row>
    <row r="924" spans="7:11" x14ac:dyDescent="0.25">
      <c r="G924" s="16"/>
      <c r="H924" s="16"/>
      <c r="I924" s="16"/>
      <c r="J924" s="16"/>
      <c r="K924" s="16"/>
    </row>
    <row r="925" spans="7:11" x14ac:dyDescent="0.25">
      <c r="G925" s="16"/>
      <c r="H925" s="16"/>
      <c r="I925" s="16"/>
      <c r="J925" s="16"/>
      <c r="K925" s="16"/>
    </row>
    <row r="926" spans="7:11" x14ac:dyDescent="0.25">
      <c r="G926" s="16"/>
      <c r="H926" s="16"/>
      <c r="I926" s="16"/>
      <c r="J926" s="16"/>
      <c r="K926" s="16"/>
    </row>
    <row r="927" spans="7:11" x14ac:dyDescent="0.25">
      <c r="G927" s="16"/>
      <c r="H927" s="16"/>
      <c r="I927" s="16"/>
      <c r="J927" s="16"/>
      <c r="K927" s="16"/>
    </row>
    <row r="928" spans="7:11" x14ac:dyDescent="0.25">
      <c r="G928" s="16"/>
      <c r="H928" s="16"/>
      <c r="I928" s="16"/>
      <c r="J928" s="16"/>
      <c r="K928" s="16"/>
    </row>
    <row r="929" spans="7:11" x14ac:dyDescent="0.25">
      <c r="G929" s="16"/>
      <c r="H929" s="16"/>
      <c r="I929" s="16"/>
      <c r="J929" s="16"/>
      <c r="K929" s="16"/>
    </row>
    <row r="930" spans="7:11" x14ac:dyDescent="0.25">
      <c r="G930" s="16"/>
      <c r="H930" s="16"/>
      <c r="I930" s="16"/>
      <c r="J930" s="16"/>
      <c r="K930" s="16"/>
    </row>
    <row r="931" spans="7:11" x14ac:dyDescent="0.25">
      <c r="G931" s="16"/>
      <c r="H931" s="16"/>
      <c r="I931" s="16"/>
      <c r="J931" s="16"/>
      <c r="K931" s="16"/>
    </row>
    <row r="932" spans="7:11" x14ac:dyDescent="0.25">
      <c r="G932" s="16"/>
      <c r="H932" s="16"/>
      <c r="I932" s="16"/>
      <c r="J932" s="16"/>
      <c r="K932" s="16"/>
    </row>
    <row r="933" spans="7:11" x14ac:dyDescent="0.25">
      <c r="G933" s="16"/>
      <c r="H933" s="16"/>
      <c r="I933" s="16"/>
      <c r="J933" s="16"/>
      <c r="K933" s="16"/>
    </row>
    <row r="934" spans="7:11" x14ac:dyDescent="0.25">
      <c r="G934" s="16"/>
      <c r="H934" s="16"/>
      <c r="I934" s="16"/>
      <c r="J934" s="16"/>
      <c r="K934" s="16"/>
    </row>
    <row r="935" spans="7:11" x14ac:dyDescent="0.25">
      <c r="G935" s="16"/>
      <c r="H935" s="16"/>
      <c r="I935" s="16"/>
      <c r="J935" s="16"/>
      <c r="K935" s="16"/>
    </row>
    <row r="936" spans="7:11" x14ac:dyDescent="0.25">
      <c r="G936" s="16"/>
      <c r="H936" s="16"/>
      <c r="I936" s="16"/>
      <c r="J936" s="16"/>
      <c r="K936" s="16"/>
    </row>
    <row r="937" spans="7:11" x14ac:dyDescent="0.25">
      <c r="G937" s="16"/>
      <c r="H937" s="16"/>
      <c r="I937" s="16"/>
      <c r="J937" s="16"/>
      <c r="K937" s="16"/>
    </row>
    <row r="938" spans="7:11" x14ac:dyDescent="0.25">
      <c r="G938" s="16"/>
      <c r="H938" s="16"/>
      <c r="I938" s="16"/>
      <c r="J938" s="16"/>
      <c r="K938" s="16"/>
    </row>
    <row r="939" spans="7:11" x14ac:dyDescent="0.25">
      <c r="G939" s="16"/>
      <c r="H939" s="16"/>
      <c r="I939" s="16"/>
      <c r="J939" s="16"/>
      <c r="K939" s="16"/>
    </row>
    <row r="940" spans="7:11" x14ac:dyDescent="0.25">
      <c r="G940" s="16"/>
      <c r="H940" s="16"/>
      <c r="I940" s="16"/>
      <c r="J940" s="16"/>
      <c r="K940" s="16"/>
    </row>
    <row r="941" spans="7:11" x14ac:dyDescent="0.25">
      <c r="G941" s="16"/>
      <c r="H941" s="16"/>
      <c r="I941" s="16"/>
      <c r="J941" s="16"/>
      <c r="K941" s="16"/>
    </row>
    <row r="942" spans="7:11" x14ac:dyDescent="0.25">
      <c r="G942" s="16"/>
      <c r="H942" s="16"/>
      <c r="I942" s="16"/>
      <c r="J942" s="16"/>
      <c r="K942" s="16"/>
    </row>
    <row r="943" spans="7:11" x14ac:dyDescent="0.25">
      <c r="G943" s="16"/>
      <c r="H943" s="16"/>
      <c r="I943" s="16"/>
      <c r="J943" s="16"/>
      <c r="K943" s="16"/>
    </row>
    <row r="944" spans="7:11" x14ac:dyDescent="0.25">
      <c r="G944" s="16"/>
      <c r="H944" s="16"/>
      <c r="I944" s="16"/>
      <c r="J944" s="16"/>
      <c r="K944" s="16"/>
    </row>
    <row r="945" spans="7:11" x14ac:dyDescent="0.25">
      <c r="G945" s="16"/>
      <c r="H945" s="16"/>
      <c r="I945" s="16"/>
      <c r="J945" s="16"/>
      <c r="K945" s="16"/>
    </row>
    <row r="946" spans="7:11" x14ac:dyDescent="0.25">
      <c r="G946" s="16"/>
      <c r="H946" s="16"/>
      <c r="I946" s="16"/>
      <c r="J946" s="16"/>
      <c r="K946" s="16"/>
    </row>
    <row r="947" spans="7:11" x14ac:dyDescent="0.25">
      <c r="G947" s="16"/>
      <c r="H947" s="16"/>
      <c r="I947" s="16"/>
      <c r="J947" s="16"/>
      <c r="K947" s="16"/>
    </row>
    <row r="948" spans="7:11" x14ac:dyDescent="0.25">
      <c r="G948" s="16"/>
      <c r="H948" s="16"/>
      <c r="I948" s="16"/>
      <c r="J948" s="16"/>
      <c r="K948" s="16"/>
    </row>
    <row r="949" spans="7:11" x14ac:dyDescent="0.25">
      <c r="G949" s="16"/>
      <c r="H949" s="16"/>
      <c r="I949" s="16"/>
      <c r="J949" s="16"/>
      <c r="K949" s="16"/>
    </row>
    <row r="950" spans="7:11" x14ac:dyDescent="0.25">
      <c r="G950" s="16"/>
      <c r="H950" s="16"/>
      <c r="I950" s="16"/>
      <c r="J950" s="16"/>
      <c r="K950" s="16"/>
    </row>
    <row r="951" spans="7:11" x14ac:dyDescent="0.25">
      <c r="G951" s="16"/>
      <c r="H951" s="16"/>
      <c r="I951" s="16"/>
      <c r="J951" s="16"/>
      <c r="K951" s="16"/>
    </row>
    <row r="952" spans="7:11" x14ac:dyDescent="0.25">
      <c r="G952" s="16"/>
      <c r="H952" s="16"/>
      <c r="I952" s="16"/>
      <c r="J952" s="16"/>
      <c r="K952" s="16"/>
    </row>
    <row r="953" spans="7:11" x14ac:dyDescent="0.25">
      <c r="G953" s="16"/>
      <c r="H953" s="16"/>
      <c r="I953" s="16"/>
      <c r="J953" s="16"/>
      <c r="K953" s="16"/>
    </row>
    <row r="954" spans="7:11" x14ac:dyDescent="0.25">
      <c r="G954" s="16"/>
      <c r="H954" s="16"/>
      <c r="I954" s="16"/>
      <c r="J954" s="16"/>
      <c r="K954" s="16"/>
    </row>
    <row r="955" spans="7:11" x14ac:dyDescent="0.25">
      <c r="G955" s="16"/>
      <c r="H955" s="16"/>
      <c r="I955" s="16"/>
      <c r="J955" s="16"/>
      <c r="K955" s="16"/>
    </row>
    <row r="956" spans="7:11" x14ac:dyDescent="0.25">
      <c r="G956" s="16"/>
      <c r="H956" s="16"/>
      <c r="I956" s="16"/>
      <c r="J956" s="16"/>
      <c r="K956" s="16"/>
    </row>
    <row r="957" spans="7:11" x14ac:dyDescent="0.25">
      <c r="G957" s="16"/>
      <c r="H957" s="16"/>
      <c r="I957" s="16"/>
      <c r="J957" s="16"/>
      <c r="K957" s="16"/>
    </row>
    <row r="958" spans="7:11" x14ac:dyDescent="0.25">
      <c r="G958" s="16"/>
      <c r="H958" s="16"/>
      <c r="I958" s="16"/>
      <c r="J958" s="16"/>
      <c r="K958" s="16"/>
    </row>
    <row r="959" spans="7:11" x14ac:dyDescent="0.25">
      <c r="G959" s="16"/>
      <c r="H959" s="16"/>
      <c r="I959" s="16"/>
      <c r="J959" s="16"/>
      <c r="K959" s="16"/>
    </row>
    <row r="960" spans="7:11" x14ac:dyDescent="0.25">
      <c r="G960" s="16"/>
      <c r="H960" s="16"/>
      <c r="I960" s="16"/>
      <c r="J960" s="16"/>
      <c r="K960" s="16"/>
    </row>
    <row r="961" spans="7:11" x14ac:dyDescent="0.25">
      <c r="G961" s="16"/>
      <c r="H961" s="16"/>
      <c r="I961" s="16"/>
      <c r="J961" s="16"/>
      <c r="K961" s="16"/>
    </row>
    <row r="962" spans="7:11" x14ac:dyDescent="0.25">
      <c r="G962" s="16"/>
      <c r="H962" s="16"/>
      <c r="I962" s="16"/>
      <c r="J962" s="16"/>
      <c r="K962" s="16"/>
    </row>
    <row r="963" spans="7:11" x14ac:dyDescent="0.25">
      <c r="G963" s="16"/>
      <c r="H963" s="16"/>
      <c r="I963" s="16"/>
      <c r="J963" s="16"/>
      <c r="K963" s="16"/>
    </row>
    <row r="964" spans="7:11" x14ac:dyDescent="0.25">
      <c r="G964" s="16"/>
      <c r="H964" s="16"/>
      <c r="I964" s="16"/>
      <c r="J964" s="16"/>
      <c r="K964" s="16"/>
    </row>
    <row r="965" spans="7:11" x14ac:dyDescent="0.25">
      <c r="G965" s="16"/>
      <c r="H965" s="16"/>
      <c r="I965" s="16"/>
      <c r="J965" s="16"/>
      <c r="K965" s="16"/>
    </row>
    <row r="966" spans="7:11" x14ac:dyDescent="0.25">
      <c r="G966" s="16"/>
      <c r="H966" s="16"/>
      <c r="I966" s="16"/>
      <c r="J966" s="16"/>
      <c r="K966" s="16"/>
    </row>
    <row r="967" spans="7:11" x14ac:dyDescent="0.25">
      <c r="G967" s="16"/>
      <c r="H967" s="16"/>
      <c r="I967" s="16"/>
      <c r="J967" s="16"/>
      <c r="K967" s="16"/>
    </row>
    <row r="968" spans="7:11" x14ac:dyDescent="0.25">
      <c r="G968" s="16"/>
      <c r="H968" s="16"/>
      <c r="I968" s="16"/>
      <c r="J968" s="16"/>
      <c r="K968" s="16"/>
    </row>
    <row r="969" spans="7:11" x14ac:dyDescent="0.25">
      <c r="G969" s="16"/>
      <c r="H969" s="16"/>
      <c r="I969" s="16"/>
      <c r="J969" s="16"/>
      <c r="K969" s="16"/>
    </row>
    <row r="970" spans="7:11" x14ac:dyDescent="0.25">
      <c r="G970" s="16"/>
      <c r="H970" s="16"/>
      <c r="I970" s="16"/>
      <c r="J970" s="16"/>
      <c r="K970" s="16"/>
    </row>
    <row r="971" spans="7:11" x14ac:dyDescent="0.25">
      <c r="G971" s="16"/>
      <c r="H971" s="16"/>
      <c r="I971" s="16"/>
      <c r="J971" s="16"/>
      <c r="K971" s="16"/>
    </row>
    <row r="972" spans="7:11" x14ac:dyDescent="0.25">
      <c r="G972" s="16"/>
      <c r="H972" s="16"/>
      <c r="I972" s="16"/>
      <c r="J972" s="16"/>
      <c r="K972" s="16"/>
    </row>
    <row r="973" spans="7:11" x14ac:dyDescent="0.25">
      <c r="G973" s="16"/>
      <c r="H973" s="16"/>
      <c r="I973" s="16"/>
      <c r="J973" s="16"/>
      <c r="K973" s="16"/>
    </row>
    <row r="974" spans="7:11" x14ac:dyDescent="0.25">
      <c r="G974" s="16"/>
      <c r="H974" s="16"/>
      <c r="I974" s="16"/>
      <c r="J974" s="16"/>
      <c r="K974" s="16"/>
    </row>
    <row r="975" spans="7:11" x14ac:dyDescent="0.25">
      <c r="G975" s="16"/>
      <c r="H975" s="16"/>
      <c r="I975" s="16"/>
      <c r="J975" s="16"/>
      <c r="K975" s="16"/>
    </row>
    <row r="976" spans="7:11" x14ac:dyDescent="0.25">
      <c r="G976" s="16"/>
      <c r="H976" s="16"/>
      <c r="I976" s="16"/>
      <c r="J976" s="16"/>
      <c r="K976" s="16"/>
    </row>
    <row r="977" spans="7:11" x14ac:dyDescent="0.25">
      <c r="G977" s="16"/>
      <c r="H977" s="16"/>
      <c r="I977" s="16"/>
      <c r="J977" s="16"/>
      <c r="K977" s="16"/>
    </row>
    <row r="978" spans="7:11" x14ac:dyDescent="0.25">
      <c r="G978" s="16"/>
      <c r="H978" s="16"/>
      <c r="I978" s="16"/>
      <c r="J978" s="16"/>
      <c r="K978" s="16"/>
    </row>
    <row r="979" spans="7:11" x14ac:dyDescent="0.25">
      <c r="G979" s="16"/>
      <c r="H979" s="16"/>
      <c r="I979" s="16"/>
      <c r="J979" s="16"/>
      <c r="K979" s="16"/>
    </row>
    <row r="980" spans="7:11" x14ac:dyDescent="0.25">
      <c r="G980" s="16"/>
      <c r="H980" s="16"/>
      <c r="I980" s="16"/>
      <c r="J980" s="16"/>
      <c r="K980" s="16"/>
    </row>
    <row r="981" spans="7:11" x14ac:dyDescent="0.25">
      <c r="G981" s="16"/>
      <c r="H981" s="16"/>
      <c r="I981" s="16"/>
      <c r="J981" s="16"/>
      <c r="K981" s="16"/>
    </row>
    <row r="982" spans="7:11" x14ac:dyDescent="0.25">
      <c r="G982" s="16"/>
      <c r="H982" s="16"/>
      <c r="I982" s="16"/>
      <c r="J982" s="16"/>
      <c r="K982" s="16"/>
    </row>
    <row r="983" spans="7:11" x14ac:dyDescent="0.25">
      <c r="G983" s="16"/>
      <c r="H983" s="16"/>
      <c r="I983" s="16"/>
      <c r="J983" s="16"/>
      <c r="K983" s="16"/>
    </row>
    <row r="984" spans="7:11" x14ac:dyDescent="0.25">
      <c r="G984" s="16"/>
      <c r="H984" s="16"/>
      <c r="I984" s="16"/>
      <c r="J984" s="16"/>
      <c r="K984" s="16"/>
    </row>
    <row r="985" spans="7:11" x14ac:dyDescent="0.25">
      <c r="G985" s="16"/>
      <c r="H985" s="16"/>
      <c r="I985" s="16"/>
      <c r="J985" s="16"/>
      <c r="K985" s="16"/>
    </row>
    <row r="986" spans="7:11" x14ac:dyDescent="0.25">
      <c r="G986" s="16"/>
      <c r="H986" s="16"/>
      <c r="I986" s="16"/>
      <c r="J986" s="16"/>
      <c r="K986" s="16"/>
    </row>
    <row r="987" spans="7:11" x14ac:dyDescent="0.25">
      <c r="G987" s="16"/>
      <c r="H987" s="16"/>
      <c r="I987" s="16"/>
      <c r="J987" s="16"/>
      <c r="K987" s="16"/>
    </row>
    <row r="988" spans="7:11" x14ac:dyDescent="0.25">
      <c r="G988" s="16"/>
      <c r="H988" s="16"/>
      <c r="I988" s="16"/>
      <c r="J988" s="16"/>
      <c r="K988" s="16"/>
    </row>
    <row r="989" spans="7:11" x14ac:dyDescent="0.25">
      <c r="G989" s="16"/>
      <c r="H989" s="16"/>
      <c r="I989" s="16"/>
      <c r="J989" s="16"/>
      <c r="K989" s="16"/>
    </row>
    <row r="990" spans="7:11" x14ac:dyDescent="0.25">
      <c r="G990" s="16"/>
      <c r="H990" s="16"/>
      <c r="I990" s="16"/>
      <c r="J990" s="16"/>
      <c r="K990" s="16"/>
    </row>
    <row r="991" spans="7:11" x14ac:dyDescent="0.25">
      <c r="G991" s="16"/>
      <c r="H991" s="16"/>
      <c r="I991" s="16"/>
      <c r="J991" s="16"/>
      <c r="K991" s="16"/>
    </row>
    <row r="992" spans="7:11" x14ac:dyDescent="0.25">
      <c r="G992" s="16"/>
      <c r="H992" s="16"/>
      <c r="I992" s="16"/>
      <c r="J992" s="16"/>
      <c r="K992" s="16"/>
    </row>
    <row r="993" spans="7:11" x14ac:dyDescent="0.25">
      <c r="G993" s="16"/>
      <c r="H993" s="16"/>
      <c r="I993" s="16"/>
      <c r="J993" s="16"/>
      <c r="K993" s="16"/>
    </row>
    <row r="994" spans="7:11" x14ac:dyDescent="0.25">
      <c r="G994" s="16"/>
      <c r="H994" s="16"/>
      <c r="I994" s="16"/>
      <c r="J994" s="16"/>
      <c r="K994" s="16"/>
    </row>
    <row r="995" spans="7:11" x14ac:dyDescent="0.25">
      <c r="G995" s="16"/>
      <c r="H995" s="16"/>
      <c r="I995" s="16"/>
      <c r="J995" s="16"/>
      <c r="K995" s="16"/>
    </row>
    <row r="996" spans="7:11" x14ac:dyDescent="0.25">
      <c r="G996" s="16"/>
      <c r="H996" s="16"/>
      <c r="I996" s="16"/>
      <c r="J996" s="16"/>
      <c r="K996" s="16"/>
    </row>
    <row r="997" spans="7:11" x14ac:dyDescent="0.25">
      <c r="G997" s="16"/>
      <c r="H997" s="16"/>
      <c r="I997" s="16"/>
      <c r="J997" s="16"/>
      <c r="K997" s="16"/>
    </row>
    <row r="998" spans="7:11" x14ac:dyDescent="0.25">
      <c r="G998" s="16"/>
      <c r="H998" s="16"/>
      <c r="I998" s="16"/>
      <c r="J998" s="16"/>
      <c r="K998" s="16"/>
    </row>
    <row r="999" spans="7:11" x14ac:dyDescent="0.25">
      <c r="G999" s="16"/>
      <c r="H999" s="16"/>
      <c r="I999" s="16"/>
      <c r="J999" s="16"/>
      <c r="K999" s="16"/>
    </row>
    <row r="1000" spans="7:11" x14ac:dyDescent="0.25">
      <c r="G1000" s="16"/>
      <c r="H1000" s="16"/>
      <c r="I1000" s="16"/>
      <c r="J1000" s="16"/>
      <c r="K1000" s="16"/>
    </row>
    <row r="1001" spans="7:11" x14ac:dyDescent="0.25">
      <c r="G1001" s="16"/>
      <c r="H1001" s="16"/>
      <c r="I1001" s="16"/>
      <c r="J1001" s="16"/>
      <c r="K1001" s="16"/>
    </row>
    <row r="1002" spans="7:11" x14ac:dyDescent="0.25">
      <c r="G1002" s="16"/>
      <c r="H1002" s="16"/>
      <c r="I1002" s="16"/>
      <c r="J1002" s="16"/>
      <c r="K1002" s="16"/>
    </row>
    <row r="1003" spans="7:11" x14ac:dyDescent="0.25">
      <c r="G1003" s="16"/>
      <c r="H1003" s="16"/>
      <c r="I1003" s="16"/>
      <c r="J1003" s="16"/>
      <c r="K1003" s="16"/>
    </row>
    <row r="1004" spans="7:11" x14ac:dyDescent="0.25">
      <c r="G1004" s="16"/>
      <c r="H1004" s="16"/>
      <c r="I1004" s="16"/>
      <c r="J1004" s="16"/>
      <c r="K1004" s="16"/>
    </row>
    <row r="1005" spans="7:11" x14ac:dyDescent="0.25">
      <c r="G1005" s="16"/>
      <c r="H1005" s="16"/>
      <c r="I1005" s="16"/>
      <c r="J1005" s="16"/>
      <c r="K1005" s="16"/>
    </row>
    <row r="1006" spans="7:11" x14ac:dyDescent="0.25">
      <c r="G1006" s="16"/>
      <c r="H1006" s="16"/>
      <c r="I1006" s="16"/>
      <c r="J1006" s="16"/>
      <c r="K1006" s="16"/>
    </row>
    <row r="1007" spans="7:11" x14ac:dyDescent="0.25">
      <c r="G1007" s="16"/>
      <c r="H1007" s="16"/>
      <c r="I1007" s="16"/>
      <c r="J1007" s="16"/>
      <c r="K1007" s="16"/>
    </row>
    <row r="1008" spans="7:11" x14ac:dyDescent="0.25">
      <c r="G1008" s="16"/>
      <c r="H1008" s="16"/>
      <c r="I1008" s="16"/>
      <c r="J1008" s="16"/>
      <c r="K1008" s="16"/>
    </row>
    <row r="1009" spans="7:11" x14ac:dyDescent="0.25">
      <c r="G1009" s="16"/>
      <c r="H1009" s="16"/>
      <c r="I1009" s="16"/>
      <c r="J1009" s="16"/>
      <c r="K1009" s="16"/>
    </row>
    <row r="1010" spans="7:11" x14ac:dyDescent="0.25">
      <c r="G1010" s="16"/>
      <c r="H1010" s="16"/>
      <c r="I1010" s="16"/>
      <c r="J1010" s="16"/>
      <c r="K1010" s="16"/>
    </row>
    <row r="1011" spans="7:11" x14ac:dyDescent="0.25">
      <c r="G1011" s="16"/>
      <c r="H1011" s="16"/>
      <c r="I1011" s="16"/>
      <c r="J1011" s="16"/>
      <c r="K1011" s="16"/>
    </row>
    <row r="1012" spans="7:11" x14ac:dyDescent="0.25">
      <c r="G1012" s="16"/>
      <c r="H1012" s="16"/>
      <c r="I1012" s="16"/>
      <c r="J1012" s="16"/>
      <c r="K1012" s="16"/>
    </row>
    <row r="1013" spans="7:11" x14ac:dyDescent="0.25">
      <c r="G1013" s="16"/>
      <c r="H1013" s="16"/>
      <c r="I1013" s="16"/>
      <c r="J1013" s="16"/>
      <c r="K1013" s="16"/>
    </row>
    <row r="1014" spans="7:11" x14ac:dyDescent="0.25">
      <c r="G1014" s="16"/>
      <c r="H1014" s="16"/>
      <c r="I1014" s="16"/>
      <c r="J1014" s="16"/>
      <c r="K1014" s="16"/>
    </row>
    <row r="1015" spans="7:11" x14ac:dyDescent="0.25">
      <c r="G1015" s="16"/>
      <c r="H1015" s="16"/>
      <c r="I1015" s="16"/>
      <c r="J1015" s="16"/>
      <c r="K1015" s="16"/>
    </row>
    <row r="1016" spans="7:11" x14ac:dyDescent="0.25">
      <c r="G1016" s="16"/>
      <c r="H1016" s="16"/>
      <c r="I1016" s="16"/>
      <c r="J1016" s="16"/>
      <c r="K1016" s="16"/>
    </row>
    <row r="1017" spans="7:11" x14ac:dyDescent="0.25">
      <c r="G1017" s="16"/>
      <c r="H1017" s="16"/>
      <c r="I1017" s="16"/>
      <c r="J1017" s="16"/>
      <c r="K1017" s="16"/>
    </row>
    <row r="1018" spans="7:11" x14ac:dyDescent="0.25">
      <c r="G1018" s="16"/>
      <c r="H1018" s="16"/>
      <c r="I1018" s="16"/>
      <c r="J1018" s="16"/>
      <c r="K1018" s="16"/>
    </row>
    <row r="1019" spans="7:11" x14ac:dyDescent="0.25">
      <c r="G1019" s="16"/>
      <c r="H1019" s="16"/>
      <c r="I1019" s="16"/>
      <c r="J1019" s="16"/>
      <c r="K1019" s="16"/>
    </row>
    <row r="1020" spans="7:11" x14ac:dyDescent="0.25">
      <c r="G1020" s="16"/>
      <c r="H1020" s="16"/>
      <c r="I1020" s="16"/>
      <c r="J1020" s="16"/>
      <c r="K1020" s="16"/>
    </row>
    <row r="1021" spans="7:11" x14ac:dyDescent="0.25">
      <c r="G1021" s="16"/>
      <c r="H1021" s="16"/>
      <c r="I1021" s="16"/>
      <c r="J1021" s="16"/>
      <c r="K1021" s="16"/>
    </row>
    <row r="1022" spans="7:11" x14ac:dyDescent="0.25">
      <c r="G1022" s="16"/>
      <c r="H1022" s="16"/>
      <c r="I1022" s="16"/>
      <c r="J1022" s="16"/>
      <c r="K1022" s="16"/>
    </row>
    <row r="1023" spans="7:11" x14ac:dyDescent="0.25">
      <c r="G1023" s="16"/>
      <c r="H1023" s="16"/>
      <c r="I1023" s="16"/>
      <c r="J1023" s="16"/>
      <c r="K1023" s="16"/>
    </row>
    <row r="1024" spans="7:11" x14ac:dyDescent="0.25">
      <c r="G1024" s="16"/>
      <c r="H1024" s="16"/>
      <c r="I1024" s="16"/>
      <c r="J1024" s="16"/>
      <c r="K1024" s="16"/>
    </row>
    <row r="1025" spans="7:11" x14ac:dyDescent="0.25">
      <c r="G1025" s="16"/>
      <c r="H1025" s="16"/>
      <c r="I1025" s="16"/>
      <c r="J1025" s="16"/>
      <c r="K1025" s="16"/>
    </row>
    <row r="1026" spans="7:11" x14ac:dyDescent="0.25">
      <c r="G1026" s="16"/>
      <c r="H1026" s="16"/>
      <c r="I1026" s="16"/>
      <c r="J1026" s="16"/>
      <c r="K1026" s="16"/>
    </row>
    <row r="1027" spans="7:11" x14ac:dyDescent="0.25">
      <c r="G1027" s="16"/>
      <c r="H1027" s="16"/>
      <c r="I1027" s="16"/>
      <c r="J1027" s="16"/>
      <c r="K1027" s="16"/>
    </row>
    <row r="1028" spans="7:11" x14ac:dyDescent="0.25">
      <c r="G1028" s="16"/>
      <c r="H1028" s="16"/>
      <c r="I1028" s="16"/>
      <c r="J1028" s="16"/>
      <c r="K1028" s="16"/>
    </row>
    <row r="1029" spans="7:11" x14ac:dyDescent="0.25">
      <c r="G1029" s="16"/>
      <c r="H1029" s="16"/>
      <c r="I1029" s="16"/>
      <c r="J1029" s="16"/>
      <c r="K1029" s="16"/>
    </row>
    <row r="1030" spans="7:11" x14ac:dyDescent="0.25">
      <c r="G1030" s="16"/>
      <c r="H1030" s="16"/>
      <c r="I1030" s="16"/>
      <c r="J1030" s="16"/>
      <c r="K1030" s="16"/>
    </row>
    <row r="1031" spans="7:11" x14ac:dyDescent="0.25">
      <c r="G1031" s="16"/>
      <c r="H1031" s="16"/>
      <c r="I1031" s="16"/>
      <c r="J1031" s="16"/>
      <c r="K1031" s="16"/>
    </row>
    <row r="1032" spans="7:11" x14ac:dyDescent="0.25">
      <c r="G1032" s="16"/>
      <c r="H1032" s="16"/>
      <c r="I1032" s="16"/>
      <c r="J1032" s="16"/>
      <c r="K1032" s="16"/>
    </row>
    <row r="1033" spans="7:11" x14ac:dyDescent="0.25">
      <c r="G1033" s="16"/>
      <c r="H1033" s="16"/>
      <c r="I1033" s="16"/>
      <c r="J1033" s="16"/>
      <c r="K1033" s="16"/>
    </row>
    <row r="1034" spans="7:11" x14ac:dyDescent="0.25">
      <c r="G1034" s="16"/>
      <c r="H1034" s="16"/>
      <c r="I1034" s="16"/>
      <c r="J1034" s="16"/>
      <c r="K1034" s="16"/>
    </row>
    <row r="1035" spans="7:11" x14ac:dyDescent="0.25">
      <c r="G1035" s="16"/>
      <c r="H1035" s="16"/>
      <c r="I1035" s="16"/>
      <c r="J1035" s="16"/>
      <c r="K1035" s="16"/>
    </row>
    <row r="1036" spans="7:11" x14ac:dyDescent="0.25">
      <c r="G1036" s="16"/>
      <c r="H1036" s="16"/>
      <c r="I1036" s="16"/>
      <c r="J1036" s="16"/>
      <c r="K1036" s="16"/>
    </row>
    <row r="1037" spans="7:11" x14ac:dyDescent="0.25">
      <c r="G1037" s="16"/>
      <c r="H1037" s="16"/>
      <c r="I1037" s="16"/>
      <c r="J1037" s="16"/>
      <c r="K1037" s="16"/>
    </row>
    <row r="1038" spans="7:11" x14ac:dyDescent="0.25">
      <c r="G1038" s="16"/>
      <c r="H1038" s="16"/>
      <c r="I1038" s="16"/>
      <c r="J1038" s="16"/>
      <c r="K1038" s="16"/>
    </row>
    <row r="1039" spans="7:11" x14ac:dyDescent="0.25">
      <c r="G1039" s="16"/>
      <c r="H1039" s="16"/>
      <c r="I1039" s="16"/>
      <c r="J1039" s="16"/>
      <c r="K1039" s="16"/>
    </row>
    <row r="1040" spans="7:11" x14ac:dyDescent="0.25">
      <c r="G1040" s="16"/>
      <c r="H1040" s="16"/>
      <c r="I1040" s="16"/>
      <c r="J1040" s="16"/>
      <c r="K1040" s="16"/>
    </row>
    <row r="1041" spans="7:11" x14ac:dyDescent="0.25">
      <c r="G1041" s="16"/>
      <c r="H1041" s="16"/>
      <c r="I1041" s="16"/>
      <c r="J1041" s="16"/>
      <c r="K1041" s="16"/>
    </row>
    <row r="1042" spans="7:11" x14ac:dyDescent="0.25">
      <c r="G1042" s="16"/>
      <c r="H1042" s="16"/>
      <c r="I1042" s="16"/>
      <c r="J1042" s="16"/>
      <c r="K1042" s="16"/>
    </row>
    <row r="1043" spans="7:11" x14ac:dyDescent="0.25">
      <c r="G1043" s="16"/>
      <c r="H1043" s="16"/>
      <c r="I1043" s="16"/>
      <c r="J1043" s="16"/>
      <c r="K1043" s="16"/>
    </row>
    <row r="1044" spans="7:11" x14ac:dyDescent="0.25">
      <c r="G1044" s="16"/>
      <c r="H1044" s="16"/>
      <c r="I1044" s="16"/>
      <c r="J1044" s="16"/>
      <c r="K1044" s="16"/>
    </row>
    <row r="1045" spans="7:11" x14ac:dyDescent="0.25">
      <c r="G1045" s="16"/>
      <c r="H1045" s="16"/>
      <c r="I1045" s="16"/>
      <c r="J1045" s="16"/>
      <c r="K1045" s="16"/>
    </row>
    <row r="1046" spans="7:11" x14ac:dyDescent="0.25">
      <c r="G1046" s="16"/>
      <c r="H1046" s="16"/>
      <c r="I1046" s="16"/>
      <c r="J1046" s="16"/>
      <c r="K1046" s="16"/>
    </row>
    <row r="1047" spans="7:11" x14ac:dyDescent="0.25">
      <c r="G1047" s="16"/>
      <c r="H1047" s="16"/>
      <c r="I1047" s="16"/>
      <c r="J1047" s="16"/>
      <c r="K1047" s="16"/>
    </row>
    <row r="1048" spans="7:11" x14ac:dyDescent="0.25">
      <c r="G1048" s="16"/>
      <c r="H1048" s="16"/>
      <c r="I1048" s="16"/>
      <c r="J1048" s="16"/>
      <c r="K1048" s="16"/>
    </row>
    <row r="1049" spans="7:11" x14ac:dyDescent="0.25">
      <c r="G1049" s="16"/>
      <c r="H1049" s="16"/>
      <c r="I1049" s="16"/>
      <c r="J1049" s="16"/>
      <c r="K1049" s="16"/>
    </row>
    <row r="1050" spans="7:11" x14ac:dyDescent="0.25">
      <c r="G1050" s="16"/>
      <c r="H1050" s="16"/>
      <c r="I1050" s="16"/>
      <c r="J1050" s="16"/>
      <c r="K1050" s="16"/>
    </row>
    <row r="1051" spans="7:11" x14ac:dyDescent="0.25">
      <c r="G1051" s="16"/>
      <c r="H1051" s="16"/>
      <c r="I1051" s="16"/>
      <c r="J1051" s="16"/>
      <c r="K1051" s="16"/>
    </row>
    <row r="1052" spans="7:11" x14ac:dyDescent="0.25">
      <c r="G1052" s="16"/>
      <c r="H1052" s="16"/>
      <c r="I1052" s="16"/>
      <c r="J1052" s="16"/>
      <c r="K1052" s="16"/>
    </row>
    <row r="1053" spans="7:11" x14ac:dyDescent="0.25">
      <c r="G1053" s="16"/>
      <c r="H1053" s="16"/>
      <c r="I1053" s="16"/>
      <c r="J1053" s="16"/>
      <c r="K1053" s="16"/>
    </row>
    <row r="1054" spans="7:11" x14ac:dyDescent="0.25">
      <c r="G1054" s="16"/>
      <c r="H1054" s="16"/>
      <c r="I1054" s="16"/>
      <c r="J1054" s="16"/>
      <c r="K1054" s="16"/>
    </row>
    <row r="1055" spans="7:11" x14ac:dyDescent="0.25">
      <c r="G1055" s="16"/>
      <c r="H1055" s="16"/>
      <c r="I1055" s="16"/>
      <c r="J1055" s="16"/>
      <c r="K1055" s="16"/>
    </row>
    <row r="1056" spans="7:11" x14ac:dyDescent="0.25">
      <c r="G1056" s="16"/>
      <c r="H1056" s="16"/>
      <c r="I1056" s="16"/>
      <c r="J1056" s="16"/>
      <c r="K1056" s="16"/>
    </row>
    <row r="1057" spans="7:11" x14ac:dyDescent="0.25">
      <c r="G1057" s="16"/>
      <c r="H1057" s="16"/>
      <c r="I1057" s="16"/>
      <c r="J1057" s="16"/>
      <c r="K1057" s="16"/>
    </row>
    <row r="1058" spans="7:11" x14ac:dyDescent="0.25">
      <c r="G1058" s="16"/>
      <c r="H1058" s="16"/>
      <c r="I1058" s="16"/>
      <c r="J1058" s="16"/>
      <c r="K1058" s="16"/>
    </row>
    <row r="1059" spans="7:11" x14ac:dyDescent="0.25">
      <c r="G1059" s="16"/>
      <c r="H1059" s="16"/>
      <c r="I1059" s="16"/>
      <c r="J1059" s="16"/>
      <c r="K1059" s="16"/>
    </row>
    <row r="1060" spans="7:11" x14ac:dyDescent="0.25">
      <c r="G1060" s="16"/>
      <c r="H1060" s="16"/>
      <c r="I1060" s="16"/>
      <c r="J1060" s="16"/>
      <c r="K1060" s="16"/>
    </row>
    <row r="1061" spans="7:11" x14ac:dyDescent="0.25">
      <c r="G1061" s="16"/>
      <c r="H1061" s="16"/>
      <c r="I1061" s="16"/>
      <c r="J1061" s="16"/>
      <c r="K1061" s="16"/>
    </row>
    <row r="1062" spans="7:11" x14ac:dyDescent="0.25">
      <c r="G1062" s="16"/>
      <c r="H1062" s="16"/>
      <c r="I1062" s="16"/>
      <c r="J1062" s="16"/>
      <c r="K1062" s="16"/>
    </row>
    <row r="1063" spans="7:11" x14ac:dyDescent="0.25">
      <c r="G1063" s="16"/>
      <c r="H1063" s="16"/>
      <c r="I1063" s="16"/>
      <c r="J1063" s="16"/>
      <c r="K1063" s="16"/>
    </row>
    <row r="1064" spans="7:11" x14ac:dyDescent="0.25">
      <c r="G1064" s="16"/>
      <c r="H1064" s="16"/>
      <c r="I1064" s="16"/>
      <c r="J1064" s="16"/>
      <c r="K1064" s="16"/>
    </row>
    <row r="1065" spans="7:11" x14ac:dyDescent="0.25">
      <c r="G1065" s="16"/>
      <c r="H1065" s="16"/>
      <c r="I1065" s="16"/>
      <c r="J1065" s="16"/>
      <c r="K1065" s="16"/>
    </row>
    <row r="1066" spans="7:11" x14ac:dyDescent="0.25">
      <c r="G1066" s="16"/>
      <c r="H1066" s="16"/>
      <c r="I1066" s="16"/>
      <c r="J1066" s="16"/>
      <c r="K1066" s="16"/>
    </row>
    <row r="1067" spans="7:11" x14ac:dyDescent="0.25">
      <c r="G1067" s="16"/>
      <c r="H1067" s="16"/>
      <c r="I1067" s="16"/>
      <c r="J1067" s="16"/>
      <c r="K1067" s="16"/>
    </row>
    <row r="1068" spans="7:11" x14ac:dyDescent="0.25">
      <c r="G1068" s="16"/>
      <c r="H1068" s="16"/>
      <c r="I1068" s="16"/>
      <c r="J1068" s="16"/>
      <c r="K1068" s="16"/>
    </row>
    <row r="1069" spans="7:11" x14ac:dyDescent="0.25">
      <c r="G1069" s="16"/>
      <c r="H1069" s="16"/>
      <c r="I1069" s="16"/>
      <c r="J1069" s="16"/>
      <c r="K1069" s="16"/>
    </row>
    <row r="1070" spans="7:11" x14ac:dyDescent="0.25">
      <c r="G1070" s="16"/>
      <c r="H1070" s="16"/>
      <c r="I1070" s="16"/>
      <c r="J1070" s="16"/>
      <c r="K1070" s="16"/>
    </row>
    <row r="1071" spans="7:11" x14ac:dyDescent="0.25">
      <c r="G1071" s="16"/>
      <c r="H1071" s="16"/>
      <c r="I1071" s="16"/>
      <c r="J1071" s="16"/>
      <c r="K1071" s="16"/>
    </row>
    <row r="1072" spans="7:11" x14ac:dyDescent="0.25">
      <c r="G1072" s="16"/>
      <c r="H1072" s="16"/>
      <c r="I1072" s="16"/>
      <c r="J1072" s="16"/>
      <c r="K1072" s="16"/>
    </row>
    <row r="1073" spans="7:11" x14ac:dyDescent="0.25">
      <c r="G1073" s="16"/>
      <c r="H1073" s="16"/>
      <c r="I1073" s="16"/>
      <c r="J1073" s="16"/>
      <c r="K1073" s="16"/>
    </row>
    <row r="1074" spans="7:11" x14ac:dyDescent="0.25">
      <c r="G1074" s="16"/>
      <c r="H1074" s="16"/>
      <c r="I1074" s="16"/>
      <c r="J1074" s="16"/>
      <c r="K1074" s="16"/>
    </row>
    <row r="1075" spans="7:11" x14ac:dyDescent="0.25">
      <c r="G1075" s="16"/>
      <c r="H1075" s="16"/>
      <c r="I1075" s="16"/>
      <c r="J1075" s="16"/>
      <c r="K1075" s="16"/>
    </row>
    <row r="1076" spans="7:11" x14ac:dyDescent="0.25">
      <c r="G1076" s="16"/>
      <c r="H1076" s="16"/>
      <c r="I1076" s="16"/>
      <c r="J1076" s="16"/>
      <c r="K1076" s="16"/>
    </row>
  </sheetData>
  <mergeCells count="13">
    <mergeCell ref="A2:K2"/>
    <mergeCell ref="G52:H52"/>
    <mergeCell ref="I74:M74"/>
    <mergeCell ref="A52:F52"/>
    <mergeCell ref="G67:G71"/>
    <mergeCell ref="G73:M73"/>
    <mergeCell ref="G64:M64"/>
    <mergeCell ref="I83:M83"/>
    <mergeCell ref="G83:G84"/>
    <mergeCell ref="I65:M65"/>
    <mergeCell ref="G82:M82"/>
    <mergeCell ref="A13:K13"/>
    <mergeCell ref="G76:G80"/>
  </mergeCells>
  <conditionalFormatting sqref="I67:M71">
    <cfRule type="colorScale" priority="5">
      <colorScale>
        <cfvo type="min"/>
        <cfvo type="max"/>
        <color rgb="FFFFEF9C"/>
        <color rgb="FF63BE7B"/>
      </colorScale>
    </cfRule>
    <cfRule type="colorScale" priority="6">
      <colorScale>
        <cfvo type="min"/>
        <cfvo type="percentile" val="50"/>
        <cfvo type="max"/>
        <color rgb="FFF8696B"/>
        <color rgb="FFFFEB84"/>
        <color rgb="FF63BE7B"/>
      </colorScale>
    </cfRule>
  </conditionalFormatting>
  <conditionalFormatting sqref="I76:M80">
    <cfRule type="colorScale" priority="2">
      <colorScale>
        <cfvo type="min"/>
        <cfvo type="max"/>
        <color rgb="FFFFEF9C"/>
        <color rgb="FF63BE7B"/>
      </colorScale>
    </cfRule>
  </conditionalFormatting>
  <conditionalFormatting sqref="I85:M89">
    <cfRule type="colorScale" priority="1">
      <colorScale>
        <cfvo type="min"/>
        <cfvo type="max"/>
        <color rgb="FFFFEF9C"/>
        <color rgb="FF63BE7B"/>
      </colorScale>
    </cfRule>
  </conditionalFormatting>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B2E4D-77CE-4249-BEF5-5E6BD47C4C3E}">
  <sheetPr>
    <tabColor theme="8" tint="-0.249977111117893"/>
  </sheetPr>
  <dimension ref="A1:P193"/>
  <sheetViews>
    <sheetView showGridLines="0" zoomScaleNormal="145" workbookViewId="0">
      <pane xSplit="6" ySplit="2" topLeftCell="G3" activePane="bottomRight" state="frozen"/>
      <selection pane="topRight" activeCell="G1" sqref="G1"/>
      <selection pane="bottomLeft" activeCell="A3" sqref="A3"/>
      <selection pane="bottomRight" activeCell="B53" sqref="B53"/>
    </sheetView>
  </sheetViews>
  <sheetFormatPr defaultRowHeight="15" x14ac:dyDescent="0.25"/>
  <cols>
    <col min="1" max="5" width="2.140625" customWidth="1"/>
    <col min="6" max="6" width="31.42578125" customWidth="1"/>
    <col min="7" max="9" width="10" bestFit="1" customWidth="1"/>
    <col min="10" max="10" width="10" customWidth="1"/>
    <col min="11" max="11" width="10" bestFit="1" customWidth="1"/>
  </cols>
  <sheetData>
    <row r="1" spans="1:16" ht="24" thickBot="1" x14ac:dyDescent="0.4">
      <c r="A1" s="89" t="str">
        <f>company.name&amp;" Debt Schedule"</f>
        <v>Legends Inc. Debt Schedule</v>
      </c>
    </row>
    <row r="2" spans="1:16" ht="15.75" thickBot="1" x14ac:dyDescent="0.3">
      <c r="A2" s="120"/>
      <c r="B2" s="121"/>
      <c r="C2" s="121"/>
      <c r="D2" s="121"/>
      <c r="E2" s="121"/>
      <c r="F2" s="168"/>
      <c r="G2" s="85" cm="1">
        <f t="array" ref="G2:I2">dates.hist</f>
        <v>2022</v>
      </c>
      <c r="H2" s="85">
        <v>2023</v>
      </c>
      <c r="I2" s="85">
        <v>2024</v>
      </c>
      <c r="J2" s="88" t="s">
        <v>203</v>
      </c>
      <c r="K2" s="86" cm="1">
        <f t="array" ref="K2:O2">dates.forecast</f>
        <v>2025</v>
      </c>
      <c r="L2" s="86">
        <v>2026</v>
      </c>
      <c r="M2" s="86">
        <v>2027</v>
      </c>
      <c r="N2" s="86">
        <v>2028</v>
      </c>
      <c r="O2" s="87">
        <v>2029</v>
      </c>
      <c r="P2" s="157"/>
    </row>
    <row r="3" spans="1:16" x14ac:dyDescent="0.25">
      <c r="A3" s="123"/>
      <c r="B3" s="124" t="s">
        <v>93</v>
      </c>
      <c r="C3" s="124"/>
      <c r="D3" s="124"/>
      <c r="E3" s="124"/>
      <c r="F3" s="125"/>
      <c r="J3" s="57"/>
      <c r="P3" s="43"/>
    </row>
    <row r="4" spans="1:16" x14ac:dyDescent="0.25">
      <c r="A4" s="101"/>
      <c r="B4" s="102"/>
      <c r="C4" s="102" t="s">
        <v>94</v>
      </c>
      <c r="D4" s="102"/>
      <c r="E4" s="102"/>
      <c r="F4" s="103"/>
      <c r="G4" s="4">
        <v>2000</v>
      </c>
      <c r="H4" s="4">
        <v>1750</v>
      </c>
      <c r="I4" s="4">
        <v>1500</v>
      </c>
      <c r="J4" s="58"/>
      <c r="K4" s="4">
        <v>0</v>
      </c>
      <c r="L4" s="4">
        <f t="shared" ref="L4:P4" si="0">+K4</f>
        <v>0</v>
      </c>
      <c r="M4" s="4">
        <f t="shared" si="0"/>
        <v>0</v>
      </c>
      <c r="N4" s="4">
        <f t="shared" si="0"/>
        <v>0</v>
      </c>
      <c r="O4" s="4">
        <f t="shared" si="0"/>
        <v>0</v>
      </c>
      <c r="P4" s="23">
        <f t="shared" si="0"/>
        <v>0</v>
      </c>
    </row>
    <row r="5" spans="1:16" x14ac:dyDescent="0.25">
      <c r="A5" s="101"/>
      <c r="B5" s="102"/>
      <c r="C5" s="102" t="s">
        <v>95</v>
      </c>
      <c r="D5" s="102"/>
      <c r="E5" s="102"/>
      <c r="F5" s="103"/>
      <c r="G5" s="4">
        <v>2500</v>
      </c>
      <c r="H5" s="4">
        <f>+G5</f>
        <v>2500</v>
      </c>
      <c r="I5" s="4">
        <f>+H5</f>
        <v>2500</v>
      </c>
      <c r="J5" s="58"/>
      <c r="K5" s="4">
        <f>0</f>
        <v>0</v>
      </c>
      <c r="L5" s="4">
        <f>0</f>
        <v>0</v>
      </c>
      <c r="M5" s="4">
        <f>0</f>
        <v>0</v>
      </c>
      <c r="N5" s="4">
        <f>0</f>
        <v>0</v>
      </c>
      <c r="O5" s="4">
        <f>0</f>
        <v>0</v>
      </c>
      <c r="P5" s="23">
        <f>0</f>
        <v>0</v>
      </c>
    </row>
    <row r="6" spans="1:16" x14ac:dyDescent="0.25">
      <c r="A6" s="101"/>
      <c r="B6" s="102"/>
      <c r="C6" s="102" t="s">
        <v>96</v>
      </c>
      <c r="D6" s="102"/>
      <c r="E6" s="102"/>
      <c r="F6" s="103"/>
      <c r="G6" s="4">
        <v>3500</v>
      </c>
      <c r="H6" s="4">
        <v>3500</v>
      </c>
      <c r="I6" s="4">
        <v>1500</v>
      </c>
      <c r="J6" s="58"/>
      <c r="K6" s="4">
        <f>0</f>
        <v>0</v>
      </c>
      <c r="L6" s="4">
        <f t="shared" ref="L6:P6" si="1">+K6</f>
        <v>0</v>
      </c>
      <c r="M6" s="4">
        <f t="shared" si="1"/>
        <v>0</v>
      </c>
      <c r="N6" s="4">
        <f t="shared" si="1"/>
        <v>0</v>
      </c>
      <c r="O6" s="4">
        <f t="shared" si="1"/>
        <v>0</v>
      </c>
      <c r="P6" s="23">
        <f t="shared" si="1"/>
        <v>0</v>
      </c>
    </row>
    <row r="7" spans="1:16" x14ac:dyDescent="0.25">
      <c r="A7" s="101"/>
      <c r="B7" s="102"/>
      <c r="C7" s="102" t="s">
        <v>196</v>
      </c>
      <c r="D7" s="102"/>
      <c r="E7" s="102"/>
      <c r="F7" s="103"/>
      <c r="G7" s="4">
        <v>0</v>
      </c>
      <c r="H7" s="4">
        <v>0</v>
      </c>
      <c r="I7" s="4">
        <v>0</v>
      </c>
      <c r="J7" s="58">
        <f>LBO.Revolver</f>
        <v>18000</v>
      </c>
      <c r="K7" s="4">
        <f ca="1">J7+K26+K27</f>
        <v>15814.109361979317</v>
      </c>
      <c r="L7" s="4">
        <f t="shared" ref="L7:P7" ca="1" si="2">K7+L26+L27</f>
        <v>13445.450961751978</v>
      </c>
      <c r="M7" s="4">
        <f t="shared" ca="1" si="2"/>
        <v>10465.325578478016</v>
      </c>
      <c r="N7" s="4">
        <f t="shared" ca="1" si="2"/>
        <v>7149.9307191495245</v>
      </c>
      <c r="O7" s="4">
        <f t="shared" ca="1" si="2"/>
        <v>3304.3301739438393</v>
      </c>
      <c r="P7" s="23">
        <f t="shared" ca="1" si="2"/>
        <v>1804.3301739438393</v>
      </c>
    </row>
    <row r="8" spans="1:16" x14ac:dyDescent="0.25">
      <c r="A8" s="101"/>
      <c r="B8" s="102"/>
      <c r="C8" s="102" t="s">
        <v>197</v>
      </c>
      <c r="D8" s="102"/>
      <c r="E8" s="102"/>
      <c r="F8" s="103"/>
      <c r="G8" s="4">
        <v>0</v>
      </c>
      <c r="H8" s="4">
        <v>0</v>
      </c>
      <c r="I8" s="4">
        <v>0</v>
      </c>
      <c r="J8" s="58">
        <f t="shared" ref="J8:P8" si="3">LBO.junk</f>
        <v>18000</v>
      </c>
      <c r="K8" s="4">
        <f t="shared" si="3"/>
        <v>18000</v>
      </c>
      <c r="L8" s="4">
        <f t="shared" si="3"/>
        <v>18000</v>
      </c>
      <c r="M8" s="4">
        <f t="shared" si="3"/>
        <v>18000</v>
      </c>
      <c r="N8" s="4">
        <f t="shared" si="3"/>
        <v>18000</v>
      </c>
      <c r="O8" s="4">
        <f t="shared" si="3"/>
        <v>18000</v>
      </c>
      <c r="P8" s="23">
        <f t="shared" si="3"/>
        <v>18000</v>
      </c>
    </row>
    <row r="9" spans="1:16" x14ac:dyDescent="0.25">
      <c r="A9" s="101"/>
      <c r="B9" s="102" t="s">
        <v>97</v>
      </c>
      <c r="C9" s="102"/>
      <c r="D9" s="102"/>
      <c r="E9" s="102"/>
      <c r="F9" s="103"/>
      <c r="G9" s="7">
        <f t="shared" ref="G9:P9" si="4">SUM(G4:G8)</f>
        <v>8000</v>
      </c>
      <c r="H9" s="7">
        <f t="shared" si="4"/>
        <v>7750</v>
      </c>
      <c r="I9" s="7">
        <f t="shared" si="4"/>
        <v>5500</v>
      </c>
      <c r="J9" s="59">
        <f>SUM(J4:J8)</f>
        <v>36000</v>
      </c>
      <c r="K9" s="7">
        <f ca="1">SUM(K4:K8)</f>
        <v>33814.109361979317</v>
      </c>
      <c r="L9" s="7">
        <f t="shared" ca="1" si="4"/>
        <v>31445.45096175198</v>
      </c>
      <c r="M9" s="7">
        <f t="shared" ca="1" si="4"/>
        <v>28465.325578478016</v>
      </c>
      <c r="N9" s="7">
        <f t="shared" ca="1" si="4"/>
        <v>25149.930719149525</v>
      </c>
      <c r="O9" s="7">
        <f t="shared" ca="1" si="4"/>
        <v>21304.330173943839</v>
      </c>
      <c r="P9" s="78">
        <f t="shared" ca="1" si="4"/>
        <v>19804.330173943839</v>
      </c>
    </row>
    <row r="10" spans="1:16" x14ac:dyDescent="0.25">
      <c r="A10" s="101"/>
      <c r="B10" s="102"/>
      <c r="C10" s="102"/>
      <c r="D10" s="102"/>
      <c r="E10" s="102"/>
      <c r="F10" s="103"/>
      <c r="G10" s="19"/>
      <c r="H10" s="19"/>
      <c r="I10" s="19" t="s">
        <v>98</v>
      </c>
      <c r="J10" s="58"/>
      <c r="K10" s="19"/>
      <c r="L10" s="4"/>
      <c r="M10" s="4"/>
      <c r="N10" s="4"/>
      <c r="O10" s="4"/>
      <c r="P10" s="43"/>
    </row>
    <row r="11" spans="1:16" x14ac:dyDescent="0.25">
      <c r="A11" s="101"/>
      <c r="B11" s="102" t="s">
        <v>99</v>
      </c>
      <c r="C11" s="102"/>
      <c r="D11" s="102"/>
      <c r="E11" s="102"/>
      <c r="F11" s="103"/>
      <c r="G11" s="19"/>
      <c r="H11" s="19"/>
      <c r="I11" s="19"/>
      <c r="J11" s="58"/>
      <c r="K11" s="19"/>
      <c r="L11" s="4"/>
      <c r="M11" s="4"/>
      <c r="N11" s="4"/>
      <c r="O11" s="4"/>
      <c r="P11" s="43"/>
    </row>
    <row r="12" spans="1:16" x14ac:dyDescent="0.25">
      <c r="A12" s="101"/>
      <c r="B12" s="102"/>
      <c r="C12" s="102" t="str" cm="1">
        <f t="array" ref="C12:C16">+C4:C8</f>
        <v>Huntington</v>
      </c>
      <c r="D12" s="102"/>
      <c r="E12" s="102"/>
      <c r="F12" s="103"/>
      <c r="G12" s="151">
        <v>6.4500000000000002E-2</v>
      </c>
      <c r="H12" s="151">
        <f>+G12</f>
        <v>6.4500000000000002E-2</v>
      </c>
      <c r="I12" s="151">
        <f>+H12</f>
        <v>6.4500000000000002E-2</v>
      </c>
      <c r="J12" s="152"/>
      <c r="K12" s="151">
        <f>+I12</f>
        <v>6.4500000000000002E-2</v>
      </c>
      <c r="L12" s="151">
        <f t="shared" ref="L12:O12" si="5">+K12</f>
        <v>6.4500000000000002E-2</v>
      </c>
      <c r="M12" s="151">
        <f t="shared" si="5"/>
        <v>6.4500000000000002E-2</v>
      </c>
      <c r="N12" s="151">
        <f t="shared" si="5"/>
        <v>6.4500000000000002E-2</v>
      </c>
      <c r="O12" s="151">
        <f t="shared" si="5"/>
        <v>6.4500000000000002E-2</v>
      </c>
      <c r="P12" s="153"/>
    </row>
    <row r="13" spans="1:16" x14ac:dyDescent="0.25">
      <c r="A13" s="101"/>
      <c r="B13" s="102"/>
      <c r="C13" s="102" t="str">
        <v>PNC</v>
      </c>
      <c r="D13" s="102"/>
      <c r="E13" s="102"/>
      <c r="F13" s="103"/>
      <c r="G13" s="151">
        <v>7.2499999999999995E-2</v>
      </c>
      <c r="H13" s="151">
        <f t="shared" ref="H13:O16" si="6">+G13</f>
        <v>7.2499999999999995E-2</v>
      </c>
      <c r="I13" s="151">
        <f t="shared" si="6"/>
        <v>7.2499999999999995E-2</v>
      </c>
      <c r="J13" s="152"/>
      <c r="K13" s="151">
        <f>+I13</f>
        <v>7.2499999999999995E-2</v>
      </c>
      <c r="L13" s="151">
        <f t="shared" si="6"/>
        <v>7.2499999999999995E-2</v>
      </c>
      <c r="M13" s="151">
        <f t="shared" si="6"/>
        <v>7.2499999999999995E-2</v>
      </c>
      <c r="N13" s="151">
        <f t="shared" si="6"/>
        <v>7.2499999999999995E-2</v>
      </c>
      <c r="O13" s="151">
        <f t="shared" si="6"/>
        <v>7.2499999999999995E-2</v>
      </c>
      <c r="P13" s="153"/>
    </row>
    <row r="14" spans="1:16" x14ac:dyDescent="0.25">
      <c r="A14" s="101"/>
      <c r="B14" s="102"/>
      <c r="C14" s="102" t="str">
        <v>Keybank</v>
      </c>
      <c r="D14" s="102"/>
      <c r="E14" s="102"/>
      <c r="F14" s="103"/>
      <c r="G14" s="151">
        <v>6.1499999999999999E-2</v>
      </c>
      <c r="H14" s="151">
        <f t="shared" ref="H14:I14" si="7">+G14</f>
        <v>6.1499999999999999E-2</v>
      </c>
      <c r="I14" s="151">
        <f t="shared" si="7"/>
        <v>6.1499999999999999E-2</v>
      </c>
      <c r="J14" s="152"/>
      <c r="K14" s="151">
        <f>+I14</f>
        <v>6.1499999999999999E-2</v>
      </c>
      <c r="L14" s="151">
        <f t="shared" si="6"/>
        <v>6.1499999999999999E-2</v>
      </c>
      <c r="M14" s="151">
        <f t="shared" si="6"/>
        <v>6.1499999999999999E-2</v>
      </c>
      <c r="N14" s="151">
        <f t="shared" si="6"/>
        <v>6.1499999999999999E-2</v>
      </c>
      <c r="O14" s="151">
        <f t="shared" si="6"/>
        <v>6.1499999999999999E-2</v>
      </c>
      <c r="P14" s="153"/>
    </row>
    <row r="15" spans="1:16" x14ac:dyDescent="0.25">
      <c r="A15" s="101"/>
      <c r="B15" s="102"/>
      <c r="C15" s="102" t="str">
        <v>Revolver</v>
      </c>
      <c r="D15" s="102"/>
      <c r="E15" s="102"/>
      <c r="F15" s="103"/>
      <c r="G15" s="151">
        <v>0</v>
      </c>
      <c r="H15" s="151">
        <f t="shared" ref="H15:I15" si="8">+G15</f>
        <v>0</v>
      </c>
      <c r="I15" s="151">
        <f t="shared" si="8"/>
        <v>0</v>
      </c>
      <c r="J15" s="152"/>
      <c r="K15" s="151">
        <v>8.5000000000000006E-2</v>
      </c>
      <c r="L15" s="151">
        <f t="shared" si="6"/>
        <v>8.5000000000000006E-2</v>
      </c>
      <c r="M15" s="151">
        <f t="shared" si="6"/>
        <v>8.5000000000000006E-2</v>
      </c>
      <c r="N15" s="151">
        <f t="shared" si="6"/>
        <v>8.5000000000000006E-2</v>
      </c>
      <c r="O15" s="151">
        <f t="shared" si="6"/>
        <v>8.5000000000000006E-2</v>
      </c>
      <c r="P15" s="153"/>
    </row>
    <row r="16" spans="1:16" x14ac:dyDescent="0.25">
      <c r="A16" s="101"/>
      <c r="B16" s="102"/>
      <c r="C16" s="102" t="str">
        <v>Subordinated Debt</v>
      </c>
      <c r="D16" s="102"/>
      <c r="E16" s="102"/>
      <c r="F16" s="103"/>
      <c r="G16" s="151">
        <v>0</v>
      </c>
      <c r="H16" s="151">
        <f t="shared" ref="H16:I16" si="9">+G16</f>
        <v>0</v>
      </c>
      <c r="I16" s="151">
        <f t="shared" si="9"/>
        <v>0</v>
      </c>
      <c r="J16" s="152"/>
      <c r="K16" s="151">
        <v>0.11</v>
      </c>
      <c r="L16" s="151">
        <f t="shared" si="6"/>
        <v>0.11</v>
      </c>
      <c r="M16" s="151">
        <f t="shared" si="6"/>
        <v>0.11</v>
      </c>
      <c r="N16" s="151">
        <f t="shared" si="6"/>
        <v>0.11</v>
      </c>
      <c r="O16" s="151">
        <f t="shared" si="6"/>
        <v>0.11</v>
      </c>
      <c r="P16" s="153"/>
    </row>
    <row r="17" spans="1:16" x14ac:dyDescent="0.25">
      <c r="A17" s="101"/>
      <c r="B17" s="102"/>
      <c r="C17" s="102"/>
      <c r="D17" s="102"/>
      <c r="E17" s="102"/>
      <c r="F17" s="103"/>
      <c r="G17" s="19"/>
      <c r="H17" s="19"/>
      <c r="I17" s="154"/>
      <c r="J17" s="155"/>
      <c r="K17" s="19"/>
      <c r="L17" s="4"/>
      <c r="M17" s="4"/>
      <c r="N17" s="4"/>
      <c r="O17" s="4"/>
      <c r="P17" s="43"/>
    </row>
    <row r="18" spans="1:16" x14ac:dyDescent="0.25">
      <c r="A18" s="101"/>
      <c r="B18" s="102" t="s">
        <v>37</v>
      </c>
      <c r="C18" s="102"/>
      <c r="D18" s="102"/>
      <c r="E18" s="102"/>
      <c r="F18" s="103"/>
      <c r="G18" s="19">
        <f>SUMPRODUCT(G4:G8,G12:G16)</f>
        <v>525.5</v>
      </c>
      <c r="H18" s="19">
        <f t="shared" ref="H18:O18" si="10">SUMPRODUCT(H4:H8,H12:H16)</f>
        <v>509.375</v>
      </c>
      <c r="I18" s="19">
        <f t="shared" si="10"/>
        <v>370.25</v>
      </c>
      <c r="J18" s="58"/>
      <c r="K18" s="19">
        <f t="shared" ca="1" si="10"/>
        <v>3324.1992957682423</v>
      </c>
      <c r="L18" s="19">
        <f t="shared" ca="1" si="10"/>
        <v>3122.8633317489184</v>
      </c>
      <c r="M18" s="19">
        <f t="shared" ca="1" si="10"/>
        <v>2869.5526741706317</v>
      </c>
      <c r="N18" s="19">
        <f t="shared" ca="1" si="10"/>
        <v>2587.7441111277094</v>
      </c>
      <c r="O18" s="19">
        <f t="shared" ca="1" si="10"/>
        <v>2260.8680647852261</v>
      </c>
      <c r="P18" s="77"/>
    </row>
    <row r="19" spans="1:16" x14ac:dyDescent="0.25">
      <c r="A19" s="101"/>
      <c r="B19" s="102"/>
      <c r="C19" s="102"/>
      <c r="D19" s="102"/>
      <c r="E19" s="102"/>
      <c r="F19" s="103"/>
      <c r="G19" s="19"/>
      <c r="H19" s="19"/>
      <c r="I19" s="19"/>
      <c r="J19" s="58"/>
      <c r="K19" s="19"/>
      <c r="L19" s="4"/>
      <c r="M19" s="4"/>
      <c r="N19" s="4"/>
      <c r="O19" s="4"/>
      <c r="P19" s="43"/>
    </row>
    <row r="20" spans="1:16" x14ac:dyDescent="0.25">
      <c r="A20" s="101"/>
      <c r="B20" s="102" t="s">
        <v>204</v>
      </c>
      <c r="C20" s="102"/>
      <c r="D20" s="102"/>
      <c r="E20" s="102"/>
      <c r="F20" s="103"/>
      <c r="G20" s="19"/>
      <c r="H20" s="19"/>
      <c r="I20" s="19"/>
      <c r="J20" s="58"/>
      <c r="K20" s="19"/>
      <c r="L20" s="4"/>
      <c r="M20" s="4"/>
      <c r="N20" s="4"/>
      <c r="O20" s="4"/>
      <c r="P20" s="43"/>
    </row>
    <row r="21" spans="1:16" x14ac:dyDescent="0.25">
      <c r="A21" s="101"/>
      <c r="B21" s="102"/>
      <c r="C21" s="102" t="s">
        <v>100</v>
      </c>
      <c r="D21" s="102"/>
      <c r="E21" s="102"/>
      <c r="F21" s="103"/>
      <c r="G21" s="19">
        <f>+G9-H9</f>
        <v>250</v>
      </c>
      <c r="H21" s="19">
        <f t="shared" ref="H21" si="11">+H9-I9</f>
        <v>2250</v>
      </c>
      <c r="I21" s="19">
        <v>900</v>
      </c>
      <c r="J21" s="58">
        <f ca="1">J9-K9</f>
        <v>2185.8906380206827</v>
      </c>
      <c r="K21" s="19">
        <f ca="1">K9-L9</f>
        <v>2368.6584002273376</v>
      </c>
      <c r="L21" s="19">
        <f t="shared" ref="L21:O21" ca="1" si="12">L9-M9</f>
        <v>2980.125383273964</v>
      </c>
      <c r="M21" s="19">
        <f t="shared" ca="1" si="12"/>
        <v>3315.3948593284913</v>
      </c>
      <c r="N21" s="19">
        <f t="shared" ca="1" si="12"/>
        <v>3845.6005452056852</v>
      </c>
      <c r="O21" s="19">
        <f t="shared" ca="1" si="12"/>
        <v>1500</v>
      </c>
      <c r="P21" s="77"/>
    </row>
    <row r="22" spans="1:16" x14ac:dyDescent="0.25">
      <c r="A22" s="101"/>
      <c r="B22" s="102"/>
      <c r="C22" s="102" t="s">
        <v>64</v>
      </c>
      <c r="D22" s="102"/>
      <c r="E22" s="102"/>
      <c r="F22" s="103"/>
      <c r="G22" s="19">
        <f>+G9-G21</f>
        <v>7750</v>
      </c>
      <c r="H22" s="19">
        <f t="shared" ref="H22:O22" si="13">+H9-H21</f>
        <v>5500</v>
      </c>
      <c r="I22" s="19">
        <f t="shared" si="13"/>
        <v>4600</v>
      </c>
      <c r="J22" s="58">
        <f t="shared" ref="J22" ca="1" si="14">+J9-J21</f>
        <v>33814.109361979317</v>
      </c>
      <c r="K22" s="19">
        <f t="shared" ca="1" si="13"/>
        <v>31445.45096175198</v>
      </c>
      <c r="L22" s="19">
        <f t="shared" ca="1" si="13"/>
        <v>28465.325578478016</v>
      </c>
      <c r="M22" s="19">
        <f t="shared" ca="1" si="13"/>
        <v>25149.930719149525</v>
      </c>
      <c r="N22" s="19">
        <f t="shared" ca="1" si="13"/>
        <v>21304.330173943839</v>
      </c>
      <c r="O22" s="19">
        <f t="shared" ca="1" si="13"/>
        <v>19804.330173943839</v>
      </c>
      <c r="P22" s="77"/>
    </row>
    <row r="23" spans="1:16" x14ac:dyDescent="0.25">
      <c r="A23" s="101"/>
      <c r="B23" s="102"/>
      <c r="C23" s="102"/>
      <c r="D23" s="102"/>
      <c r="E23" s="102"/>
      <c r="F23" s="103"/>
      <c r="G23" s="4"/>
      <c r="H23" s="4"/>
      <c r="I23" s="4"/>
      <c r="J23" s="58"/>
      <c r="K23" s="4"/>
      <c r="L23" s="4"/>
      <c r="M23" s="4"/>
      <c r="N23" s="4"/>
      <c r="O23" s="4"/>
      <c r="P23" s="43"/>
    </row>
    <row r="24" spans="1:16" x14ac:dyDescent="0.25">
      <c r="A24" s="101"/>
      <c r="B24" s="102" t="s">
        <v>198</v>
      </c>
      <c r="C24" s="102"/>
      <c r="D24" s="102"/>
      <c r="E24" s="102"/>
      <c r="F24" s="103"/>
      <c r="G24" s="4"/>
      <c r="H24" s="4"/>
      <c r="I24" s="4"/>
      <c r="J24" s="58"/>
      <c r="K24" s="4"/>
      <c r="L24" s="4"/>
      <c r="M24" s="4"/>
      <c r="N24" s="4"/>
      <c r="O24" s="4"/>
      <c r="P24" s="43"/>
    </row>
    <row r="25" spans="1:16" x14ac:dyDescent="0.25">
      <c r="A25" s="101"/>
      <c r="B25" s="102"/>
      <c r="C25" s="102" t="s">
        <v>199</v>
      </c>
      <c r="D25" s="102"/>
      <c r="E25" s="102"/>
      <c r="F25" s="103"/>
      <c r="G25" s="4"/>
      <c r="H25" s="4"/>
      <c r="I25" s="4"/>
      <c r="J25" s="58"/>
      <c r="K25" s="4"/>
      <c r="L25" s="4"/>
      <c r="M25" s="4"/>
      <c r="N25" s="4"/>
      <c r="O25" s="4"/>
      <c r="P25" s="43"/>
    </row>
    <row r="26" spans="1:16" x14ac:dyDescent="0.25">
      <c r="A26" s="101"/>
      <c r="B26" s="102"/>
      <c r="C26" s="102"/>
      <c r="D26" s="102" t="s">
        <v>200</v>
      </c>
      <c r="E26" s="102"/>
      <c r="F26" s="103"/>
      <c r="G26" s="4"/>
      <c r="H26" s="4"/>
      <c r="I26" s="4"/>
      <c r="J26" s="58"/>
      <c r="K26" s="4">
        <f>-1500</f>
        <v>-1500</v>
      </c>
      <c r="L26" s="4">
        <f t="shared" ref="L26:P26" si="15">-1500</f>
        <v>-1500</v>
      </c>
      <c r="M26" s="4">
        <f t="shared" si="15"/>
        <v>-1500</v>
      </c>
      <c r="N26" s="4">
        <f t="shared" si="15"/>
        <v>-1500</v>
      </c>
      <c r="O26" s="4">
        <f t="shared" si="15"/>
        <v>-1500</v>
      </c>
      <c r="P26" s="23">
        <f t="shared" si="15"/>
        <v>-1500</v>
      </c>
    </row>
    <row r="27" spans="1:16" x14ac:dyDescent="0.25">
      <c r="A27" s="101"/>
      <c r="B27" s="102"/>
      <c r="C27" s="102"/>
      <c r="D27" s="102" t="s">
        <v>201</v>
      </c>
      <c r="E27" s="102"/>
      <c r="F27" s="103"/>
      <c r="G27" s="4"/>
      <c r="H27" s="4"/>
      <c r="I27" s="4"/>
      <c r="J27" s="58"/>
      <c r="K27" s="4" cm="1">
        <f t="array" aca="1" ref="K27:O27" ca="1">variable.paydown</f>
        <v>-685.89063802068176</v>
      </c>
      <c r="L27" s="4">
        <f ca="1"/>
        <v>-868.65840022733892</v>
      </c>
      <c r="M27" s="4">
        <f ca="1"/>
        <v>-1480.1253832739617</v>
      </c>
      <c r="N27" s="4">
        <f ca="1"/>
        <v>-1815.3948593284908</v>
      </c>
      <c r="O27" s="4">
        <f ca="1"/>
        <v>-2345.6005452056816</v>
      </c>
      <c r="P27" s="43"/>
    </row>
    <row r="28" spans="1:16" x14ac:dyDescent="0.25">
      <c r="A28" s="101"/>
      <c r="B28" s="102"/>
      <c r="C28" s="102"/>
      <c r="D28" s="102"/>
      <c r="E28" s="102"/>
      <c r="F28" s="103"/>
      <c r="G28" s="4"/>
      <c r="H28" s="4"/>
      <c r="I28" s="4"/>
      <c r="J28" s="58"/>
      <c r="K28" s="4"/>
      <c r="L28" s="4"/>
      <c r="M28" s="4"/>
      <c r="N28" s="4"/>
      <c r="O28" s="4"/>
      <c r="P28" s="43"/>
    </row>
    <row r="29" spans="1:16" x14ac:dyDescent="0.25">
      <c r="A29" s="101"/>
      <c r="B29" s="102" t="s">
        <v>206</v>
      </c>
      <c r="C29" s="102"/>
      <c r="D29" s="102"/>
      <c r="E29" s="102"/>
      <c r="F29" s="103"/>
      <c r="G29" s="4"/>
      <c r="H29" s="4"/>
      <c r="I29" s="4"/>
      <c r="J29" s="58"/>
      <c r="K29" s="4"/>
      <c r="L29" s="4"/>
      <c r="M29" s="4"/>
      <c r="N29" s="4"/>
      <c r="O29" s="4"/>
      <c r="P29" s="43"/>
    </row>
    <row r="30" spans="1:16" x14ac:dyDescent="0.25">
      <c r="A30" s="101"/>
      <c r="B30" s="102"/>
      <c r="C30" s="102" t="s">
        <v>207</v>
      </c>
      <c r="D30" s="102"/>
      <c r="E30" s="102"/>
      <c r="F30" s="103"/>
      <c r="G30" s="4"/>
      <c r="H30" s="4"/>
      <c r="I30" s="4"/>
      <c r="J30" s="58"/>
      <c r="K30" s="4"/>
      <c r="L30" s="4"/>
      <c r="M30" s="4"/>
      <c r="N30" s="4"/>
      <c r="O30" s="4"/>
      <c r="P30" s="43"/>
    </row>
    <row r="31" spans="1:16" x14ac:dyDescent="0.25">
      <c r="A31" s="101"/>
      <c r="B31" s="102"/>
      <c r="C31" s="102"/>
      <c r="D31" s="102" t="s">
        <v>40</v>
      </c>
      <c r="E31" s="102"/>
      <c r="F31" s="103"/>
      <c r="G31" s="4"/>
      <c r="H31" s="4"/>
      <c r="I31" s="4"/>
      <c r="J31" s="58"/>
      <c r="K31" s="4" cm="1">
        <f t="array" aca="1" ref="K31:O31" ca="1">f.net.income</f>
        <v>698.37543400136383</v>
      </c>
      <c r="L31" s="4">
        <f ca="1"/>
        <v>942.08058946095298</v>
      </c>
      <c r="M31" s="4">
        <f ca="1"/>
        <v>1316.4305540945677</v>
      </c>
      <c r="N31" s="4">
        <f ca="1"/>
        <v>1759.3792540080726</v>
      </c>
      <c r="O31" s="4">
        <f ca="1"/>
        <v>2189.155317042867</v>
      </c>
      <c r="P31" s="43"/>
    </row>
    <row r="32" spans="1:16" x14ac:dyDescent="0.25">
      <c r="A32" s="101"/>
      <c r="B32" s="102"/>
      <c r="C32" s="102"/>
      <c r="D32" s="102" t="s">
        <v>208</v>
      </c>
      <c r="E32" s="102"/>
      <c r="F32" s="103"/>
      <c r="G32" s="4"/>
      <c r="H32" s="4"/>
      <c r="I32" s="4"/>
      <c r="J32" s="58"/>
      <c r="K32" s="4"/>
      <c r="L32" s="4"/>
      <c r="M32" s="4"/>
      <c r="N32" s="4"/>
      <c r="O32" s="4"/>
      <c r="P32" s="43"/>
    </row>
    <row r="33" spans="1:16" x14ac:dyDescent="0.25">
      <c r="A33" s="101"/>
      <c r="B33" s="102"/>
      <c r="C33" s="102"/>
      <c r="D33" s="102"/>
      <c r="E33" s="102" t="s">
        <v>209</v>
      </c>
      <c r="F33" s="103"/>
      <c r="G33" s="4"/>
      <c r="H33" s="4"/>
      <c r="I33" s="4"/>
      <c r="J33" s="58"/>
      <c r="K33" s="4" cm="1">
        <f t="array" ref="K33:O33">P.F.DEPREC</f>
        <v>1000</v>
      </c>
      <c r="L33" s="4">
        <v>1000</v>
      </c>
      <c r="M33" s="4">
        <v>1000</v>
      </c>
      <c r="N33" s="4">
        <v>1000</v>
      </c>
      <c r="O33" s="4">
        <v>1000</v>
      </c>
      <c r="P33" s="43"/>
    </row>
    <row r="34" spans="1:16" x14ac:dyDescent="0.25">
      <c r="A34" s="101"/>
      <c r="B34" s="102"/>
      <c r="C34" s="102"/>
      <c r="D34" s="102"/>
      <c r="E34" s="102" t="s">
        <v>210</v>
      </c>
      <c r="F34" s="103"/>
      <c r="G34" s="4"/>
      <c r="H34" s="4"/>
      <c r="I34" s="4"/>
      <c r="J34" s="58"/>
      <c r="K34" s="4" cm="1">
        <f t="array" ref="K34:O34">P.F.AMORT</f>
        <v>2476.6996626755363</v>
      </c>
      <c r="L34" s="4">
        <v>2476.6996626755363</v>
      </c>
      <c r="M34" s="4">
        <v>2476.6996626755363</v>
      </c>
      <c r="N34" s="4">
        <v>2476.6996626755363</v>
      </c>
      <c r="O34" s="4">
        <v>2476.6996626755363</v>
      </c>
      <c r="P34" s="43"/>
    </row>
    <row r="35" spans="1:16" x14ac:dyDescent="0.25">
      <c r="A35" s="101"/>
      <c r="B35" s="102"/>
      <c r="C35" s="102"/>
      <c r="D35" s="102" t="s">
        <v>211</v>
      </c>
      <c r="E35" s="102"/>
      <c r="F35" s="103"/>
      <c r="G35" s="4"/>
      <c r="H35" s="4"/>
      <c r="I35" s="4"/>
      <c r="J35" s="58"/>
      <c r="K35" s="4">
        <v>0</v>
      </c>
      <c r="L35" s="4">
        <f>K35</f>
        <v>0</v>
      </c>
      <c r="M35" s="4">
        <f>L35</f>
        <v>0</v>
      </c>
      <c r="N35" s="4">
        <f t="shared" ref="N35:O35" si="16">M35</f>
        <v>0</v>
      </c>
      <c r="O35" s="4">
        <f t="shared" si="16"/>
        <v>0</v>
      </c>
      <c r="P35" s="43"/>
    </row>
    <row r="36" spans="1:16" x14ac:dyDescent="0.25">
      <c r="A36" s="101"/>
      <c r="B36" s="102"/>
      <c r="C36" s="102"/>
      <c r="D36" s="102" t="s">
        <v>79</v>
      </c>
      <c r="E36" s="102"/>
      <c r="F36" s="103"/>
      <c r="G36" s="4"/>
      <c r="H36" s="4"/>
      <c r="I36" s="4"/>
      <c r="J36" s="58"/>
      <c r="K36" s="4" cm="1">
        <f t="array" ref="K36:O36">F.delta.working.capital</f>
        <v>103.760860354123</v>
      </c>
      <c r="L36" s="4">
        <v>-37.265311300651774</v>
      </c>
      <c r="M36" s="4">
        <v>124.15692833142134</v>
      </c>
      <c r="N36" s="4">
        <v>-34.468438414073717</v>
      </c>
      <c r="O36" s="4">
        <v>137.95621789639767</v>
      </c>
      <c r="P36" s="43"/>
    </row>
    <row r="37" spans="1:16" x14ac:dyDescent="0.25">
      <c r="A37" s="101"/>
      <c r="B37" s="102"/>
      <c r="C37" s="102"/>
      <c r="D37" s="102" t="s">
        <v>82</v>
      </c>
      <c r="E37" s="102"/>
      <c r="F37" s="103"/>
      <c r="G37" s="4"/>
      <c r="H37" s="4"/>
      <c r="I37" s="4"/>
      <c r="J37" s="58"/>
      <c r="K37" s="4" cm="1">
        <f t="array" ref="K37:O37">-p.f.capex</f>
        <v>-1750</v>
      </c>
      <c r="L37" s="4">
        <v>-1750</v>
      </c>
      <c r="M37" s="4">
        <v>-1500</v>
      </c>
      <c r="N37" s="4">
        <v>-1500</v>
      </c>
      <c r="O37" s="4">
        <v>-1500</v>
      </c>
      <c r="P37" s="43"/>
    </row>
    <row r="38" spans="1:16" x14ac:dyDescent="0.25">
      <c r="A38" s="101"/>
      <c r="B38" s="102"/>
      <c r="C38" s="102" t="s">
        <v>215</v>
      </c>
      <c r="D38" s="102"/>
      <c r="E38" s="102"/>
      <c r="F38" s="103"/>
      <c r="G38" s="4"/>
      <c r="H38" s="4"/>
      <c r="I38" s="4"/>
      <c r="J38" s="58"/>
      <c r="K38" s="3">
        <f ca="1">SUM(K31:K37)</f>
        <v>2528.8359570310231</v>
      </c>
      <c r="L38" s="3">
        <f t="shared" ref="L38:O38" ca="1" si="17">SUM(L31:L37)</f>
        <v>2631.5149408358375</v>
      </c>
      <c r="M38" s="3">
        <f t="shared" ca="1" si="17"/>
        <v>3417.2871451015253</v>
      </c>
      <c r="N38" s="3">
        <f t="shared" ca="1" si="17"/>
        <v>3701.6104782695356</v>
      </c>
      <c r="O38" s="3">
        <f t="shared" ca="1" si="17"/>
        <v>4303.8111976148011</v>
      </c>
      <c r="P38" s="43"/>
    </row>
    <row r="39" spans="1:16" x14ac:dyDescent="0.25">
      <c r="A39" s="101"/>
      <c r="B39" s="102"/>
      <c r="C39" s="102"/>
      <c r="D39" s="102"/>
      <c r="E39" s="102"/>
      <c r="F39" s="103"/>
      <c r="G39" s="4"/>
      <c r="H39" s="4"/>
      <c r="I39" s="4"/>
      <c r="J39" s="58"/>
      <c r="K39" s="4"/>
      <c r="L39" s="4"/>
      <c r="M39" s="4"/>
      <c r="N39" s="4"/>
      <c r="O39" s="4"/>
      <c r="P39" s="43"/>
    </row>
    <row r="40" spans="1:16" x14ac:dyDescent="0.25">
      <c r="A40" s="101"/>
      <c r="B40" s="102"/>
      <c r="C40" s="102" t="s">
        <v>212</v>
      </c>
      <c r="D40" s="102"/>
      <c r="E40" s="102"/>
      <c r="F40" s="103"/>
      <c r="G40" s="4"/>
      <c r="H40" s="4"/>
      <c r="I40" s="4"/>
      <c r="J40" s="58"/>
      <c r="K40" s="4" cm="1">
        <f t="array" aca="1" ref="K40:O40" ca="1">f.cash</f>
        <v>5342.9453190103404</v>
      </c>
      <c r="L40" s="4">
        <f ca="1"/>
        <v>5605.8018596188404</v>
      </c>
      <c r="M40" s="4">
        <f ca="1"/>
        <v>6042.9636214464017</v>
      </c>
      <c r="N40" s="4">
        <f ca="1"/>
        <v>6429.1792403874424</v>
      </c>
      <c r="O40" s="4">
        <f ca="1"/>
        <v>6887.389892796562</v>
      </c>
      <c r="P40" s="43"/>
    </row>
    <row r="41" spans="1:16" x14ac:dyDescent="0.25">
      <c r="A41" s="101"/>
      <c r="B41" s="102"/>
      <c r="C41" s="102"/>
      <c r="D41" s="102" t="s">
        <v>213</v>
      </c>
      <c r="E41" s="102"/>
      <c r="F41" s="103"/>
      <c r="G41" s="4"/>
      <c r="H41" s="4"/>
      <c r="I41" s="4"/>
      <c r="J41" s="58"/>
      <c r="K41" s="4">
        <f>-min.cash</f>
        <v>-5000</v>
      </c>
      <c r="L41" s="4">
        <f>-min.cash</f>
        <v>-5000</v>
      </c>
      <c r="M41" s="4">
        <f>-min.cash</f>
        <v>-5000</v>
      </c>
      <c r="N41" s="4">
        <f>-min.cash</f>
        <v>-5000</v>
      </c>
      <c r="O41" s="4">
        <f>-min.cash</f>
        <v>-5000</v>
      </c>
      <c r="P41" s="43"/>
    </row>
    <row r="42" spans="1:16" x14ac:dyDescent="0.25">
      <c r="A42" s="101"/>
      <c r="B42" s="102"/>
      <c r="C42" s="102"/>
      <c r="D42" s="102" t="s">
        <v>214</v>
      </c>
      <c r="E42" s="102"/>
      <c r="F42" s="103"/>
      <c r="G42" s="4"/>
      <c r="H42" s="4"/>
      <c r="I42" s="4"/>
      <c r="J42" s="58"/>
      <c r="K42" s="4">
        <f ca="1">K38</f>
        <v>2528.8359570310231</v>
      </c>
      <c r="L42" s="4">
        <f t="shared" ref="L42:O42" ca="1" si="18">L38</f>
        <v>2631.5149408358375</v>
      </c>
      <c r="M42" s="4">
        <f t="shared" ca="1" si="18"/>
        <v>3417.2871451015253</v>
      </c>
      <c r="N42" s="4">
        <f t="shared" ca="1" si="18"/>
        <v>3701.6104782695356</v>
      </c>
      <c r="O42" s="4">
        <f t="shared" ca="1" si="18"/>
        <v>4303.8111976148011</v>
      </c>
      <c r="P42" s="43"/>
    </row>
    <row r="43" spans="1:16" x14ac:dyDescent="0.25">
      <c r="A43" s="101"/>
      <c r="B43" s="102"/>
      <c r="C43" s="102"/>
      <c r="D43" s="102"/>
      <c r="E43" s="102" t="s">
        <v>216</v>
      </c>
      <c r="F43" s="103"/>
      <c r="G43" s="4"/>
      <c r="H43" s="4"/>
      <c r="I43" s="4"/>
      <c r="J43" s="58"/>
      <c r="K43" s="3">
        <f ca="1">SUM(K40:K42)</f>
        <v>2871.7812760413635</v>
      </c>
      <c r="L43" s="3">
        <f t="shared" ref="L43:O43" ca="1" si="19">SUM(L40:L42)</f>
        <v>3237.3168004546778</v>
      </c>
      <c r="M43" s="3">
        <f t="shared" ca="1" si="19"/>
        <v>4460.250766547927</v>
      </c>
      <c r="N43" s="3">
        <f t="shared" ca="1" si="19"/>
        <v>5130.789718656978</v>
      </c>
      <c r="O43" s="3">
        <f t="shared" ca="1" si="19"/>
        <v>6191.2010904113631</v>
      </c>
      <c r="P43" s="43"/>
    </row>
    <row r="44" spans="1:16" x14ac:dyDescent="0.25">
      <c r="A44" s="101"/>
      <c r="B44" s="102"/>
      <c r="C44" s="102"/>
      <c r="D44" s="102"/>
      <c r="E44" s="102"/>
      <c r="F44" s="103" t="s">
        <v>217</v>
      </c>
      <c r="G44" s="4"/>
      <c r="H44" s="4"/>
      <c r="I44" s="4"/>
      <c r="J44" s="58"/>
      <c r="K44" s="4">
        <f>K26</f>
        <v>-1500</v>
      </c>
      <c r="L44" s="4">
        <f t="shared" ref="L44:O44" si="20">L26</f>
        <v>-1500</v>
      </c>
      <c r="M44" s="4">
        <f t="shared" si="20"/>
        <v>-1500</v>
      </c>
      <c r="N44" s="4">
        <f t="shared" si="20"/>
        <v>-1500</v>
      </c>
      <c r="O44" s="4">
        <f t="shared" si="20"/>
        <v>-1500</v>
      </c>
      <c r="P44" s="43"/>
    </row>
    <row r="45" spans="1:16" x14ac:dyDescent="0.25">
      <c r="A45" s="101"/>
      <c r="B45" s="102"/>
      <c r="C45" s="102"/>
      <c r="D45" s="102"/>
      <c r="E45" s="102" t="s">
        <v>218</v>
      </c>
      <c r="F45" s="103"/>
      <c r="G45" s="4"/>
      <c r="H45" s="4"/>
      <c r="I45" s="4"/>
      <c r="J45" s="58"/>
      <c r="K45" s="3">
        <f ca="1">SUM(K43:K44)</f>
        <v>1371.7812760413635</v>
      </c>
      <c r="L45" s="3">
        <f t="shared" ref="L45:O45" ca="1" si="21">SUM(L43:L44)</f>
        <v>1737.3168004546778</v>
      </c>
      <c r="M45" s="3">
        <f t="shared" ca="1" si="21"/>
        <v>2960.250766547927</v>
      </c>
      <c r="N45" s="3">
        <f t="shared" ca="1" si="21"/>
        <v>3630.789718656978</v>
      </c>
      <c r="O45" s="3">
        <f t="shared" ca="1" si="21"/>
        <v>4691.2010904113631</v>
      </c>
      <c r="P45" s="43"/>
    </row>
    <row r="46" spans="1:16" ht="15.75" thickBot="1" x14ac:dyDescent="0.3">
      <c r="A46" s="104"/>
      <c r="B46" s="105"/>
      <c r="C46" s="105"/>
      <c r="D46" s="105"/>
      <c r="E46" s="105"/>
      <c r="F46" s="106" t="s">
        <v>219</v>
      </c>
      <c r="G46" s="96"/>
      <c r="H46" s="96"/>
      <c r="I46" s="166">
        <v>0.5</v>
      </c>
      <c r="J46" s="156"/>
      <c r="K46" s="167" cm="1">
        <f t="array" aca="1" ref="K46:O46" ca="1">-I46*K45:O45</f>
        <v>-685.89063802068176</v>
      </c>
      <c r="L46" s="167">
        <f ca="1"/>
        <v>-868.65840022733892</v>
      </c>
      <c r="M46" s="167">
        <f ca="1"/>
        <v>-1480.1253832739635</v>
      </c>
      <c r="N46" s="167">
        <f ca="1"/>
        <v>-1815.394859328489</v>
      </c>
      <c r="O46" s="167">
        <f ca="1"/>
        <v>-2345.6005452056816</v>
      </c>
      <c r="P46" s="45"/>
    </row>
    <row r="47" spans="1:16" x14ac:dyDescent="0.25">
      <c r="G47" s="1"/>
      <c r="H47" s="1"/>
      <c r="I47" s="1"/>
      <c r="J47" s="1"/>
      <c r="K47" s="1"/>
      <c r="L47" s="1"/>
      <c r="M47" s="1"/>
      <c r="N47" s="1"/>
      <c r="O47" s="1"/>
    </row>
    <row r="48" spans="1:16" x14ac:dyDescent="0.25">
      <c r="G48" s="1"/>
      <c r="H48" s="1"/>
      <c r="I48" s="1"/>
      <c r="J48" s="1"/>
      <c r="K48" s="1"/>
      <c r="L48" s="1"/>
      <c r="M48" s="1"/>
      <c r="N48" s="1"/>
      <c r="O48" s="1"/>
    </row>
    <row r="49" spans="7:15" x14ac:dyDescent="0.25">
      <c r="G49" s="1"/>
      <c r="H49" s="1"/>
      <c r="I49" s="1"/>
      <c r="J49" s="1"/>
      <c r="K49" s="1"/>
      <c r="L49" s="1"/>
      <c r="M49" s="1"/>
      <c r="N49" s="1"/>
      <c r="O49" s="1"/>
    </row>
    <row r="50" spans="7:15" x14ac:dyDescent="0.25">
      <c r="G50" s="1"/>
      <c r="H50" s="1"/>
      <c r="I50" s="1"/>
      <c r="J50" s="1"/>
      <c r="K50" s="1"/>
      <c r="L50" s="1"/>
      <c r="M50" s="1"/>
      <c r="N50" s="1"/>
      <c r="O50" s="1"/>
    </row>
    <row r="51" spans="7:15" x14ac:dyDescent="0.25">
      <c r="G51" s="1"/>
      <c r="H51" s="1"/>
      <c r="I51" s="1"/>
      <c r="J51" s="1"/>
      <c r="K51" s="1"/>
      <c r="L51" s="1"/>
      <c r="M51" s="1"/>
      <c r="N51" s="1"/>
      <c r="O51" s="1"/>
    </row>
    <row r="52" spans="7:15" x14ac:dyDescent="0.25">
      <c r="G52" s="1"/>
      <c r="H52" s="1"/>
      <c r="I52" s="1"/>
      <c r="J52" s="1"/>
      <c r="K52" s="1"/>
      <c r="L52" s="1"/>
      <c r="M52" s="1"/>
      <c r="N52" s="1"/>
      <c r="O52" s="1"/>
    </row>
    <row r="53" spans="7:15" x14ac:dyDescent="0.25">
      <c r="G53" s="1"/>
      <c r="H53" s="1"/>
      <c r="I53" s="1"/>
      <c r="J53" s="1"/>
      <c r="K53" s="1"/>
      <c r="L53" s="1"/>
      <c r="M53" s="1"/>
      <c r="N53" s="1"/>
      <c r="O53" s="1"/>
    </row>
    <row r="54" spans="7:15" x14ac:dyDescent="0.25">
      <c r="G54" s="1"/>
      <c r="H54" s="1"/>
      <c r="I54" s="1"/>
      <c r="J54" s="1"/>
      <c r="K54" s="1"/>
      <c r="L54" s="1"/>
      <c r="M54" s="1"/>
      <c r="N54" s="1"/>
      <c r="O54" s="1"/>
    </row>
    <row r="55" spans="7:15" x14ac:dyDescent="0.25">
      <c r="G55" s="1"/>
      <c r="H55" s="1"/>
      <c r="I55" s="1"/>
      <c r="J55" s="1"/>
      <c r="K55" s="1"/>
      <c r="L55" s="1"/>
      <c r="M55" s="1"/>
      <c r="N55" s="1"/>
      <c r="O55" s="1"/>
    </row>
    <row r="56" spans="7:15" x14ac:dyDescent="0.25">
      <c r="G56" s="1"/>
      <c r="H56" s="1"/>
      <c r="I56" s="1"/>
      <c r="J56" s="1"/>
      <c r="K56" s="1"/>
      <c r="L56" s="1"/>
      <c r="M56" s="1"/>
      <c r="N56" s="1"/>
      <c r="O56" s="1"/>
    </row>
    <row r="57" spans="7:15" x14ac:dyDescent="0.25">
      <c r="G57" s="1"/>
      <c r="H57" s="1"/>
      <c r="I57" s="1"/>
      <c r="J57" s="1"/>
      <c r="K57" s="1"/>
      <c r="L57" s="1"/>
      <c r="M57" s="1"/>
      <c r="N57" s="1"/>
      <c r="O57" s="1"/>
    </row>
    <row r="58" spans="7:15" x14ac:dyDescent="0.25">
      <c r="G58" s="1"/>
      <c r="H58" s="1"/>
      <c r="I58" s="1"/>
      <c r="J58" s="1"/>
      <c r="K58" s="1"/>
      <c r="L58" s="1"/>
      <c r="M58" s="1"/>
      <c r="N58" s="1"/>
      <c r="O58" s="1"/>
    </row>
    <row r="59" spans="7:15" x14ac:dyDescent="0.25">
      <c r="G59" s="1"/>
      <c r="H59" s="1"/>
      <c r="I59" s="1"/>
      <c r="J59" s="1"/>
      <c r="K59" s="1"/>
      <c r="L59" s="1"/>
      <c r="M59" s="1"/>
      <c r="N59" s="1"/>
      <c r="O59" s="1"/>
    </row>
    <row r="60" spans="7:15" x14ac:dyDescent="0.25">
      <c r="G60" s="1"/>
      <c r="H60" s="1"/>
      <c r="I60" s="1"/>
      <c r="J60" s="1"/>
      <c r="K60" s="1"/>
      <c r="L60" s="1"/>
      <c r="M60" s="1"/>
      <c r="N60" s="1"/>
      <c r="O60" s="1"/>
    </row>
    <row r="61" spans="7:15" x14ac:dyDescent="0.25">
      <c r="G61" s="1"/>
      <c r="H61" s="1"/>
      <c r="I61" s="1"/>
      <c r="J61" s="1"/>
      <c r="K61" s="1"/>
      <c r="L61" s="1"/>
      <c r="M61" s="1"/>
      <c r="N61" s="1"/>
      <c r="O61" s="1"/>
    </row>
    <row r="62" spans="7:15" x14ac:dyDescent="0.25">
      <c r="G62" s="1"/>
      <c r="H62" s="1"/>
      <c r="I62" s="1"/>
      <c r="J62" s="1"/>
      <c r="K62" s="1"/>
      <c r="L62" s="1"/>
      <c r="M62" s="1"/>
      <c r="N62" s="1"/>
      <c r="O62" s="1"/>
    </row>
    <row r="63" spans="7:15" x14ac:dyDescent="0.25">
      <c r="G63" s="1"/>
      <c r="H63" s="1"/>
      <c r="I63" s="1"/>
      <c r="J63" s="1"/>
      <c r="K63" s="1"/>
      <c r="L63" s="1"/>
      <c r="M63" s="1"/>
      <c r="N63" s="1"/>
      <c r="O63" s="1"/>
    </row>
    <row r="64" spans="7:15" x14ac:dyDescent="0.25">
      <c r="G64" s="1"/>
      <c r="H64" s="1"/>
      <c r="I64" s="1"/>
      <c r="J64" s="1"/>
      <c r="K64" s="1"/>
      <c r="L64" s="1"/>
      <c r="M64" s="1"/>
      <c r="N64" s="1"/>
      <c r="O64" s="1"/>
    </row>
    <row r="65" spans="7:15" x14ac:dyDescent="0.25">
      <c r="G65" s="1"/>
      <c r="H65" s="1"/>
      <c r="I65" s="1"/>
      <c r="J65" s="1"/>
      <c r="K65" s="1"/>
      <c r="L65" s="1"/>
      <c r="M65" s="1"/>
      <c r="N65" s="1"/>
      <c r="O65" s="1"/>
    </row>
    <row r="66" spans="7:15" x14ac:dyDescent="0.25">
      <c r="G66" s="1"/>
      <c r="H66" s="1"/>
      <c r="I66" s="1"/>
      <c r="J66" s="1"/>
      <c r="K66" s="1"/>
      <c r="L66" s="1"/>
      <c r="M66" s="1"/>
      <c r="N66" s="1"/>
      <c r="O66" s="1"/>
    </row>
    <row r="67" spans="7:15" x14ac:dyDescent="0.25">
      <c r="G67" s="1"/>
      <c r="H67" s="1"/>
      <c r="I67" s="1"/>
      <c r="J67" s="1"/>
      <c r="K67" s="1"/>
      <c r="L67" s="1"/>
      <c r="M67" s="1"/>
      <c r="N67" s="1"/>
      <c r="O67" s="1"/>
    </row>
    <row r="68" spans="7:15" x14ac:dyDescent="0.25">
      <c r="G68" s="1"/>
      <c r="H68" s="1"/>
      <c r="I68" s="1"/>
      <c r="J68" s="1"/>
      <c r="K68" s="1"/>
      <c r="L68" s="1"/>
      <c r="M68" s="1"/>
      <c r="N68" s="1"/>
      <c r="O68" s="1"/>
    </row>
    <row r="69" spans="7:15" x14ac:dyDescent="0.25">
      <c r="G69" s="1"/>
      <c r="H69" s="1"/>
      <c r="I69" s="1"/>
      <c r="J69" s="1"/>
      <c r="K69" s="1"/>
      <c r="L69" s="1"/>
      <c r="M69" s="1"/>
      <c r="N69" s="1"/>
      <c r="O69" s="1"/>
    </row>
    <row r="70" spans="7:15" x14ac:dyDescent="0.25">
      <c r="G70" s="1"/>
      <c r="H70" s="1"/>
      <c r="I70" s="1"/>
      <c r="J70" s="1"/>
      <c r="K70" s="1"/>
      <c r="L70" s="1"/>
      <c r="M70" s="1"/>
      <c r="N70" s="1"/>
      <c r="O70" s="1"/>
    </row>
    <row r="71" spans="7:15" x14ac:dyDescent="0.25">
      <c r="G71" s="1"/>
      <c r="H71" s="1"/>
      <c r="I71" s="1"/>
      <c r="J71" s="1"/>
      <c r="K71" s="1"/>
      <c r="L71" s="1"/>
      <c r="M71" s="1"/>
      <c r="N71" s="1"/>
      <c r="O71" s="1"/>
    </row>
    <row r="72" spans="7:15" x14ac:dyDescent="0.25">
      <c r="G72" s="1"/>
      <c r="H72" s="1"/>
      <c r="I72" s="1"/>
      <c r="J72" s="1"/>
      <c r="K72" s="1"/>
      <c r="L72" s="1"/>
      <c r="M72" s="1"/>
      <c r="N72" s="1"/>
      <c r="O72" s="1"/>
    </row>
    <row r="73" spans="7:15" x14ac:dyDescent="0.25">
      <c r="G73" s="1"/>
      <c r="H73" s="1"/>
      <c r="I73" s="1"/>
      <c r="J73" s="1"/>
      <c r="K73" s="1"/>
      <c r="L73" s="1"/>
      <c r="M73" s="1"/>
      <c r="N73" s="1"/>
      <c r="O73" s="1"/>
    </row>
    <row r="74" spans="7:15" x14ac:dyDescent="0.25">
      <c r="G74" s="1"/>
      <c r="H74" s="1"/>
      <c r="I74" s="1"/>
      <c r="J74" s="1"/>
      <c r="K74" s="1"/>
      <c r="L74" s="1"/>
      <c r="M74" s="1"/>
      <c r="N74" s="1"/>
      <c r="O74" s="1"/>
    </row>
    <row r="75" spans="7:15" x14ac:dyDescent="0.25">
      <c r="G75" s="1"/>
      <c r="H75" s="1"/>
      <c r="I75" s="1"/>
      <c r="J75" s="1"/>
      <c r="K75" s="1"/>
      <c r="L75" s="1"/>
      <c r="M75" s="1"/>
      <c r="N75" s="1"/>
      <c r="O75" s="1"/>
    </row>
    <row r="76" spans="7:15" x14ac:dyDescent="0.25">
      <c r="G76" s="1"/>
      <c r="H76" s="1"/>
      <c r="I76" s="1"/>
      <c r="J76" s="1"/>
      <c r="K76" s="1"/>
      <c r="L76" s="1"/>
      <c r="M76" s="1"/>
      <c r="N76" s="1"/>
      <c r="O76" s="1"/>
    </row>
    <row r="77" spans="7:15" x14ac:dyDescent="0.25">
      <c r="G77" s="1"/>
      <c r="H77" s="1"/>
      <c r="I77" s="1"/>
      <c r="J77" s="1"/>
      <c r="K77" s="1"/>
      <c r="L77" s="1"/>
      <c r="M77" s="1"/>
      <c r="N77" s="1"/>
      <c r="O77" s="1"/>
    </row>
    <row r="78" spans="7:15" x14ac:dyDescent="0.25">
      <c r="G78" s="1"/>
      <c r="H78" s="1"/>
      <c r="I78" s="1"/>
      <c r="J78" s="1"/>
      <c r="K78" s="1"/>
      <c r="L78" s="1"/>
      <c r="M78" s="1"/>
      <c r="N78" s="1"/>
      <c r="O78" s="1"/>
    </row>
    <row r="79" spans="7:15" x14ac:dyDescent="0.25">
      <c r="G79" s="1"/>
      <c r="H79" s="1"/>
      <c r="I79" s="1"/>
      <c r="J79" s="1"/>
      <c r="K79" s="1"/>
      <c r="L79" s="1"/>
      <c r="M79" s="1"/>
      <c r="N79" s="1"/>
      <c r="O79" s="1"/>
    </row>
    <row r="80" spans="7:15" x14ac:dyDescent="0.25">
      <c r="G80" s="1"/>
      <c r="H80" s="1"/>
      <c r="I80" s="1"/>
      <c r="J80" s="1"/>
      <c r="K80" s="1"/>
      <c r="L80" s="1"/>
      <c r="M80" s="1"/>
      <c r="N80" s="1"/>
      <c r="O80" s="1"/>
    </row>
    <row r="81" spans="7:15" x14ac:dyDescent="0.25">
      <c r="G81" s="1"/>
      <c r="H81" s="1"/>
      <c r="I81" s="1"/>
      <c r="J81" s="1"/>
      <c r="K81" s="1"/>
      <c r="L81" s="1"/>
      <c r="M81" s="1"/>
      <c r="N81" s="1"/>
      <c r="O81" s="1"/>
    </row>
    <row r="82" spans="7:15" x14ac:dyDescent="0.25">
      <c r="G82" s="1"/>
      <c r="H82" s="1"/>
      <c r="I82" s="1"/>
      <c r="J82" s="1"/>
      <c r="K82" s="1"/>
      <c r="L82" s="1"/>
      <c r="M82" s="1"/>
      <c r="N82" s="1"/>
      <c r="O82" s="1"/>
    </row>
    <row r="83" spans="7:15" x14ac:dyDescent="0.25">
      <c r="G83" s="1"/>
      <c r="H83" s="1"/>
      <c r="I83" s="1"/>
      <c r="J83" s="1"/>
      <c r="K83" s="1"/>
      <c r="L83" s="1"/>
      <c r="M83" s="1"/>
      <c r="N83" s="1"/>
      <c r="O83" s="1"/>
    </row>
    <row r="84" spans="7:15" x14ac:dyDescent="0.25">
      <c r="G84" s="1"/>
      <c r="H84" s="1"/>
      <c r="I84" s="1"/>
      <c r="J84" s="1"/>
      <c r="K84" s="1"/>
      <c r="L84" s="1"/>
      <c r="M84" s="1"/>
      <c r="N84" s="1"/>
      <c r="O84" s="1"/>
    </row>
    <row r="85" spans="7:15" x14ac:dyDescent="0.25">
      <c r="G85" s="1"/>
      <c r="H85" s="1"/>
      <c r="I85" s="1"/>
      <c r="J85" s="1"/>
      <c r="K85" s="1"/>
      <c r="L85" s="1"/>
      <c r="M85" s="1"/>
      <c r="N85" s="1"/>
      <c r="O85" s="1"/>
    </row>
    <row r="86" spans="7:15" x14ac:dyDescent="0.25">
      <c r="G86" s="1"/>
      <c r="H86" s="1"/>
      <c r="I86" s="1"/>
      <c r="J86" s="1"/>
      <c r="K86" s="1"/>
      <c r="L86" s="1"/>
      <c r="M86" s="1"/>
      <c r="N86" s="1"/>
      <c r="O86" s="1"/>
    </row>
    <row r="87" spans="7:15" x14ac:dyDescent="0.25">
      <c r="G87" s="1"/>
      <c r="H87" s="1"/>
      <c r="I87" s="1"/>
      <c r="J87" s="1"/>
      <c r="K87" s="1"/>
      <c r="L87" s="1"/>
      <c r="M87" s="1"/>
      <c r="N87" s="1"/>
      <c r="O87" s="1"/>
    </row>
    <row r="88" spans="7:15" x14ac:dyDescent="0.25">
      <c r="G88" s="1"/>
      <c r="H88" s="1"/>
      <c r="I88" s="1"/>
      <c r="J88" s="1"/>
      <c r="K88" s="1"/>
      <c r="L88" s="1"/>
      <c r="M88" s="1"/>
      <c r="N88" s="1"/>
      <c r="O88" s="1"/>
    </row>
    <row r="89" spans="7:15" x14ac:dyDescent="0.25">
      <c r="G89" s="1"/>
      <c r="H89" s="1"/>
      <c r="I89" s="1"/>
      <c r="J89" s="1"/>
      <c r="K89" s="1"/>
      <c r="L89" s="1"/>
      <c r="M89" s="1"/>
      <c r="N89" s="1"/>
      <c r="O89" s="1"/>
    </row>
    <row r="90" spans="7:15" x14ac:dyDescent="0.25">
      <c r="G90" s="1"/>
      <c r="H90" s="1"/>
      <c r="I90" s="1"/>
      <c r="J90" s="1"/>
      <c r="K90" s="1"/>
      <c r="L90" s="1"/>
      <c r="M90" s="1"/>
      <c r="N90" s="1"/>
      <c r="O90" s="1"/>
    </row>
    <row r="91" spans="7:15" x14ac:dyDescent="0.25">
      <c r="G91" s="1"/>
      <c r="H91" s="1"/>
      <c r="I91" s="1"/>
      <c r="J91" s="1"/>
      <c r="K91" s="1"/>
      <c r="L91" s="1"/>
      <c r="M91" s="1"/>
      <c r="N91" s="1"/>
      <c r="O91" s="1"/>
    </row>
    <row r="92" spans="7:15" x14ac:dyDescent="0.25">
      <c r="G92" s="1"/>
      <c r="H92" s="1"/>
      <c r="I92" s="1"/>
      <c r="J92" s="1"/>
      <c r="K92" s="1"/>
      <c r="L92" s="1"/>
      <c r="M92" s="1"/>
      <c r="N92" s="1"/>
      <c r="O92" s="1"/>
    </row>
    <row r="93" spans="7:15" x14ac:dyDescent="0.25">
      <c r="G93" s="1"/>
      <c r="H93" s="1"/>
      <c r="I93" s="1"/>
      <c r="J93" s="1"/>
      <c r="K93" s="1"/>
      <c r="L93" s="1"/>
      <c r="M93" s="1"/>
      <c r="N93" s="1"/>
      <c r="O93" s="1"/>
    </row>
    <row r="94" spans="7:15" x14ac:dyDescent="0.25">
      <c r="G94" s="1"/>
      <c r="H94" s="1"/>
      <c r="I94" s="1"/>
      <c r="J94" s="1"/>
      <c r="K94" s="1"/>
      <c r="L94" s="1"/>
      <c r="M94" s="1"/>
      <c r="N94" s="1"/>
      <c r="O94" s="1"/>
    </row>
    <row r="95" spans="7:15" x14ac:dyDescent="0.25">
      <c r="G95" s="1"/>
      <c r="H95" s="1"/>
      <c r="I95" s="1"/>
      <c r="J95" s="1"/>
      <c r="K95" s="1"/>
      <c r="L95" s="1"/>
      <c r="M95" s="1"/>
      <c r="N95" s="1"/>
      <c r="O95" s="1"/>
    </row>
    <row r="96" spans="7:15" x14ac:dyDescent="0.25">
      <c r="G96" s="1"/>
      <c r="H96" s="1"/>
      <c r="I96" s="1"/>
      <c r="J96" s="1"/>
      <c r="K96" s="1"/>
      <c r="L96" s="1"/>
      <c r="M96" s="1"/>
      <c r="N96" s="1"/>
      <c r="O96" s="1"/>
    </row>
    <row r="97" spans="7:15" x14ac:dyDescent="0.25">
      <c r="G97" s="1"/>
      <c r="H97" s="1"/>
      <c r="I97" s="1"/>
      <c r="J97" s="1"/>
      <c r="K97" s="1"/>
      <c r="L97" s="1"/>
      <c r="M97" s="1"/>
      <c r="N97" s="1"/>
      <c r="O97" s="1"/>
    </row>
    <row r="98" spans="7:15" x14ac:dyDescent="0.25">
      <c r="G98" s="1"/>
      <c r="H98" s="1"/>
      <c r="I98" s="1"/>
      <c r="J98" s="1"/>
      <c r="K98" s="1"/>
      <c r="L98" s="1"/>
      <c r="M98" s="1"/>
      <c r="N98" s="1"/>
      <c r="O98" s="1"/>
    </row>
    <row r="99" spans="7:15" x14ac:dyDescent="0.25">
      <c r="G99" s="1"/>
      <c r="H99" s="1"/>
      <c r="I99" s="1"/>
      <c r="J99" s="1"/>
      <c r="K99" s="1"/>
      <c r="L99" s="1"/>
      <c r="M99" s="1"/>
      <c r="N99" s="1"/>
      <c r="O99" s="1"/>
    </row>
    <row r="100" spans="7:15" x14ac:dyDescent="0.25">
      <c r="G100" s="1"/>
      <c r="H100" s="1"/>
      <c r="I100" s="1"/>
      <c r="J100" s="1"/>
      <c r="K100" s="1"/>
      <c r="L100" s="1"/>
      <c r="M100" s="1"/>
      <c r="N100" s="1"/>
      <c r="O100" s="1"/>
    </row>
    <row r="101" spans="7:15" x14ac:dyDescent="0.25">
      <c r="G101" s="1"/>
      <c r="H101" s="1"/>
      <c r="I101" s="1"/>
      <c r="J101" s="1"/>
      <c r="K101" s="1"/>
      <c r="L101" s="1"/>
      <c r="M101" s="1"/>
      <c r="N101" s="1"/>
      <c r="O101" s="1"/>
    </row>
    <row r="102" spans="7:15" x14ac:dyDescent="0.25">
      <c r="G102" s="1"/>
      <c r="H102" s="1"/>
      <c r="I102" s="1"/>
      <c r="J102" s="1"/>
      <c r="K102" s="1"/>
      <c r="L102" s="1"/>
      <c r="M102" s="1"/>
      <c r="N102" s="1"/>
      <c r="O102" s="1"/>
    </row>
    <row r="103" spans="7:15" x14ac:dyDescent="0.25">
      <c r="G103" s="1"/>
      <c r="H103" s="1"/>
      <c r="I103" s="1"/>
      <c r="J103" s="1"/>
      <c r="K103" s="1"/>
      <c r="L103" s="1"/>
      <c r="M103" s="1"/>
      <c r="N103" s="1"/>
      <c r="O103" s="1"/>
    </row>
    <row r="104" spans="7:15" x14ac:dyDescent="0.25">
      <c r="G104" s="1"/>
      <c r="H104" s="1"/>
      <c r="I104" s="1"/>
      <c r="J104" s="1"/>
      <c r="K104" s="1"/>
      <c r="L104" s="1"/>
      <c r="M104" s="1"/>
      <c r="N104" s="1"/>
      <c r="O104" s="1"/>
    </row>
    <row r="105" spans="7:15" x14ac:dyDescent="0.25">
      <c r="G105" s="1"/>
      <c r="H105" s="1"/>
      <c r="I105" s="1"/>
      <c r="J105" s="1"/>
      <c r="K105" s="1"/>
      <c r="L105" s="1"/>
      <c r="M105" s="1"/>
      <c r="N105" s="1"/>
      <c r="O105" s="1"/>
    </row>
    <row r="106" spans="7:15" x14ac:dyDescent="0.25">
      <c r="G106" s="1"/>
      <c r="H106" s="1"/>
      <c r="I106" s="1"/>
      <c r="J106" s="1"/>
      <c r="K106" s="1"/>
      <c r="L106" s="1"/>
      <c r="M106" s="1"/>
      <c r="N106" s="1"/>
      <c r="O106" s="1"/>
    </row>
    <row r="107" spans="7:15" x14ac:dyDescent="0.25">
      <c r="G107" s="1"/>
      <c r="H107" s="1"/>
      <c r="I107" s="1"/>
      <c r="J107" s="1"/>
      <c r="K107" s="1"/>
      <c r="L107" s="1"/>
      <c r="M107" s="1"/>
      <c r="N107" s="1"/>
      <c r="O107" s="1"/>
    </row>
    <row r="108" spans="7:15" x14ac:dyDescent="0.25">
      <c r="G108" s="1"/>
      <c r="H108" s="1"/>
      <c r="I108" s="1"/>
      <c r="J108" s="1"/>
      <c r="K108" s="1"/>
      <c r="L108" s="1"/>
      <c r="M108" s="1"/>
      <c r="N108" s="1"/>
      <c r="O108" s="1"/>
    </row>
    <row r="109" spans="7:15" x14ac:dyDescent="0.25">
      <c r="G109" s="1"/>
      <c r="H109" s="1"/>
      <c r="I109" s="1"/>
      <c r="J109" s="1"/>
      <c r="K109" s="1"/>
      <c r="L109" s="1"/>
      <c r="M109" s="1"/>
      <c r="N109" s="1"/>
      <c r="O109" s="1"/>
    </row>
    <row r="110" spans="7:15" x14ac:dyDescent="0.25">
      <c r="G110" s="1"/>
      <c r="H110" s="1"/>
      <c r="I110" s="1"/>
      <c r="J110" s="1"/>
      <c r="K110" s="1"/>
      <c r="L110" s="1"/>
      <c r="M110" s="1"/>
      <c r="N110" s="1"/>
      <c r="O110" s="1"/>
    </row>
    <row r="111" spans="7:15" x14ac:dyDescent="0.25">
      <c r="G111" s="1"/>
      <c r="H111" s="1"/>
      <c r="I111" s="1"/>
      <c r="J111" s="1"/>
      <c r="K111" s="1"/>
      <c r="L111" s="1"/>
      <c r="M111" s="1"/>
      <c r="N111" s="1"/>
      <c r="O111" s="1"/>
    </row>
    <row r="112" spans="7:15" x14ac:dyDescent="0.25">
      <c r="G112" s="1"/>
      <c r="H112" s="1"/>
      <c r="I112" s="1"/>
      <c r="J112" s="1"/>
      <c r="K112" s="1"/>
      <c r="L112" s="1"/>
      <c r="M112" s="1"/>
      <c r="N112" s="1"/>
      <c r="O112" s="1"/>
    </row>
    <row r="113" spans="7:15" x14ac:dyDescent="0.25">
      <c r="G113" s="1"/>
      <c r="H113" s="1"/>
      <c r="I113" s="1"/>
      <c r="J113" s="1"/>
      <c r="K113" s="1"/>
      <c r="L113" s="1"/>
      <c r="M113" s="1"/>
      <c r="N113" s="1"/>
      <c r="O113" s="1"/>
    </row>
    <row r="114" spans="7:15" x14ac:dyDescent="0.25">
      <c r="G114" s="1"/>
      <c r="H114" s="1"/>
      <c r="I114" s="1"/>
      <c r="J114" s="1"/>
      <c r="K114" s="1"/>
      <c r="L114" s="1"/>
      <c r="M114" s="1"/>
      <c r="N114" s="1"/>
      <c r="O114" s="1"/>
    </row>
    <row r="115" spans="7:15" x14ac:dyDescent="0.25">
      <c r="G115" s="1"/>
      <c r="H115" s="1"/>
      <c r="I115" s="1"/>
      <c r="J115" s="1"/>
      <c r="K115" s="1"/>
      <c r="L115" s="1"/>
      <c r="M115" s="1"/>
      <c r="N115" s="1"/>
      <c r="O115" s="1"/>
    </row>
    <row r="116" spans="7:15" x14ac:dyDescent="0.25">
      <c r="G116" s="1"/>
      <c r="H116" s="1"/>
      <c r="I116" s="1"/>
      <c r="J116" s="1"/>
      <c r="K116" s="1"/>
      <c r="L116" s="1"/>
      <c r="M116" s="1"/>
      <c r="N116" s="1"/>
      <c r="O116" s="1"/>
    </row>
    <row r="117" spans="7:15" x14ac:dyDescent="0.25">
      <c r="G117" s="1"/>
      <c r="H117" s="1"/>
      <c r="I117" s="1"/>
      <c r="J117" s="1"/>
      <c r="K117" s="1"/>
      <c r="L117" s="1"/>
      <c r="M117" s="1"/>
      <c r="N117" s="1"/>
      <c r="O117" s="1"/>
    </row>
    <row r="118" spans="7:15" x14ac:dyDescent="0.25">
      <c r="G118" s="1"/>
      <c r="H118" s="1"/>
      <c r="I118" s="1"/>
      <c r="J118" s="1"/>
      <c r="K118" s="1"/>
      <c r="L118" s="1"/>
      <c r="M118" s="1"/>
      <c r="N118" s="1"/>
      <c r="O118" s="1"/>
    </row>
    <row r="119" spans="7:15" x14ac:dyDescent="0.25">
      <c r="G119" s="1"/>
      <c r="H119" s="1"/>
      <c r="I119" s="1"/>
      <c r="J119" s="1"/>
      <c r="K119" s="1"/>
      <c r="L119" s="1"/>
      <c r="M119" s="1"/>
      <c r="N119" s="1"/>
      <c r="O119" s="1"/>
    </row>
    <row r="120" spans="7:15" x14ac:dyDescent="0.25">
      <c r="G120" s="1"/>
      <c r="H120" s="1"/>
      <c r="I120" s="1"/>
      <c r="J120" s="1"/>
      <c r="K120" s="1"/>
      <c r="L120" s="1"/>
      <c r="M120" s="1"/>
      <c r="N120" s="1"/>
      <c r="O120" s="1"/>
    </row>
    <row r="121" spans="7:15" x14ac:dyDescent="0.25">
      <c r="G121" s="1"/>
      <c r="H121" s="1"/>
      <c r="I121" s="1"/>
      <c r="J121" s="1"/>
      <c r="K121" s="1"/>
      <c r="L121" s="1"/>
      <c r="M121" s="1"/>
      <c r="N121" s="1"/>
      <c r="O121" s="1"/>
    </row>
    <row r="122" spans="7:15" x14ac:dyDescent="0.25">
      <c r="G122" s="1"/>
      <c r="H122" s="1"/>
      <c r="I122" s="1"/>
      <c r="J122" s="1"/>
      <c r="K122" s="1"/>
      <c r="L122" s="1"/>
      <c r="M122" s="1"/>
      <c r="N122" s="1"/>
      <c r="O122" s="1"/>
    </row>
    <row r="123" spans="7:15" x14ac:dyDescent="0.25">
      <c r="G123" s="1"/>
      <c r="H123" s="1"/>
      <c r="I123" s="1"/>
      <c r="J123" s="1"/>
      <c r="K123" s="1"/>
      <c r="L123" s="1"/>
      <c r="M123" s="1"/>
      <c r="N123" s="1"/>
      <c r="O123" s="1"/>
    </row>
    <row r="124" spans="7:15" x14ac:dyDescent="0.25">
      <c r="G124" s="1"/>
      <c r="H124" s="1"/>
      <c r="I124" s="1"/>
      <c r="J124" s="1"/>
      <c r="K124" s="1"/>
      <c r="L124" s="1"/>
      <c r="M124" s="1"/>
      <c r="N124" s="1"/>
      <c r="O124" s="1"/>
    </row>
    <row r="125" spans="7:15" x14ac:dyDescent="0.25">
      <c r="G125" s="1"/>
      <c r="H125" s="1"/>
      <c r="I125" s="1"/>
      <c r="J125" s="1"/>
      <c r="K125" s="1"/>
      <c r="L125" s="1"/>
      <c r="M125" s="1"/>
      <c r="N125" s="1"/>
      <c r="O125" s="1"/>
    </row>
    <row r="126" spans="7:15" x14ac:dyDescent="0.25">
      <c r="G126" s="1"/>
      <c r="H126" s="1"/>
      <c r="I126" s="1"/>
      <c r="J126" s="1"/>
      <c r="K126" s="1"/>
      <c r="L126" s="1"/>
      <c r="M126" s="1"/>
      <c r="N126" s="1"/>
      <c r="O126" s="1"/>
    </row>
    <row r="127" spans="7:15" x14ac:dyDescent="0.25">
      <c r="G127" s="1"/>
      <c r="H127" s="1"/>
      <c r="I127" s="1"/>
      <c r="J127" s="1"/>
      <c r="K127" s="1"/>
      <c r="L127" s="1"/>
      <c r="M127" s="1"/>
      <c r="N127" s="1"/>
      <c r="O127" s="1"/>
    </row>
    <row r="128" spans="7:15" x14ac:dyDescent="0.25">
      <c r="G128" s="1"/>
      <c r="H128" s="1"/>
      <c r="I128" s="1"/>
      <c r="J128" s="1"/>
      <c r="K128" s="1"/>
      <c r="L128" s="1"/>
      <c r="M128" s="1"/>
      <c r="N128" s="1"/>
      <c r="O128" s="1"/>
    </row>
    <row r="129" spans="7:15" x14ac:dyDescent="0.25">
      <c r="G129" s="1"/>
      <c r="H129" s="1"/>
      <c r="I129" s="1"/>
      <c r="J129" s="1"/>
      <c r="K129" s="1"/>
      <c r="L129" s="1"/>
      <c r="M129" s="1"/>
      <c r="N129" s="1"/>
      <c r="O129" s="1"/>
    </row>
    <row r="130" spans="7:15" x14ac:dyDescent="0.25">
      <c r="G130" s="1"/>
      <c r="H130" s="1"/>
      <c r="I130" s="1"/>
      <c r="J130" s="1"/>
      <c r="K130" s="1"/>
      <c r="L130" s="1"/>
      <c r="M130" s="1"/>
      <c r="N130" s="1"/>
      <c r="O130" s="1"/>
    </row>
    <row r="131" spans="7:15" x14ac:dyDescent="0.25">
      <c r="G131" s="1"/>
      <c r="H131" s="1"/>
      <c r="I131" s="1"/>
      <c r="J131" s="1"/>
      <c r="K131" s="1"/>
      <c r="L131" s="1"/>
      <c r="M131" s="1"/>
      <c r="N131" s="1"/>
      <c r="O131" s="1"/>
    </row>
    <row r="132" spans="7:15" x14ac:dyDescent="0.25">
      <c r="G132" s="1"/>
      <c r="H132" s="1"/>
      <c r="I132" s="1"/>
      <c r="J132" s="1"/>
      <c r="K132" s="1"/>
      <c r="L132" s="1"/>
      <c r="M132" s="1"/>
      <c r="N132" s="1"/>
      <c r="O132" s="1"/>
    </row>
    <row r="133" spans="7:15" x14ac:dyDescent="0.25">
      <c r="G133" s="1"/>
      <c r="H133" s="1"/>
      <c r="I133" s="1"/>
      <c r="J133" s="1"/>
      <c r="K133" s="1"/>
      <c r="L133" s="1"/>
      <c r="M133" s="1"/>
      <c r="N133" s="1"/>
      <c r="O133" s="1"/>
    </row>
    <row r="134" spans="7:15" x14ac:dyDescent="0.25">
      <c r="G134" s="1"/>
      <c r="H134" s="1"/>
      <c r="I134" s="1"/>
      <c r="J134" s="1"/>
      <c r="K134" s="1"/>
      <c r="L134" s="1"/>
      <c r="M134" s="1"/>
      <c r="N134" s="1"/>
      <c r="O134" s="1"/>
    </row>
    <row r="135" spans="7:15" x14ac:dyDescent="0.25">
      <c r="G135" s="1"/>
      <c r="H135" s="1"/>
      <c r="I135" s="1"/>
      <c r="J135" s="1"/>
      <c r="K135" s="1"/>
      <c r="L135" s="1"/>
      <c r="M135" s="1"/>
      <c r="N135" s="1"/>
      <c r="O135" s="1"/>
    </row>
    <row r="136" spans="7:15" x14ac:dyDescent="0.25">
      <c r="G136" s="1"/>
      <c r="H136" s="1"/>
      <c r="I136" s="1"/>
      <c r="J136" s="1"/>
      <c r="K136" s="1"/>
      <c r="L136" s="1"/>
      <c r="M136" s="1"/>
      <c r="N136" s="1"/>
      <c r="O136" s="1"/>
    </row>
    <row r="137" spans="7:15" x14ac:dyDescent="0.25">
      <c r="G137" s="1"/>
      <c r="H137" s="1"/>
      <c r="I137" s="1"/>
      <c r="J137" s="1"/>
      <c r="K137" s="1"/>
      <c r="L137" s="1"/>
      <c r="M137" s="1"/>
      <c r="N137" s="1"/>
      <c r="O137" s="1"/>
    </row>
    <row r="138" spans="7:15" x14ac:dyDescent="0.25">
      <c r="G138" s="1"/>
      <c r="H138" s="1"/>
      <c r="I138" s="1"/>
      <c r="J138" s="1"/>
      <c r="K138" s="1"/>
      <c r="L138" s="1"/>
      <c r="M138" s="1"/>
      <c r="N138" s="1"/>
      <c r="O138" s="1"/>
    </row>
    <row r="139" spans="7:15" x14ac:dyDescent="0.25">
      <c r="G139" s="1"/>
      <c r="H139" s="1"/>
      <c r="I139" s="1"/>
      <c r="J139" s="1"/>
      <c r="K139" s="1"/>
      <c r="L139" s="1"/>
      <c r="M139" s="1"/>
      <c r="N139" s="1"/>
      <c r="O139" s="1"/>
    </row>
    <row r="140" spans="7:15" x14ac:dyDescent="0.25">
      <c r="G140" s="1"/>
      <c r="H140" s="1"/>
      <c r="I140" s="1"/>
      <c r="J140" s="1"/>
      <c r="K140" s="1"/>
      <c r="L140" s="1"/>
      <c r="M140" s="1"/>
      <c r="N140" s="1"/>
      <c r="O140" s="1"/>
    </row>
    <row r="141" spans="7:15" x14ac:dyDescent="0.25">
      <c r="G141" s="1"/>
      <c r="H141" s="1"/>
      <c r="I141" s="1"/>
      <c r="J141" s="1"/>
      <c r="K141" s="1"/>
      <c r="L141" s="1"/>
      <c r="M141" s="1"/>
      <c r="N141" s="1"/>
      <c r="O141" s="1"/>
    </row>
    <row r="142" spans="7:15" x14ac:dyDescent="0.25">
      <c r="G142" s="1"/>
      <c r="H142" s="1"/>
      <c r="I142" s="1"/>
      <c r="J142" s="1"/>
      <c r="K142" s="1"/>
      <c r="L142" s="1"/>
      <c r="M142" s="1"/>
      <c r="N142" s="1"/>
      <c r="O142" s="1"/>
    </row>
    <row r="143" spans="7:15" x14ac:dyDescent="0.25">
      <c r="G143" s="1"/>
      <c r="H143" s="1"/>
      <c r="I143" s="1"/>
      <c r="J143" s="1"/>
      <c r="K143" s="1"/>
      <c r="L143" s="1"/>
      <c r="M143" s="1"/>
      <c r="N143" s="1"/>
      <c r="O143" s="1"/>
    </row>
    <row r="144" spans="7:15" x14ac:dyDescent="0.25">
      <c r="G144" s="1"/>
      <c r="H144" s="1"/>
      <c r="I144" s="1"/>
      <c r="J144" s="1"/>
      <c r="K144" s="1"/>
      <c r="L144" s="1"/>
      <c r="M144" s="1"/>
      <c r="N144" s="1"/>
      <c r="O144" s="1"/>
    </row>
    <row r="145" spans="7:15" x14ac:dyDescent="0.25">
      <c r="G145" s="1"/>
      <c r="H145" s="1"/>
      <c r="I145" s="1"/>
      <c r="J145" s="1"/>
      <c r="K145" s="1"/>
      <c r="L145" s="1"/>
      <c r="M145" s="1"/>
      <c r="N145" s="1"/>
      <c r="O145" s="1"/>
    </row>
    <row r="146" spans="7:15" x14ac:dyDescent="0.25">
      <c r="G146" s="1"/>
      <c r="H146" s="1"/>
      <c r="I146" s="1"/>
      <c r="J146" s="1"/>
      <c r="K146" s="1"/>
      <c r="L146" s="1"/>
      <c r="M146" s="1"/>
      <c r="N146" s="1"/>
      <c r="O146" s="1"/>
    </row>
    <row r="147" spans="7:15" x14ac:dyDescent="0.25">
      <c r="G147" s="1"/>
      <c r="H147" s="1"/>
      <c r="I147" s="1"/>
      <c r="J147" s="1"/>
      <c r="K147" s="1"/>
      <c r="L147" s="1"/>
      <c r="M147" s="1"/>
      <c r="N147" s="1"/>
      <c r="O147" s="1"/>
    </row>
    <row r="148" spans="7:15" x14ac:dyDescent="0.25">
      <c r="G148" s="1"/>
      <c r="H148" s="1"/>
      <c r="I148" s="1"/>
      <c r="J148" s="1"/>
      <c r="K148" s="1"/>
      <c r="L148" s="1"/>
      <c r="M148" s="1"/>
      <c r="N148" s="1"/>
      <c r="O148" s="1"/>
    </row>
    <row r="149" spans="7:15" x14ac:dyDescent="0.25">
      <c r="G149" s="1"/>
      <c r="H149" s="1"/>
      <c r="I149" s="1"/>
      <c r="J149" s="1"/>
      <c r="K149" s="1"/>
      <c r="L149" s="1"/>
      <c r="M149" s="1"/>
      <c r="N149" s="1"/>
      <c r="O149" s="1"/>
    </row>
    <row r="150" spans="7:15" x14ac:dyDescent="0.25">
      <c r="G150" s="1"/>
      <c r="H150" s="1"/>
      <c r="I150" s="1"/>
      <c r="J150" s="1"/>
      <c r="K150" s="1"/>
      <c r="L150" s="1"/>
      <c r="M150" s="1"/>
      <c r="N150" s="1"/>
      <c r="O150" s="1"/>
    </row>
    <row r="151" spans="7:15" x14ac:dyDescent="0.25">
      <c r="G151" s="1"/>
      <c r="H151" s="1"/>
      <c r="I151" s="1"/>
      <c r="J151" s="1"/>
      <c r="K151" s="1"/>
      <c r="L151" s="1"/>
      <c r="M151" s="1"/>
      <c r="N151" s="1"/>
      <c r="O151" s="1"/>
    </row>
    <row r="152" spans="7:15" x14ac:dyDescent="0.25">
      <c r="G152" s="1"/>
      <c r="H152" s="1"/>
      <c r="I152" s="1"/>
      <c r="J152" s="1"/>
      <c r="K152" s="1"/>
      <c r="L152" s="1"/>
      <c r="M152" s="1"/>
      <c r="N152" s="1"/>
      <c r="O152" s="1"/>
    </row>
    <row r="153" spans="7:15" x14ac:dyDescent="0.25">
      <c r="G153" s="1"/>
      <c r="H153" s="1"/>
      <c r="I153" s="1"/>
      <c r="J153" s="1"/>
      <c r="K153" s="1"/>
      <c r="L153" s="1"/>
      <c r="M153" s="1"/>
      <c r="N153" s="1"/>
      <c r="O153" s="1"/>
    </row>
    <row r="154" spans="7:15" x14ac:dyDescent="0.25">
      <c r="G154" s="1"/>
      <c r="H154" s="1"/>
      <c r="I154" s="1"/>
      <c r="J154" s="1"/>
      <c r="K154" s="1"/>
      <c r="L154" s="1"/>
      <c r="M154" s="1"/>
      <c r="N154" s="1"/>
      <c r="O154" s="1"/>
    </row>
    <row r="155" spans="7:15" x14ac:dyDescent="0.25">
      <c r="G155" s="1"/>
      <c r="H155" s="1"/>
      <c r="I155" s="1"/>
      <c r="J155" s="1"/>
      <c r="K155" s="1"/>
      <c r="L155" s="1"/>
      <c r="M155" s="1"/>
      <c r="N155" s="1"/>
      <c r="O155" s="1"/>
    </row>
    <row r="156" spans="7:15" x14ac:dyDescent="0.25">
      <c r="G156" s="1"/>
      <c r="H156" s="1"/>
      <c r="I156" s="1"/>
      <c r="J156" s="1"/>
      <c r="K156" s="1"/>
      <c r="L156" s="1"/>
      <c r="M156" s="1"/>
      <c r="N156" s="1"/>
      <c r="O156" s="1"/>
    </row>
    <row r="157" spans="7:15" x14ac:dyDescent="0.25">
      <c r="G157" s="1"/>
      <c r="H157" s="1"/>
      <c r="I157" s="1"/>
      <c r="J157" s="1"/>
      <c r="K157" s="1"/>
      <c r="L157" s="1"/>
      <c r="M157" s="1"/>
      <c r="N157" s="1"/>
      <c r="O157" s="1"/>
    </row>
    <row r="158" spans="7:15" x14ac:dyDescent="0.25">
      <c r="G158" s="1"/>
      <c r="H158" s="1"/>
      <c r="I158" s="1"/>
      <c r="J158" s="1"/>
      <c r="K158" s="1"/>
      <c r="L158" s="1"/>
      <c r="M158" s="1"/>
      <c r="N158" s="1"/>
      <c r="O158" s="1"/>
    </row>
    <row r="159" spans="7:15" x14ac:dyDescent="0.25">
      <c r="G159" s="1"/>
      <c r="H159" s="1"/>
      <c r="I159" s="1"/>
      <c r="J159" s="1"/>
      <c r="K159" s="1"/>
      <c r="L159" s="1"/>
      <c r="M159" s="1"/>
      <c r="N159" s="1"/>
      <c r="O159" s="1"/>
    </row>
    <row r="160" spans="7:15" x14ac:dyDescent="0.25">
      <c r="G160" s="1"/>
      <c r="H160" s="1"/>
      <c r="I160" s="1"/>
      <c r="J160" s="1"/>
      <c r="K160" s="1"/>
      <c r="L160" s="1"/>
      <c r="M160" s="1"/>
      <c r="N160" s="1"/>
      <c r="O160" s="1"/>
    </row>
    <row r="161" spans="7:15" x14ac:dyDescent="0.25">
      <c r="G161" s="1"/>
      <c r="H161" s="1"/>
      <c r="I161" s="1"/>
      <c r="J161" s="1"/>
      <c r="K161" s="1"/>
      <c r="L161" s="1"/>
      <c r="M161" s="1"/>
      <c r="N161" s="1"/>
      <c r="O161" s="1"/>
    </row>
    <row r="162" spans="7:15" x14ac:dyDescent="0.25">
      <c r="G162" s="1"/>
      <c r="H162" s="1"/>
      <c r="I162" s="1"/>
      <c r="J162" s="1"/>
      <c r="K162" s="1"/>
      <c r="L162" s="1"/>
      <c r="M162" s="1"/>
      <c r="N162" s="1"/>
      <c r="O162" s="1"/>
    </row>
    <row r="163" spans="7:15" x14ac:dyDescent="0.25">
      <c r="G163" s="1"/>
      <c r="H163" s="1"/>
      <c r="I163" s="1"/>
      <c r="J163" s="1"/>
      <c r="K163" s="1"/>
      <c r="L163" s="1"/>
      <c r="M163" s="1"/>
      <c r="N163" s="1"/>
      <c r="O163" s="1"/>
    </row>
    <row r="164" spans="7:15" x14ac:dyDescent="0.25">
      <c r="G164" s="1"/>
      <c r="H164" s="1"/>
      <c r="I164" s="1"/>
      <c r="J164" s="1"/>
      <c r="K164" s="1"/>
      <c r="L164" s="1"/>
      <c r="M164" s="1"/>
      <c r="N164" s="1"/>
      <c r="O164" s="1"/>
    </row>
    <row r="165" spans="7:15" x14ac:dyDescent="0.25">
      <c r="G165" s="1"/>
      <c r="H165" s="1"/>
      <c r="I165" s="1"/>
      <c r="J165" s="1"/>
      <c r="K165" s="1"/>
      <c r="L165" s="1"/>
      <c r="M165" s="1"/>
      <c r="N165" s="1"/>
      <c r="O165" s="1"/>
    </row>
    <row r="166" spans="7:15" x14ac:dyDescent="0.25">
      <c r="G166" s="1"/>
      <c r="H166" s="1"/>
      <c r="I166" s="1"/>
      <c r="J166" s="1"/>
      <c r="K166" s="1"/>
      <c r="L166" s="1"/>
      <c r="M166" s="1"/>
      <c r="N166" s="1"/>
      <c r="O166" s="1"/>
    </row>
    <row r="167" spans="7:15" x14ac:dyDescent="0.25">
      <c r="G167" s="1"/>
      <c r="H167" s="1"/>
      <c r="I167" s="1"/>
      <c r="J167" s="1"/>
      <c r="K167" s="1"/>
      <c r="L167" s="1"/>
      <c r="M167" s="1"/>
      <c r="N167" s="1"/>
      <c r="O167" s="1"/>
    </row>
    <row r="168" spans="7:15" x14ac:dyDescent="0.25">
      <c r="G168" s="1"/>
      <c r="H168" s="1"/>
      <c r="I168" s="1"/>
      <c r="J168" s="1"/>
      <c r="K168" s="1"/>
      <c r="L168" s="1"/>
      <c r="M168" s="1"/>
      <c r="N168" s="1"/>
      <c r="O168" s="1"/>
    </row>
    <row r="169" spans="7:15" x14ac:dyDescent="0.25">
      <c r="G169" s="1"/>
      <c r="H169" s="1"/>
      <c r="I169" s="1"/>
      <c r="J169" s="1"/>
      <c r="K169" s="1"/>
      <c r="L169" s="1"/>
      <c r="M169" s="1"/>
      <c r="N169" s="1"/>
      <c r="O169" s="1"/>
    </row>
    <row r="170" spans="7:15" x14ac:dyDescent="0.25">
      <c r="G170" s="1"/>
      <c r="H170" s="1"/>
      <c r="I170" s="1"/>
      <c r="J170" s="1"/>
      <c r="K170" s="1"/>
      <c r="L170" s="1"/>
      <c r="M170" s="1"/>
      <c r="N170" s="1"/>
      <c r="O170" s="1"/>
    </row>
    <row r="171" spans="7:15" x14ac:dyDescent="0.25">
      <c r="G171" s="1"/>
      <c r="H171" s="1"/>
      <c r="I171" s="1"/>
      <c r="J171" s="1"/>
      <c r="K171" s="1"/>
      <c r="L171" s="1"/>
      <c r="M171" s="1"/>
      <c r="N171" s="1"/>
      <c r="O171" s="1"/>
    </row>
    <row r="172" spans="7:15" x14ac:dyDescent="0.25">
      <c r="G172" s="1"/>
      <c r="H172" s="1"/>
      <c r="I172" s="1"/>
      <c r="J172" s="1"/>
      <c r="K172" s="1"/>
      <c r="L172" s="1"/>
      <c r="M172" s="1"/>
      <c r="N172" s="1"/>
      <c r="O172" s="1"/>
    </row>
    <row r="173" spans="7:15" x14ac:dyDescent="0.25">
      <c r="G173" s="1"/>
      <c r="H173" s="1"/>
      <c r="I173" s="1"/>
      <c r="J173" s="1"/>
      <c r="K173" s="1"/>
      <c r="L173" s="1"/>
      <c r="M173" s="1"/>
      <c r="N173" s="1"/>
      <c r="O173" s="1"/>
    </row>
    <row r="174" spans="7:15" x14ac:dyDescent="0.25">
      <c r="G174" s="1"/>
      <c r="H174" s="1"/>
      <c r="I174" s="1"/>
      <c r="J174" s="1"/>
      <c r="K174" s="1"/>
      <c r="L174" s="1"/>
      <c r="M174" s="1"/>
      <c r="N174" s="1"/>
      <c r="O174" s="1"/>
    </row>
    <row r="175" spans="7:15" x14ac:dyDescent="0.25">
      <c r="G175" s="1"/>
      <c r="H175" s="1"/>
      <c r="I175" s="1"/>
      <c r="J175" s="1"/>
      <c r="K175" s="1"/>
      <c r="L175" s="1"/>
      <c r="M175" s="1"/>
      <c r="N175" s="1"/>
      <c r="O175" s="1"/>
    </row>
    <row r="176" spans="7:15" x14ac:dyDescent="0.25">
      <c r="G176" s="1"/>
      <c r="H176" s="1"/>
      <c r="I176" s="1"/>
      <c r="J176" s="1"/>
      <c r="K176" s="1"/>
      <c r="L176" s="1"/>
      <c r="M176" s="1"/>
      <c r="N176" s="1"/>
      <c r="O176" s="1"/>
    </row>
    <row r="177" spans="7:15" x14ac:dyDescent="0.25">
      <c r="G177" s="1"/>
      <c r="H177" s="1"/>
      <c r="I177" s="1"/>
      <c r="J177" s="1"/>
      <c r="K177" s="1"/>
      <c r="L177" s="1"/>
      <c r="M177" s="1"/>
      <c r="N177" s="1"/>
      <c r="O177" s="1"/>
    </row>
    <row r="178" spans="7:15" x14ac:dyDescent="0.25">
      <c r="G178" s="1"/>
      <c r="H178" s="1"/>
      <c r="I178" s="1"/>
      <c r="J178" s="1"/>
      <c r="K178" s="1"/>
      <c r="L178" s="1"/>
      <c r="M178" s="1"/>
      <c r="N178" s="1"/>
      <c r="O178" s="1"/>
    </row>
    <row r="179" spans="7:15" x14ac:dyDescent="0.25">
      <c r="G179" s="1"/>
      <c r="H179" s="1"/>
      <c r="I179" s="1"/>
      <c r="J179" s="1"/>
      <c r="K179" s="1"/>
      <c r="L179" s="1"/>
      <c r="M179" s="1"/>
      <c r="N179" s="1"/>
      <c r="O179" s="1"/>
    </row>
    <row r="180" spans="7:15" x14ac:dyDescent="0.25">
      <c r="G180" s="1"/>
      <c r="H180" s="1"/>
      <c r="I180" s="1"/>
      <c r="J180" s="1"/>
      <c r="K180" s="1"/>
      <c r="L180" s="1"/>
      <c r="M180" s="1"/>
      <c r="N180" s="1"/>
      <c r="O180" s="1"/>
    </row>
    <row r="181" spans="7:15" x14ac:dyDescent="0.25">
      <c r="G181" s="1"/>
      <c r="H181" s="1"/>
      <c r="I181" s="1"/>
      <c r="J181" s="1"/>
      <c r="K181" s="1"/>
      <c r="L181" s="1"/>
      <c r="M181" s="1"/>
      <c r="N181" s="1"/>
      <c r="O181" s="1"/>
    </row>
    <row r="182" spans="7:15" x14ac:dyDescent="0.25">
      <c r="G182" s="1"/>
      <c r="H182" s="1"/>
      <c r="I182" s="1"/>
      <c r="J182" s="1"/>
      <c r="K182" s="1"/>
      <c r="L182" s="1"/>
      <c r="M182" s="1"/>
      <c r="N182" s="1"/>
      <c r="O182" s="1"/>
    </row>
    <row r="183" spans="7:15" x14ac:dyDescent="0.25">
      <c r="G183" s="1"/>
      <c r="H183" s="1"/>
      <c r="I183" s="1"/>
      <c r="J183" s="1"/>
      <c r="K183" s="1"/>
      <c r="L183" s="1"/>
      <c r="M183" s="1"/>
      <c r="N183" s="1"/>
      <c r="O183" s="1"/>
    </row>
    <row r="184" spans="7:15" x14ac:dyDescent="0.25">
      <c r="G184" s="1"/>
      <c r="H184" s="1"/>
      <c r="I184" s="1"/>
      <c r="J184" s="1"/>
      <c r="K184" s="1"/>
      <c r="L184" s="1"/>
      <c r="M184" s="1"/>
      <c r="N184" s="1"/>
      <c r="O184" s="1"/>
    </row>
    <row r="185" spans="7:15" x14ac:dyDescent="0.25">
      <c r="G185" s="1"/>
      <c r="H185" s="1"/>
      <c r="I185" s="1"/>
      <c r="J185" s="1"/>
      <c r="K185" s="1"/>
      <c r="L185" s="1"/>
      <c r="M185" s="1"/>
      <c r="N185" s="1"/>
      <c r="O185" s="1"/>
    </row>
    <row r="186" spans="7:15" x14ac:dyDescent="0.25">
      <c r="G186" s="1"/>
      <c r="H186" s="1"/>
      <c r="I186" s="1"/>
      <c r="J186" s="1"/>
      <c r="K186" s="1"/>
      <c r="L186" s="1"/>
      <c r="M186" s="1"/>
      <c r="N186" s="1"/>
      <c r="O186" s="1"/>
    </row>
    <row r="187" spans="7:15" x14ac:dyDescent="0.25">
      <c r="G187" s="1"/>
      <c r="H187" s="1"/>
      <c r="I187" s="1"/>
      <c r="J187" s="1"/>
      <c r="K187" s="1"/>
      <c r="L187" s="1"/>
      <c r="M187" s="1"/>
      <c r="N187" s="1"/>
      <c r="O187" s="1"/>
    </row>
    <row r="188" spans="7:15" x14ac:dyDescent="0.25">
      <c r="G188" s="1"/>
      <c r="H188" s="1"/>
      <c r="I188" s="1"/>
      <c r="J188" s="1"/>
      <c r="K188" s="1"/>
      <c r="L188" s="1"/>
      <c r="M188" s="1"/>
      <c r="N188" s="1"/>
      <c r="O188" s="1"/>
    </row>
    <row r="189" spans="7:15" x14ac:dyDescent="0.25">
      <c r="G189" s="1"/>
      <c r="H189" s="1"/>
      <c r="I189" s="1"/>
      <c r="J189" s="1"/>
      <c r="K189" s="1"/>
      <c r="L189" s="1"/>
      <c r="M189" s="1"/>
      <c r="N189" s="1"/>
      <c r="O189" s="1"/>
    </row>
    <row r="190" spans="7:15" x14ac:dyDescent="0.25">
      <c r="G190" s="1"/>
      <c r="H190" s="1"/>
      <c r="I190" s="1"/>
      <c r="J190" s="1"/>
      <c r="K190" s="1"/>
      <c r="L190" s="1"/>
      <c r="M190" s="1"/>
      <c r="N190" s="1"/>
      <c r="O190" s="1"/>
    </row>
    <row r="191" spans="7:15" x14ac:dyDescent="0.25">
      <c r="G191" s="1"/>
      <c r="H191" s="1"/>
      <c r="I191" s="1"/>
      <c r="J191" s="1"/>
      <c r="K191" s="1"/>
      <c r="L191" s="1"/>
      <c r="M191" s="1"/>
      <c r="N191" s="1"/>
      <c r="O191" s="1"/>
    </row>
    <row r="192" spans="7:15" x14ac:dyDescent="0.25">
      <c r="G192" s="1"/>
      <c r="H192" s="1"/>
      <c r="I192" s="1"/>
      <c r="J192" s="1"/>
      <c r="K192" s="1"/>
      <c r="L192" s="1"/>
      <c r="M192" s="1"/>
      <c r="N192" s="1"/>
      <c r="O192" s="1"/>
    </row>
    <row r="193" spans="7:15" x14ac:dyDescent="0.25">
      <c r="G193" s="1"/>
      <c r="H193" s="1"/>
      <c r="I193" s="1"/>
      <c r="J193" s="1"/>
      <c r="K193" s="1"/>
      <c r="L193" s="1"/>
      <c r="M193" s="1"/>
      <c r="N193" s="1"/>
      <c r="O193"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169072ac-52dc-41f1-a821-76bfff1e5dd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20DF20968AC7D4CB2617F671BE73C82" ma:contentTypeVersion="10" ma:contentTypeDescription="Create a new document." ma:contentTypeScope="" ma:versionID="6593957669dad36ccc16c46c25941bcf">
  <xsd:schema xmlns:xsd="http://www.w3.org/2001/XMLSchema" xmlns:xs="http://www.w3.org/2001/XMLSchema" xmlns:p="http://schemas.microsoft.com/office/2006/metadata/properties" xmlns:ns3="169072ac-52dc-41f1-a821-76bfff1e5dd6" targetNamespace="http://schemas.microsoft.com/office/2006/metadata/properties" ma:root="true" ma:fieldsID="c6ac703fac2ee97fa3e9e69e993887a0" ns3:_="">
    <xsd:import namespace="169072ac-52dc-41f1-a821-76bfff1e5dd6"/>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_activity"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9072ac-52dc-41f1-a821-76bfff1e5d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8FBA1C3-48E6-4179-95AD-C4C5A2887651}">
  <ds:schemaRefs>
    <ds:schemaRef ds:uri="http://schemas.microsoft.com/sharepoint/v3/contenttype/forms"/>
  </ds:schemaRefs>
</ds:datastoreItem>
</file>

<file path=customXml/itemProps2.xml><?xml version="1.0" encoding="utf-8"?>
<ds:datastoreItem xmlns:ds="http://schemas.openxmlformats.org/officeDocument/2006/customXml" ds:itemID="{0A42C091-EACC-4FA0-9DE1-B203B446D806}">
  <ds:schemaRefs>
    <ds:schemaRef ds:uri="http://schemas.microsoft.com/office/2006/documentManagement/types"/>
    <ds:schemaRef ds:uri="http://purl.org/dc/elements/1.1/"/>
    <ds:schemaRef ds:uri="http://purl.org/dc/dcmitype/"/>
    <ds:schemaRef ds:uri="http://www.w3.org/XML/1998/namespace"/>
    <ds:schemaRef ds:uri="http://schemas.microsoft.com/office/infopath/2007/PartnerControls"/>
    <ds:schemaRef ds:uri="169072ac-52dc-41f1-a821-76bfff1e5dd6"/>
    <ds:schemaRef ds:uri="http://schemas.openxmlformats.org/package/2006/metadata/core-properties"/>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682DEECC-BB25-49FE-A81D-A5825C31DE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9072ac-52dc-41f1-a821-76bfff1e5dd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111</vt:i4>
      </vt:variant>
    </vt:vector>
  </HeadingPairs>
  <TitlesOfParts>
    <vt:vector size="117" baseType="lpstr">
      <vt:lpstr>Parms</vt:lpstr>
      <vt:lpstr>Transaction Summary</vt:lpstr>
      <vt:lpstr>LBO Returns</vt:lpstr>
      <vt:lpstr>Financial Statements</vt:lpstr>
      <vt:lpstr>DCF Model</vt:lpstr>
      <vt:lpstr>DebtSchedule</vt:lpstr>
      <vt:lpstr>CanYouRedo</vt:lpstr>
      <vt:lpstr>CLASSEBITDA</vt:lpstr>
      <vt:lpstr>company.name</vt:lpstr>
      <vt:lpstr>D.F.INTEREST</vt:lpstr>
      <vt:lpstr>D.F.Interest.Expense</vt:lpstr>
      <vt:lpstr>d.f.long.debt</vt:lpstr>
      <vt:lpstr>D.F.LTDebt</vt:lpstr>
      <vt:lpstr>d.f.short.debt\</vt:lpstr>
      <vt:lpstr>D.F.STDebt</vt:lpstr>
      <vt:lpstr>D.H.Interest.Expense</vt:lpstr>
      <vt:lpstr>D.H.LTDebt</vt:lpstr>
      <vt:lpstr>D.H.STDebt</vt:lpstr>
      <vt:lpstr>dates.forecast</vt:lpstr>
      <vt:lpstr>dates.hist</vt:lpstr>
      <vt:lpstr>DCF.Debt</vt:lpstr>
      <vt:lpstr>DCF.Equity</vt:lpstr>
      <vt:lpstr>dcf.fcf.y5</vt:lpstr>
      <vt:lpstr>DCF.Interest.Expense</vt:lpstr>
      <vt:lpstr>DCF.Pref.Stock</vt:lpstr>
      <vt:lpstr>DCF.Table</vt:lpstr>
      <vt:lpstr>dcf.terminal.ebitda</vt:lpstr>
      <vt:lpstr>dcf.terminaldc</vt:lpstr>
      <vt:lpstr>f.cash</vt:lpstr>
      <vt:lpstr>f.cash.financing</vt:lpstr>
      <vt:lpstr>f.cash.invest</vt:lpstr>
      <vt:lpstr>f.cash.investment</vt:lpstr>
      <vt:lpstr>F.cash.ops</vt:lpstr>
      <vt:lpstr>F.COGS</vt:lpstr>
      <vt:lpstr>F.delta.working.capital</vt:lpstr>
      <vt:lpstr>F.EBIT</vt:lpstr>
      <vt:lpstr>f.equity</vt:lpstr>
      <vt:lpstr>F.FIXED.COSTS</vt:lpstr>
      <vt:lpstr>F.MARGIN</vt:lpstr>
      <vt:lpstr>f.net.income</vt:lpstr>
      <vt:lpstr>F.REV</vt:lpstr>
      <vt:lpstr>goldman.fee</vt:lpstr>
      <vt:lpstr>H.Amort.Exp</vt:lpstr>
      <vt:lpstr>H.Capital</vt:lpstr>
      <vt:lpstr>H.Cash</vt:lpstr>
      <vt:lpstr>H.Cash.Financing</vt:lpstr>
      <vt:lpstr>H.Cash.From.Ops</vt:lpstr>
      <vt:lpstr>H.Cash.Investment</vt:lpstr>
      <vt:lpstr>H.COGS</vt:lpstr>
      <vt:lpstr>H.Depr.Exp</vt:lpstr>
      <vt:lpstr>H.EBIT</vt:lpstr>
      <vt:lpstr>H.Fixed.Costs</vt:lpstr>
      <vt:lpstr>H.Gross.Margin</vt:lpstr>
      <vt:lpstr>H.Net.Income</vt:lpstr>
      <vt:lpstr>H.Operating.Income</vt:lpstr>
      <vt:lpstr>H.Revenues</vt:lpstr>
      <vt:lpstr>H.Total.Assets</vt:lpstr>
      <vt:lpstr>hist.amort</vt:lpstr>
      <vt:lpstr>hist.cash</vt:lpstr>
      <vt:lpstr>hist.depreciation</vt:lpstr>
      <vt:lpstr>hist.EBIT</vt:lpstr>
      <vt:lpstr>LBO.Discount.Factors</vt:lpstr>
      <vt:lpstr>LBO.equity</vt:lpstr>
      <vt:lpstr>LBO.Goodwill</vt:lpstr>
      <vt:lpstr>LBO.junk</vt:lpstr>
      <vt:lpstr>lbo.ltdebt</vt:lpstr>
      <vt:lpstr>LBO.Revolver</vt:lpstr>
      <vt:lpstr>LBO.stdebt</vt:lpstr>
      <vt:lpstr>LBO.Unlevered.FCF</vt:lpstr>
      <vt:lpstr>min.cash</vt:lpstr>
      <vt:lpstr>p.f.acru.lia</vt:lpstr>
      <vt:lpstr>P.F.AMORT</vt:lpstr>
      <vt:lpstr>P.F.BUYBACK</vt:lpstr>
      <vt:lpstr>p.f.capex</vt:lpstr>
      <vt:lpstr>P.F.COGS</vt:lpstr>
      <vt:lpstr>P.F.DEPREC</vt:lpstr>
      <vt:lpstr>P.F.DIV</vt:lpstr>
      <vt:lpstr>P.F.FIXED.COST</vt:lpstr>
      <vt:lpstr>p.f.invent.cogs</vt:lpstr>
      <vt:lpstr>p.f.payable.days</vt:lpstr>
      <vt:lpstr>p.f.prepaid</vt:lpstr>
      <vt:lpstr>p.f.rec.days</vt:lpstr>
      <vt:lpstr>P.F.REV</vt:lpstr>
      <vt:lpstr>P.H.Accounts.Pay.Days</vt:lpstr>
      <vt:lpstr>P.H.Accounts.Rec.Days</vt:lpstr>
      <vt:lpstr>P.H.Accrued.Liabs</vt:lpstr>
      <vt:lpstr>P.H.Amortization.Expense</vt:lpstr>
      <vt:lpstr>P.H.Buybacks</vt:lpstr>
      <vt:lpstr>P.H.CAPEX</vt:lpstr>
      <vt:lpstr>P.H.COGS</vt:lpstr>
      <vt:lpstr>P.H.Depreciation.Expense</vt:lpstr>
      <vt:lpstr>P.H.Dividends</vt:lpstr>
      <vt:lpstr>P.H.Fixed.Costs</vt:lpstr>
      <vt:lpstr>P.H.Inventory.Days</vt:lpstr>
      <vt:lpstr>P.H.Prepaids</vt:lpstr>
      <vt:lpstr>P.H.Revenues</vt:lpstr>
      <vt:lpstr>PNC.fee</vt:lpstr>
      <vt:lpstr>rate.revolver</vt:lpstr>
      <vt:lpstr>rate.sub.debt</vt:lpstr>
      <vt:lpstr>Revolver</vt:lpstr>
      <vt:lpstr>shares.outstanding</vt:lpstr>
      <vt:lpstr>Starting.Acc.Dep</vt:lpstr>
      <vt:lpstr>starting.cash</vt:lpstr>
      <vt:lpstr>starting.goodwill</vt:lpstr>
      <vt:lpstr>Starting.PPE</vt:lpstr>
      <vt:lpstr>Sub.Debt</vt:lpstr>
      <vt:lpstr>table.gordon</vt:lpstr>
      <vt:lpstr>table.multiple</vt:lpstr>
      <vt:lpstr>tax.rate</vt:lpstr>
      <vt:lpstr>Term.Cash</vt:lpstr>
      <vt:lpstr>Term.EBITDA</vt:lpstr>
      <vt:lpstr>Term.Revolver</vt:lpstr>
      <vt:lpstr>Term.Sub.Debt</vt:lpstr>
      <vt:lpstr>tv.gordon</vt:lpstr>
      <vt:lpstr>tv.multiple</vt:lpstr>
      <vt:lpstr>variable.paydown</vt:lpstr>
      <vt:lpstr>wacc</vt:lpstr>
    </vt:vector>
  </TitlesOfParts>
  <Manager/>
  <Company>Kent State University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Pelleg, David</dc:creator>
  <cp:keywords/>
  <dc:description/>
  <cp:lastModifiedBy>Slomski, Dominic</cp:lastModifiedBy>
  <cp:revision/>
  <cp:lastPrinted>2025-11-06T19:13:18Z</cp:lastPrinted>
  <dcterms:created xsi:type="dcterms:W3CDTF">2024-02-27T20:59:42Z</dcterms:created>
  <dcterms:modified xsi:type="dcterms:W3CDTF">2025-12-30T02:25:30Z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0x010100C20DF20968AC7D4CB2617F671BE73C82</vt:lpwstr>
  </property>
</Properties>
</file>