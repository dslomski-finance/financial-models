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D:\Models\"/>
    </mc:Choice>
  </mc:AlternateContent>
  <xr:revisionPtr revIDLastSave="0" documentId="8_{B4C57441-5454-440C-BC32-5A9FC93EF9BA}" xr6:coauthVersionLast="47" xr6:coauthVersionMax="47" xr10:uidLastSave="{00000000-0000-0000-0000-000000000000}"/>
  <bookViews>
    <workbookView xWindow="-120" yWindow="-120" windowWidth="38640" windowHeight="21120" activeTab="2" xr2:uid="{AEFEC048-0415-4381-A2A8-055931931178}"/>
  </bookViews>
  <sheets>
    <sheet name="Parms" sheetId="1" r:id="rId1"/>
    <sheet name="Optimized Portfolios" sheetId="5" r:id="rId2"/>
    <sheet name="CAPM Graph" sheetId="6" r:id="rId3"/>
    <sheet name="Stock Prices" sheetId="2" r:id="rId4"/>
    <sheet name="Deltas" sheetId="3" r:id="rId5"/>
    <sheet name="Index" sheetId="4" r:id="rId6"/>
  </sheets>
  <definedNames>
    <definedName name="_xlpm.delta" hidden="1" xlm="1">#NAME?</definedName>
    <definedName name="_xlpm.index" hidden="1" xlm="1">#NAME?</definedName>
    <definedName name="_xlpm.music" hidden="1" xlm="1">#NAME?</definedName>
    <definedName name="_xlpm.returns" hidden="1" xlm="1">#NAME?</definedName>
    <definedName name="_xlpm.riskfree" hidden="1" xlm="1">#NAME?</definedName>
    <definedName name="_xlpm.static" hidden="1" xlm="1">#NAME?</definedName>
    <definedName name="bogey">'Optimized Portfolios'!$G$43</definedName>
    <definedName name="delta.tickers">Deltas!$B$2:$P$2</definedName>
    <definedName name="end.date">Parms!$F$3</definedName>
    <definedName name="Max.Portfolios">'Optimized Portfolios'!$T$45:$AA$46</definedName>
    <definedName name="Min.Portfolios">'Optimized Portfolios'!$L$45:$S$46</definedName>
    <definedName name="mkt.reward">'CAPM Graph'!$G$15</definedName>
    <definedName name="mkt.risk">'CAPM Graph'!$F$15</definedName>
    <definedName name="portfolio.daily.risk">'Optimized Portfolios'!$L$42</definedName>
    <definedName name="portfolio.return">'Optimized Portfolios'!$G$21</definedName>
    <definedName name="portfolio.risk">'Optimized Portfolios'!$G$22</definedName>
    <definedName name="riskfree.rate">'Optimized Portfolios'!$G$24</definedName>
    <definedName name="sharpe">'Optimized Portfolios'!$G$23</definedName>
    <definedName name="solver_adj" localSheetId="1" hidden="1">'Optimized Portfolios'!$G$4:$G$18</definedName>
    <definedName name="solver_cvg" localSheetId="1" hidden="1">0.0001</definedName>
    <definedName name="solver_drv" localSheetId="1" hidden="1">2</definedName>
    <definedName name="solver_eng" localSheetId="1" hidden="1">1</definedName>
    <definedName name="solver_est" localSheetId="1" hidden="1">1</definedName>
    <definedName name="solver_itr" localSheetId="1" hidden="1">2147483647</definedName>
    <definedName name="solver_lhs1" localSheetId="1" hidden="1">'Optimized Portfolios'!$G$19</definedName>
    <definedName name="solver_lhs2" localSheetId="1" hidden="1">'Optimized Portfolios'!$G$22</definedName>
    <definedName name="solver_lhs3" localSheetId="1" hidden="1">'Optimized Portfolios'!$G$4:$G$18</definedName>
    <definedName name="solver_lhs4" localSheetId="1" hidden="1">'Optimized Portfolios'!$G$4:$G$18</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4</definedName>
    <definedName name="solver_nwt" localSheetId="1" hidden="1">1</definedName>
    <definedName name="solver_opt" localSheetId="1" hidden="1">'Optimized Portfolios'!$G$23</definedName>
    <definedName name="solver_pre" localSheetId="1" hidden="1">0.000001</definedName>
    <definedName name="solver_rbv" localSheetId="1" hidden="1">2</definedName>
    <definedName name="solver_rel1" localSheetId="1" hidden="1">2</definedName>
    <definedName name="solver_rel2" localSheetId="1" hidden="1">2</definedName>
    <definedName name="solver_rel3" localSheetId="1" hidden="1">1</definedName>
    <definedName name="solver_rel4" localSheetId="1" hidden="1">3</definedName>
    <definedName name="solver_rhs1" localSheetId="1" hidden="1">100%</definedName>
    <definedName name="solver_rhs2" localSheetId="1" hidden="1">bogey</definedName>
    <definedName name="solver_rhs3" localSheetId="1" hidden="1">20%</definedName>
    <definedName name="solver_rhs4" localSheetId="1" hidden="1">2%</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 name="start.date">Parms!$F$2</definedName>
    <definedName name="stock.list">Parms!$C$5:$C$19</definedName>
    <definedName name="stock.names">Parms!$F$5:$F$19</definedName>
    <definedName name="stock.return">'Stock Prices'!$B$1:$P$1</definedName>
    <definedName name="stock.risk">Deltas!$B$1:$P$1</definedName>
    <definedName name="stock.tickers">Parms!$D$5:$D$19</definedName>
    <definedName name="table.deltas">Deltas!$B$3:$P$504</definedName>
    <definedName name="the.dates">'Stock Prices'!$A$6</definedName>
    <definedName name="the.weights">'Optimized Portfolios'!$G$4:$G$18</definedName>
  </definedNames>
  <calcPr calcId="191028"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6" l="1" a="1"/>
  <c r="H3" i="6" s="1"/>
  <c r="I3" i="6" a="1"/>
  <c r="I3" i="6" s="1"/>
  <c r="A3" i="6" a="1"/>
  <c r="A3" i="6" s="1"/>
  <c r="G48" i="5" l="1" a="1"/>
  <c r="G48" i="5" s="1"/>
  <c r="B4" i="2" a="1"/>
  <c r="B4" i="2" s="1"/>
  <c r="F6" i="1" a="1"/>
  <c r="F6" i="1" s="1"/>
  <c r="F7" i="1" a="1"/>
  <c r="F7" i="1" s="1"/>
  <c r="F8" i="1" a="1"/>
  <c r="F8" i="1" s="1"/>
  <c r="F9" i="1" a="1"/>
  <c r="F9" i="1" s="1"/>
  <c r="F10" i="1" a="1"/>
  <c r="F10" i="1" s="1"/>
  <c r="F11" i="1" a="1"/>
  <c r="F11" i="1" s="1"/>
  <c r="F12" i="1" a="1"/>
  <c r="F12" i="1" s="1"/>
  <c r="F13" i="1" a="1"/>
  <c r="F13" i="1" s="1"/>
  <c r="F14" i="1" a="1"/>
  <c r="F14" i="1" s="1"/>
  <c r="F15" i="1" a="1"/>
  <c r="F15" i="1" s="1"/>
  <c r="F16" i="1" a="1"/>
  <c r="F16" i="1" s="1"/>
  <c r="F17" i="1" a="1"/>
  <c r="F17" i="1" s="1"/>
  <c r="F18" i="1" a="1"/>
  <c r="F18" i="1" s="1"/>
  <c r="F19" i="1" a="1"/>
  <c r="F19" i="1" s="1"/>
  <c r="F5" i="1" a="1"/>
  <c r="F5" i="1" s="1"/>
  <c r="D5" i="1" a="1"/>
  <c r="D5" i="1" s="1"/>
  <c r="D6" i="1" a="1"/>
  <c r="D6" i="1" s="1"/>
  <c r="D7" i="1" a="1"/>
  <c r="D7" i="1" s="1"/>
  <c r="D8" i="1" a="1"/>
  <c r="D8" i="1" s="1"/>
  <c r="D9" i="1" a="1"/>
  <c r="D9" i="1" s="1"/>
  <c r="D10" i="1" a="1"/>
  <c r="D10" i="1" s="1"/>
  <c r="D11" i="1" a="1"/>
  <c r="D11" i="1" s="1"/>
  <c r="D12" i="1" a="1"/>
  <c r="D12" i="1" s="1"/>
  <c r="D13" i="1" a="1"/>
  <c r="D13" i="1" s="1"/>
  <c r="D14" i="1" a="1"/>
  <c r="D14" i="1" s="1"/>
  <c r="D15" i="1" a="1"/>
  <c r="D15" i="1" s="1"/>
  <c r="D16" i="1" a="1"/>
  <c r="D16" i="1" s="1"/>
  <c r="D17" i="1" a="1"/>
  <c r="D17" i="1" s="1"/>
  <c r="D18" i="1" a="1"/>
  <c r="D18" i="1" s="1"/>
  <c r="D19" i="1" a="1"/>
  <c r="D19" i="1" s="1"/>
  <c r="A6" i="2" a="1"/>
  <c r="K22" i="5" l="1" a="1"/>
  <c r="K22" i="5" s="1"/>
  <c r="L21" i="5" a="1"/>
  <c r="L21" i="5" s="1"/>
  <c r="K4" i="5" a="1"/>
  <c r="K4" i="5" s="1"/>
  <c r="L3" i="5" a="1"/>
  <c r="A6" i="2"/>
  <c r="B3" i="3" s="1" a="1"/>
  <c r="B3" i="3" s="1"/>
  <c r="B5" i="2" a="1"/>
  <c r="C4" i="5" a="1"/>
  <c r="C4" i="5" s="1"/>
  <c r="B2" i="3" a="1"/>
  <c r="B2" i="3" s="1"/>
  <c r="B5" i="4" a="1"/>
  <c r="B5" i="4" s="1"/>
  <c r="F4" i="5" a="1"/>
  <c r="F4" i="5" s="1"/>
  <c r="K6" i="2" a="1"/>
  <c r="F6" i="2" a="1"/>
  <c r="C6" i="2" a="1"/>
  <c r="N6" i="2" a="1"/>
  <c r="P6" i="2" a="1"/>
  <c r="L6" i="2" a="1"/>
  <c r="M6" i="2" a="1"/>
  <c r="E6" i="2" a="1"/>
  <c r="G6" i="2" a="1"/>
  <c r="I6" i="2" a="1"/>
  <c r="J6" i="2" l="1" a="1"/>
  <c r="J6" i="2" s="1"/>
  <c r="D6" i="2" a="1"/>
  <c r="D6" i="2" s="1"/>
  <c r="O6" i="2" a="1"/>
  <c r="O6" i="2" s="1"/>
  <c r="H6" i="2" a="1"/>
  <c r="H6" i="2" s="1"/>
  <c r="L38" i="5" a="1"/>
  <c r="L38" i="5" s="1"/>
  <c r="J22" i="5" a="1"/>
  <c r="B7" i="4" a="1"/>
  <c r="B7" i="4" s="1"/>
  <c r="L3" i="5"/>
  <c r="L22" i="5" s="1"/>
  <c r="E6" i="2"/>
  <c r="E3" i="3" s="1" a="1"/>
  <c r="E3" i="3" s="1"/>
  <c r="F6" i="2"/>
  <c r="F3" i="3" s="1" a="1"/>
  <c r="F3" i="3" s="1"/>
  <c r="G6" i="2"/>
  <c r="G3" i="3" s="1" a="1"/>
  <c r="G3" i="3" s="1"/>
  <c r="I6" i="2"/>
  <c r="K6" i="2"/>
  <c r="L6" i="2"/>
  <c r="M6" i="2"/>
  <c r="N6" i="2"/>
  <c r="P6" i="2"/>
  <c r="C6" i="2"/>
  <c r="C3" i="2"/>
  <c r="G19" i="5"/>
  <c r="B5" i="2"/>
  <c r="B2" i="2" a="1"/>
  <c r="B2" i="2" s="1"/>
  <c r="B1" i="2" s="1"/>
  <c r="A2" i="3" a="1"/>
  <c r="A2" i="3" s="1"/>
  <c r="A5" i="4" a="1"/>
  <c r="A5" i="4" s="1"/>
  <c r="B1" i="3"/>
  <c r="L25" i="5" l="1"/>
  <c r="L27" i="5"/>
  <c r="L26" i="5"/>
  <c r="J22" i="5"/>
  <c r="E2" i="2" a="1"/>
  <c r="E2" i="2" s="1"/>
  <c r="E1" i="2" s="1"/>
  <c r="G7" i="4" a="1"/>
  <c r="G7" i="4" s="1"/>
  <c r="Q27" i="5"/>
  <c r="Q26" i="5"/>
  <c r="Q25" i="5"/>
  <c r="Q22" i="5"/>
  <c r="P27" i="5"/>
  <c r="P26" i="5"/>
  <c r="P25" i="5"/>
  <c r="P22" i="5"/>
  <c r="O26" i="5"/>
  <c r="O25" i="5"/>
  <c r="O22" i="5"/>
  <c r="O27" i="5"/>
  <c r="F2" i="2" a="1"/>
  <c r="F2" i="2" s="1"/>
  <c r="F1" i="2" s="1"/>
  <c r="G2" i="2" a="1"/>
  <c r="G2" i="2" s="1"/>
  <c r="G1" i="2" s="1"/>
  <c r="P4" i="5"/>
  <c r="F7" i="4" a="1"/>
  <c r="F7" i="4" s="1"/>
  <c r="O4" i="5"/>
  <c r="E7" i="4" a="1"/>
  <c r="E7" i="4" s="1"/>
  <c r="P8" i="5"/>
  <c r="O8" i="5"/>
  <c r="Q8" i="5"/>
  <c r="Q9" i="5"/>
  <c r="P9" i="5"/>
  <c r="O9" i="5"/>
  <c r="Q7" i="5"/>
  <c r="P7" i="5"/>
  <c r="O7" i="5"/>
  <c r="L7" i="5"/>
  <c r="L9" i="5"/>
  <c r="L8" i="5"/>
  <c r="M2" i="2" a="1"/>
  <c r="M2" i="2" s="1"/>
  <c r="M1" i="2" s="1"/>
  <c r="M3" i="3" a="1"/>
  <c r="M3" i="3" s="1"/>
  <c r="P33" i="5" s="1"/>
  <c r="L2" i="2" a="1"/>
  <c r="L2" i="2" s="1"/>
  <c r="L1" i="2" s="1"/>
  <c r="L3" i="3" a="1"/>
  <c r="L3" i="3" s="1"/>
  <c r="Q32" i="5" s="1"/>
  <c r="K2" i="2" a="1"/>
  <c r="K2" i="2" s="1"/>
  <c r="K1" i="2" s="1"/>
  <c r="K3" i="3" a="1"/>
  <c r="K3" i="3" s="1"/>
  <c r="Q31" i="5" s="1"/>
  <c r="J2" i="2" a="1"/>
  <c r="J2" i="2" s="1"/>
  <c r="J1" i="2" s="1"/>
  <c r="J3" i="3" a="1"/>
  <c r="J3" i="3" s="1"/>
  <c r="P30" i="5" s="1"/>
  <c r="I2" i="2" a="1"/>
  <c r="I2" i="2" s="1"/>
  <c r="I1" i="2" s="1"/>
  <c r="I3" i="3" a="1"/>
  <c r="I3" i="3" s="1"/>
  <c r="O29" i="5" s="1"/>
  <c r="H2" i="2" a="1"/>
  <c r="H2" i="2" s="1"/>
  <c r="H1" i="2" s="1"/>
  <c r="H3" i="3" a="1"/>
  <c r="H3" i="3" s="1"/>
  <c r="P28" i="5" s="1"/>
  <c r="C2" i="2" a="1"/>
  <c r="C2" i="2" s="1"/>
  <c r="C1" i="2" s="1"/>
  <c r="C3" i="3" a="1"/>
  <c r="C3" i="3" s="1"/>
  <c r="Q23" i="5" s="1"/>
  <c r="Q4" i="5"/>
  <c r="D2" i="2" a="1"/>
  <c r="D2" i="2" s="1"/>
  <c r="D1" i="2" s="1"/>
  <c r="D3" i="3" a="1"/>
  <c r="P2" i="2" a="1"/>
  <c r="P2" i="2" s="1"/>
  <c r="P1" i="2" s="1"/>
  <c r="P3" i="3" a="1"/>
  <c r="P3" i="3" s="1"/>
  <c r="P36" i="5" s="1"/>
  <c r="O2" i="2" a="1"/>
  <c r="O2" i="2" s="1"/>
  <c r="O1" i="2" s="1"/>
  <c r="O3" i="3" a="1"/>
  <c r="O3" i="3" s="1"/>
  <c r="Q35" i="5" s="1"/>
  <c r="N2" i="2" a="1"/>
  <c r="N2" i="2" s="1"/>
  <c r="N1" i="2" s="1"/>
  <c r="N3" i="3" a="1"/>
  <c r="N3" i="3" s="1"/>
  <c r="O34" i="5" s="1"/>
  <c r="L4" i="5"/>
  <c r="G1" i="3"/>
  <c r="E1" i="3"/>
  <c r="F1" i="3"/>
  <c r="P35" i="5" l="1"/>
  <c r="Q33" i="5"/>
  <c r="L17" i="5"/>
  <c r="O33" i="5"/>
  <c r="O36" i="5"/>
  <c r="Q30" i="5"/>
  <c r="P29" i="5"/>
  <c r="H7" i="4" a="1"/>
  <c r="H7" i="4" s="1"/>
  <c r="R29" i="5"/>
  <c r="R27" i="5"/>
  <c r="R28" i="5"/>
  <c r="R26" i="5"/>
  <c r="R22" i="5"/>
  <c r="R36" i="5"/>
  <c r="R35" i="5"/>
  <c r="R34" i="5"/>
  <c r="R33" i="5"/>
  <c r="R25" i="5"/>
  <c r="R23" i="5"/>
  <c r="R32" i="5"/>
  <c r="R31" i="5"/>
  <c r="R30" i="5"/>
  <c r="L28" i="5"/>
  <c r="O28" i="5"/>
  <c r="Q29" i="5"/>
  <c r="Q36" i="5"/>
  <c r="O7" i="4" a="1"/>
  <c r="O7" i="4" s="1"/>
  <c r="Y36" i="5"/>
  <c r="Y29" i="5"/>
  <c r="Y35" i="5"/>
  <c r="Y34" i="5"/>
  <c r="Y26" i="5"/>
  <c r="Y25" i="5"/>
  <c r="Y33" i="5"/>
  <c r="Y30" i="5"/>
  <c r="Y28" i="5"/>
  <c r="Y32" i="5"/>
  <c r="Y31" i="5"/>
  <c r="Y27" i="5"/>
  <c r="Y23" i="5"/>
  <c r="Y22" i="5"/>
  <c r="L35" i="5"/>
  <c r="O23" i="5"/>
  <c r="K7" i="4" a="1"/>
  <c r="K7" i="4" s="1"/>
  <c r="U32" i="5"/>
  <c r="U31" i="5"/>
  <c r="U30" i="5"/>
  <c r="U33" i="5"/>
  <c r="U29" i="5"/>
  <c r="U28" i="5"/>
  <c r="U26" i="5"/>
  <c r="U25" i="5"/>
  <c r="U22" i="5"/>
  <c r="U36" i="5"/>
  <c r="U27" i="5"/>
  <c r="U23" i="5"/>
  <c r="U35" i="5"/>
  <c r="U34" i="5"/>
  <c r="L31" i="5"/>
  <c r="V33" i="5"/>
  <c r="V31" i="5"/>
  <c r="V32" i="5"/>
  <c r="V22" i="5"/>
  <c r="V30" i="5"/>
  <c r="V27" i="5"/>
  <c r="V26" i="5"/>
  <c r="V29" i="5"/>
  <c r="V25" i="5"/>
  <c r="V28" i="5"/>
  <c r="V23" i="5"/>
  <c r="V36" i="5"/>
  <c r="V35" i="5"/>
  <c r="V34" i="5"/>
  <c r="L32" i="5"/>
  <c r="O31" i="5"/>
  <c r="N7" i="4" a="1"/>
  <c r="N7" i="4" s="1"/>
  <c r="X35" i="5"/>
  <c r="X33" i="5"/>
  <c r="X25" i="5"/>
  <c r="X34" i="5"/>
  <c r="X27" i="5"/>
  <c r="X32" i="5"/>
  <c r="X31" i="5"/>
  <c r="X29" i="5"/>
  <c r="X28" i="5"/>
  <c r="X36" i="5"/>
  <c r="X30" i="5"/>
  <c r="X26" i="5"/>
  <c r="X23" i="5"/>
  <c r="X22" i="5"/>
  <c r="L34" i="5"/>
  <c r="P7" i="4" a="1"/>
  <c r="P7" i="4" s="1"/>
  <c r="Z23" i="5"/>
  <c r="Z35" i="5"/>
  <c r="Z22" i="5"/>
  <c r="Z36" i="5"/>
  <c r="Z30" i="5"/>
  <c r="Z34" i="5"/>
  <c r="Z33" i="5"/>
  <c r="Z32" i="5"/>
  <c r="Z31" i="5"/>
  <c r="Z29" i="5"/>
  <c r="Z28" i="5"/>
  <c r="Z27" i="5"/>
  <c r="Z26" i="5"/>
  <c r="Z25" i="5"/>
  <c r="L36" i="5"/>
  <c r="I7" i="4" a="1"/>
  <c r="I7" i="4" s="1"/>
  <c r="S30" i="5"/>
  <c r="S22" i="5"/>
  <c r="S29" i="5"/>
  <c r="S28" i="5"/>
  <c r="S34" i="5"/>
  <c r="S27" i="5"/>
  <c r="S26" i="5"/>
  <c r="S25" i="5"/>
  <c r="S36" i="5"/>
  <c r="S35" i="5"/>
  <c r="S23" i="5"/>
  <c r="S31" i="5"/>
  <c r="S33" i="5"/>
  <c r="S32" i="5"/>
  <c r="L29" i="5"/>
  <c r="Q34" i="5"/>
  <c r="P23" i="5"/>
  <c r="P34" i="5"/>
  <c r="M7" i="4" a="1"/>
  <c r="M7" i="4" s="1"/>
  <c r="W34" i="5"/>
  <c r="W26" i="5"/>
  <c r="W22" i="5"/>
  <c r="W33" i="5"/>
  <c r="W32" i="5"/>
  <c r="W31" i="5"/>
  <c r="W30" i="5"/>
  <c r="W29" i="5"/>
  <c r="W28" i="5"/>
  <c r="W27" i="5"/>
  <c r="W35" i="5"/>
  <c r="W25" i="5"/>
  <c r="W23" i="5"/>
  <c r="W36" i="5"/>
  <c r="L33" i="5"/>
  <c r="P31" i="5"/>
  <c r="C7" i="4" a="1"/>
  <c r="C7" i="4" s="1"/>
  <c r="M32" i="5"/>
  <c r="M23" i="5"/>
  <c r="M22" i="5"/>
  <c r="M34" i="5"/>
  <c r="M36" i="5"/>
  <c r="M35" i="5"/>
  <c r="M33" i="5"/>
  <c r="M30" i="5"/>
  <c r="M29" i="5"/>
  <c r="M28" i="5"/>
  <c r="M31" i="5"/>
  <c r="M27" i="5"/>
  <c r="M26" i="5"/>
  <c r="M25" i="5"/>
  <c r="L23" i="5"/>
  <c r="T31" i="5"/>
  <c r="T29" i="5"/>
  <c r="T30" i="5"/>
  <c r="T28" i="5"/>
  <c r="T32" i="5"/>
  <c r="T27" i="5"/>
  <c r="T36" i="5"/>
  <c r="T26" i="5"/>
  <c r="T25" i="5"/>
  <c r="T22" i="5"/>
  <c r="T35" i="5"/>
  <c r="T23" i="5"/>
  <c r="T34" i="5"/>
  <c r="T33" i="5"/>
  <c r="L30" i="5"/>
  <c r="O32" i="5"/>
  <c r="P32" i="5"/>
  <c r="Q28" i="5"/>
  <c r="O30" i="5"/>
  <c r="O35" i="5"/>
  <c r="L16" i="5"/>
  <c r="L18" i="5"/>
  <c r="L10" i="5"/>
  <c r="L14" i="5"/>
  <c r="L7" i="4" a="1"/>
  <c r="L7" i="4" s="1"/>
  <c r="L12" i="5"/>
  <c r="J7" i="4" a="1"/>
  <c r="J7" i="4" s="1"/>
  <c r="S17" i="5"/>
  <c r="S12" i="5"/>
  <c r="S10" i="5"/>
  <c r="S8" i="5"/>
  <c r="S16" i="5"/>
  <c r="S15" i="5"/>
  <c r="Q11" i="5"/>
  <c r="S7" i="5"/>
  <c r="O11" i="5"/>
  <c r="S13" i="5"/>
  <c r="S11" i="5"/>
  <c r="S14" i="5"/>
  <c r="P11" i="5"/>
  <c r="S18" i="5"/>
  <c r="S5" i="5"/>
  <c r="S9" i="5"/>
  <c r="U10" i="5"/>
  <c r="P13" i="5"/>
  <c r="U14" i="5"/>
  <c r="U9" i="5"/>
  <c r="Q13" i="5"/>
  <c r="U17" i="5"/>
  <c r="U18" i="5"/>
  <c r="U5" i="5"/>
  <c r="U8" i="5"/>
  <c r="U7" i="5"/>
  <c r="U15" i="5"/>
  <c r="U12" i="5"/>
  <c r="U13" i="5"/>
  <c r="U16" i="5"/>
  <c r="O13" i="5"/>
  <c r="U11" i="5"/>
  <c r="W4" i="5"/>
  <c r="W8" i="5"/>
  <c r="W13" i="5"/>
  <c r="W11" i="5"/>
  <c r="W12" i="5"/>
  <c r="W16" i="5"/>
  <c r="W18" i="5"/>
  <c r="W9" i="5"/>
  <c r="W10" i="5"/>
  <c r="O15" i="5"/>
  <c r="W17" i="5"/>
  <c r="W14" i="5"/>
  <c r="P15" i="5"/>
  <c r="W7" i="5"/>
  <c r="W5" i="5"/>
  <c r="W15" i="5"/>
  <c r="Q15" i="5"/>
  <c r="X14" i="5"/>
  <c r="X5" i="5"/>
  <c r="X15" i="5"/>
  <c r="O16" i="5"/>
  <c r="X13" i="5"/>
  <c r="X11" i="5"/>
  <c r="X8" i="5"/>
  <c r="P16" i="5"/>
  <c r="X12" i="5"/>
  <c r="X16" i="5"/>
  <c r="X18" i="5"/>
  <c r="Q16" i="5"/>
  <c r="X9" i="5"/>
  <c r="X17" i="5"/>
  <c r="X10" i="5"/>
  <c r="X7" i="5"/>
  <c r="Y7" i="5"/>
  <c r="Y10" i="5"/>
  <c r="Y5" i="5"/>
  <c r="Y15" i="5"/>
  <c r="Y14" i="5"/>
  <c r="Y13" i="5"/>
  <c r="Y11" i="5"/>
  <c r="O17" i="5"/>
  <c r="Y8" i="5"/>
  <c r="P17" i="5"/>
  <c r="Y12" i="5"/>
  <c r="Y18" i="5"/>
  <c r="Q17" i="5"/>
  <c r="Y17" i="5"/>
  <c r="Y16" i="5"/>
  <c r="Y9" i="5"/>
  <c r="L1" i="3"/>
  <c r="N1" i="3"/>
  <c r="Z4" i="5"/>
  <c r="Z12" i="5"/>
  <c r="Z18" i="5"/>
  <c r="Z9" i="5"/>
  <c r="Z16" i="5"/>
  <c r="Z17" i="5"/>
  <c r="Z7" i="5"/>
  <c r="Q18" i="5"/>
  <c r="Z5" i="5"/>
  <c r="Z15" i="5"/>
  <c r="Z13" i="5"/>
  <c r="Z10" i="5"/>
  <c r="Z14" i="5"/>
  <c r="Z11" i="5"/>
  <c r="O18" i="5"/>
  <c r="Z8" i="5"/>
  <c r="L15" i="5"/>
  <c r="M1" i="3"/>
  <c r="L13" i="5"/>
  <c r="L11" i="5"/>
  <c r="D1" i="3"/>
  <c r="M18" i="5"/>
  <c r="M5" i="5"/>
  <c r="M15" i="5"/>
  <c r="Q5" i="5"/>
  <c r="M10" i="5"/>
  <c r="M17" i="5"/>
  <c r="M9" i="5"/>
  <c r="M8" i="5"/>
  <c r="M13" i="5"/>
  <c r="M16" i="5"/>
  <c r="M14" i="5"/>
  <c r="O5" i="5"/>
  <c r="M7" i="5"/>
  <c r="M12" i="5"/>
  <c r="M11" i="5"/>
  <c r="L5" i="5"/>
  <c r="P18" i="5"/>
  <c r="T9" i="5"/>
  <c r="T18" i="5"/>
  <c r="T5" i="5"/>
  <c r="T17" i="5"/>
  <c r="O12" i="5"/>
  <c r="T10" i="5"/>
  <c r="T12" i="5"/>
  <c r="T8" i="5"/>
  <c r="P12" i="5"/>
  <c r="T15" i="5"/>
  <c r="T16" i="5"/>
  <c r="Q12" i="5"/>
  <c r="T13" i="5"/>
  <c r="T7" i="5"/>
  <c r="T11" i="5"/>
  <c r="T14" i="5"/>
  <c r="V16" i="5"/>
  <c r="Q14" i="5"/>
  <c r="V10" i="5"/>
  <c r="V9" i="5"/>
  <c r="V14" i="5"/>
  <c r="V17" i="5"/>
  <c r="V18" i="5"/>
  <c r="V5" i="5"/>
  <c r="V7" i="5"/>
  <c r="V8" i="5"/>
  <c r="V15" i="5"/>
  <c r="V11" i="5"/>
  <c r="V12" i="5"/>
  <c r="P14" i="5"/>
  <c r="V13" i="5"/>
  <c r="O14" i="5"/>
  <c r="H4" i="5" a="1"/>
  <c r="H4" i="5" s="1"/>
  <c r="G21" i="5" s="1"/>
  <c r="R16" i="5"/>
  <c r="R10" i="5"/>
  <c r="R8" i="5"/>
  <c r="R15" i="5"/>
  <c r="R7" i="5"/>
  <c r="R13" i="5"/>
  <c r="R14" i="5"/>
  <c r="R11" i="5"/>
  <c r="R18" i="5"/>
  <c r="O10" i="5"/>
  <c r="R5" i="5"/>
  <c r="P10" i="5"/>
  <c r="R9" i="5"/>
  <c r="R12" i="5"/>
  <c r="Q10" i="5"/>
  <c r="R17" i="5"/>
  <c r="P5" i="5"/>
  <c r="U4" i="5"/>
  <c r="V4" i="5"/>
  <c r="I1" i="3"/>
  <c r="X4" i="5"/>
  <c r="R4" i="5"/>
  <c r="S4" i="5"/>
  <c r="T4" i="5"/>
  <c r="Y4" i="5"/>
  <c r="H1" i="3"/>
  <c r="D3" i="3"/>
  <c r="U24" i="5" s="1"/>
  <c r="P1" i="3"/>
  <c r="O1" i="3"/>
  <c r="K1" i="3"/>
  <c r="M4" i="5"/>
  <c r="J1" i="3"/>
  <c r="C1" i="3"/>
  <c r="U39" i="5" l="1"/>
  <c r="U40" i="5" s="1"/>
  <c r="G45" i="5"/>
  <c r="Y24" i="5"/>
  <c r="Y39" i="5" s="1"/>
  <c r="Y40" i="5" s="1"/>
  <c r="W24" i="5"/>
  <c r="W39" i="5" s="1"/>
  <c r="W40" i="5" s="1"/>
  <c r="T24" i="5"/>
  <c r="T39" i="5" s="1"/>
  <c r="T40" i="5" s="1"/>
  <c r="R24" i="5"/>
  <c r="R39" i="5" s="1"/>
  <c r="R40" i="5" s="1"/>
  <c r="X24" i="5"/>
  <c r="X39" i="5" s="1"/>
  <c r="X40" i="5" s="1"/>
  <c r="Z24" i="5"/>
  <c r="Z39" i="5" s="1"/>
  <c r="Z40" i="5" s="1"/>
  <c r="S24" i="5"/>
  <c r="S39" i="5" s="1"/>
  <c r="S40" i="5" s="1"/>
  <c r="W6" i="5"/>
  <c r="N25" i="5"/>
  <c r="N24" i="5"/>
  <c r="N33" i="5"/>
  <c r="N29" i="5"/>
  <c r="N23" i="5"/>
  <c r="N22" i="5"/>
  <c r="N34" i="5"/>
  <c r="N31" i="5"/>
  <c r="N30" i="5"/>
  <c r="N36" i="5"/>
  <c r="N35" i="5"/>
  <c r="N32" i="5"/>
  <c r="N28" i="5"/>
  <c r="N27" i="5"/>
  <c r="N26" i="5"/>
  <c r="L24" i="5"/>
  <c r="L39" i="5" s="1"/>
  <c r="L40" i="5" s="1"/>
  <c r="P24" i="5"/>
  <c r="P39" i="5" s="1"/>
  <c r="P40" i="5" s="1"/>
  <c r="O24" i="5"/>
  <c r="O39" i="5" s="1"/>
  <c r="O40" i="5" s="1"/>
  <c r="Q24" i="5"/>
  <c r="Q39" i="5" s="1"/>
  <c r="Q40" i="5" s="1"/>
  <c r="M24" i="5"/>
  <c r="M39" i="5" s="1"/>
  <c r="M40" i="5" s="1"/>
  <c r="V24" i="5"/>
  <c r="V39" i="5" s="1"/>
  <c r="V40" i="5" s="1"/>
  <c r="U6" i="5"/>
  <c r="I4" i="5" a="1"/>
  <c r="I4" i="5" s="1"/>
  <c r="S6" i="5"/>
  <c r="R6" i="5"/>
  <c r="D7" i="4" a="1"/>
  <c r="D7" i="4" s="1"/>
  <c r="Y6" i="5"/>
  <c r="Z6" i="5"/>
  <c r="M6" i="5"/>
  <c r="V6" i="5"/>
  <c r="T6" i="5"/>
  <c r="X6" i="5"/>
  <c r="N12" i="5"/>
  <c r="N7" i="5"/>
  <c r="P6" i="5"/>
  <c r="N11" i="5"/>
  <c r="Q6" i="5"/>
  <c r="N17" i="5"/>
  <c r="N15" i="5"/>
  <c r="N10" i="5"/>
  <c r="N18" i="5"/>
  <c r="N5" i="5"/>
  <c r="N8" i="5"/>
  <c r="N9" i="5"/>
  <c r="N16" i="5"/>
  <c r="N14" i="5"/>
  <c r="N13" i="5"/>
  <c r="N6" i="5"/>
  <c r="L6" i="5"/>
  <c r="O6" i="5"/>
  <c r="N4" i="5"/>
  <c r="N39" i="5" l="1"/>
  <c r="N40" i="5" s="1"/>
  <c r="L41" i="5" s="1"/>
  <c r="L42" i="5" s="1"/>
  <c r="G22" i="5" s="1"/>
  <c r="G46" i="5" l="1"/>
  <c r="C3" i="6" s="1" a="1"/>
  <c r="C3" i="6" s="1"/>
  <c r="E3" i="6" s="1" a="1"/>
  <c r="J3" i="6" s="1" a="1"/>
  <c r="J3" i="6" s="1"/>
  <c r="G23" i="5"/>
  <c r="E3" i="6" l="1"/>
  <c r="G3" i="6" a="1"/>
  <c r="G3" i="6" l="1"/>
  <c r="K3" i="6" a="1"/>
  <c r="K3" i="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702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bk>
      <extLst>
        <ext uri="{3e2802c4-a4d2-4d8b-9148-e3be6c30e623}">
          <xlrd:rvb i="2793"/>
        </ext>
      </extLst>
    </bk>
    <bk>
      <extLst>
        <ext uri="{3e2802c4-a4d2-4d8b-9148-e3be6c30e623}">
          <xlrd:rvb i="2794"/>
        </ext>
      </extLst>
    </bk>
    <bk>
      <extLst>
        <ext uri="{3e2802c4-a4d2-4d8b-9148-e3be6c30e623}">
          <xlrd:rvb i="2795"/>
        </ext>
      </extLst>
    </bk>
    <bk>
      <extLst>
        <ext uri="{3e2802c4-a4d2-4d8b-9148-e3be6c30e623}">
          <xlrd:rvb i="2796"/>
        </ext>
      </extLst>
    </bk>
    <bk>
      <extLst>
        <ext uri="{3e2802c4-a4d2-4d8b-9148-e3be6c30e623}">
          <xlrd:rvb i="2797"/>
        </ext>
      </extLst>
    </bk>
    <bk>
      <extLst>
        <ext uri="{3e2802c4-a4d2-4d8b-9148-e3be6c30e623}">
          <xlrd:rvb i="2798"/>
        </ext>
      </extLst>
    </bk>
    <bk>
      <extLst>
        <ext uri="{3e2802c4-a4d2-4d8b-9148-e3be6c30e623}">
          <xlrd:rvb i="2799"/>
        </ext>
      </extLst>
    </bk>
    <bk>
      <extLst>
        <ext uri="{3e2802c4-a4d2-4d8b-9148-e3be6c30e623}">
          <xlrd:rvb i="2800"/>
        </ext>
      </extLst>
    </bk>
    <bk>
      <extLst>
        <ext uri="{3e2802c4-a4d2-4d8b-9148-e3be6c30e623}">
          <xlrd:rvb i="2801"/>
        </ext>
      </extLst>
    </bk>
    <bk>
      <extLst>
        <ext uri="{3e2802c4-a4d2-4d8b-9148-e3be6c30e623}">
          <xlrd:rvb i="2802"/>
        </ext>
      </extLst>
    </bk>
    <bk>
      <extLst>
        <ext uri="{3e2802c4-a4d2-4d8b-9148-e3be6c30e623}">
          <xlrd:rvb i="2803"/>
        </ext>
      </extLst>
    </bk>
    <bk>
      <extLst>
        <ext uri="{3e2802c4-a4d2-4d8b-9148-e3be6c30e623}">
          <xlrd:rvb i="2804"/>
        </ext>
      </extLst>
    </bk>
    <bk>
      <extLst>
        <ext uri="{3e2802c4-a4d2-4d8b-9148-e3be6c30e623}">
          <xlrd:rvb i="2805"/>
        </ext>
      </extLst>
    </bk>
    <bk>
      <extLst>
        <ext uri="{3e2802c4-a4d2-4d8b-9148-e3be6c30e623}">
          <xlrd:rvb i="2806"/>
        </ext>
      </extLst>
    </bk>
    <bk>
      <extLst>
        <ext uri="{3e2802c4-a4d2-4d8b-9148-e3be6c30e623}">
          <xlrd:rvb i="2807"/>
        </ext>
      </extLst>
    </bk>
    <bk>
      <extLst>
        <ext uri="{3e2802c4-a4d2-4d8b-9148-e3be6c30e623}">
          <xlrd:rvb i="2808"/>
        </ext>
      </extLst>
    </bk>
    <bk>
      <extLst>
        <ext uri="{3e2802c4-a4d2-4d8b-9148-e3be6c30e623}">
          <xlrd:rvb i="2809"/>
        </ext>
      </extLst>
    </bk>
    <bk>
      <extLst>
        <ext uri="{3e2802c4-a4d2-4d8b-9148-e3be6c30e623}">
          <xlrd:rvb i="2810"/>
        </ext>
      </extLst>
    </bk>
    <bk>
      <extLst>
        <ext uri="{3e2802c4-a4d2-4d8b-9148-e3be6c30e623}">
          <xlrd:rvb i="2811"/>
        </ext>
      </extLst>
    </bk>
    <bk>
      <extLst>
        <ext uri="{3e2802c4-a4d2-4d8b-9148-e3be6c30e623}">
          <xlrd:rvb i="2812"/>
        </ext>
      </extLst>
    </bk>
    <bk>
      <extLst>
        <ext uri="{3e2802c4-a4d2-4d8b-9148-e3be6c30e623}">
          <xlrd:rvb i="2813"/>
        </ext>
      </extLst>
    </bk>
    <bk>
      <extLst>
        <ext uri="{3e2802c4-a4d2-4d8b-9148-e3be6c30e623}">
          <xlrd:rvb i="2814"/>
        </ext>
      </extLst>
    </bk>
    <bk>
      <extLst>
        <ext uri="{3e2802c4-a4d2-4d8b-9148-e3be6c30e623}">
          <xlrd:rvb i="2815"/>
        </ext>
      </extLst>
    </bk>
    <bk>
      <extLst>
        <ext uri="{3e2802c4-a4d2-4d8b-9148-e3be6c30e623}">
          <xlrd:rvb i="2816"/>
        </ext>
      </extLst>
    </bk>
    <bk>
      <extLst>
        <ext uri="{3e2802c4-a4d2-4d8b-9148-e3be6c30e623}">
          <xlrd:rvb i="2817"/>
        </ext>
      </extLst>
    </bk>
    <bk>
      <extLst>
        <ext uri="{3e2802c4-a4d2-4d8b-9148-e3be6c30e623}">
          <xlrd:rvb i="2818"/>
        </ext>
      </extLst>
    </bk>
    <bk>
      <extLst>
        <ext uri="{3e2802c4-a4d2-4d8b-9148-e3be6c30e623}">
          <xlrd:rvb i="2819"/>
        </ext>
      </extLst>
    </bk>
    <bk>
      <extLst>
        <ext uri="{3e2802c4-a4d2-4d8b-9148-e3be6c30e623}">
          <xlrd:rvb i="2820"/>
        </ext>
      </extLst>
    </bk>
    <bk>
      <extLst>
        <ext uri="{3e2802c4-a4d2-4d8b-9148-e3be6c30e623}">
          <xlrd:rvb i="2821"/>
        </ext>
      </extLst>
    </bk>
    <bk>
      <extLst>
        <ext uri="{3e2802c4-a4d2-4d8b-9148-e3be6c30e623}">
          <xlrd:rvb i="2822"/>
        </ext>
      </extLst>
    </bk>
    <bk>
      <extLst>
        <ext uri="{3e2802c4-a4d2-4d8b-9148-e3be6c30e623}">
          <xlrd:rvb i="2823"/>
        </ext>
      </extLst>
    </bk>
    <bk>
      <extLst>
        <ext uri="{3e2802c4-a4d2-4d8b-9148-e3be6c30e623}">
          <xlrd:rvb i="2824"/>
        </ext>
      </extLst>
    </bk>
    <bk>
      <extLst>
        <ext uri="{3e2802c4-a4d2-4d8b-9148-e3be6c30e623}">
          <xlrd:rvb i="2825"/>
        </ext>
      </extLst>
    </bk>
    <bk>
      <extLst>
        <ext uri="{3e2802c4-a4d2-4d8b-9148-e3be6c30e623}">
          <xlrd:rvb i="2826"/>
        </ext>
      </extLst>
    </bk>
    <bk>
      <extLst>
        <ext uri="{3e2802c4-a4d2-4d8b-9148-e3be6c30e623}">
          <xlrd:rvb i="2827"/>
        </ext>
      </extLst>
    </bk>
    <bk>
      <extLst>
        <ext uri="{3e2802c4-a4d2-4d8b-9148-e3be6c30e623}">
          <xlrd:rvb i="2828"/>
        </ext>
      </extLst>
    </bk>
    <bk>
      <extLst>
        <ext uri="{3e2802c4-a4d2-4d8b-9148-e3be6c30e623}">
          <xlrd:rvb i="2829"/>
        </ext>
      </extLst>
    </bk>
    <bk>
      <extLst>
        <ext uri="{3e2802c4-a4d2-4d8b-9148-e3be6c30e623}">
          <xlrd:rvb i="2830"/>
        </ext>
      </extLst>
    </bk>
    <bk>
      <extLst>
        <ext uri="{3e2802c4-a4d2-4d8b-9148-e3be6c30e623}">
          <xlrd:rvb i="2831"/>
        </ext>
      </extLst>
    </bk>
    <bk>
      <extLst>
        <ext uri="{3e2802c4-a4d2-4d8b-9148-e3be6c30e623}">
          <xlrd:rvb i="2832"/>
        </ext>
      </extLst>
    </bk>
    <bk>
      <extLst>
        <ext uri="{3e2802c4-a4d2-4d8b-9148-e3be6c30e623}">
          <xlrd:rvb i="2833"/>
        </ext>
      </extLst>
    </bk>
    <bk>
      <extLst>
        <ext uri="{3e2802c4-a4d2-4d8b-9148-e3be6c30e623}">
          <xlrd:rvb i="2834"/>
        </ext>
      </extLst>
    </bk>
    <bk>
      <extLst>
        <ext uri="{3e2802c4-a4d2-4d8b-9148-e3be6c30e623}">
          <xlrd:rvb i="2835"/>
        </ext>
      </extLst>
    </bk>
    <bk>
      <extLst>
        <ext uri="{3e2802c4-a4d2-4d8b-9148-e3be6c30e623}">
          <xlrd:rvb i="2836"/>
        </ext>
      </extLst>
    </bk>
    <bk>
      <extLst>
        <ext uri="{3e2802c4-a4d2-4d8b-9148-e3be6c30e623}">
          <xlrd:rvb i="2837"/>
        </ext>
      </extLst>
    </bk>
    <bk>
      <extLst>
        <ext uri="{3e2802c4-a4d2-4d8b-9148-e3be6c30e623}">
          <xlrd:rvb i="2838"/>
        </ext>
      </extLst>
    </bk>
    <bk>
      <extLst>
        <ext uri="{3e2802c4-a4d2-4d8b-9148-e3be6c30e623}">
          <xlrd:rvb i="2839"/>
        </ext>
      </extLst>
    </bk>
    <bk>
      <extLst>
        <ext uri="{3e2802c4-a4d2-4d8b-9148-e3be6c30e623}">
          <xlrd:rvb i="2840"/>
        </ext>
      </extLst>
    </bk>
    <bk>
      <extLst>
        <ext uri="{3e2802c4-a4d2-4d8b-9148-e3be6c30e623}">
          <xlrd:rvb i="2841"/>
        </ext>
      </extLst>
    </bk>
    <bk>
      <extLst>
        <ext uri="{3e2802c4-a4d2-4d8b-9148-e3be6c30e623}">
          <xlrd:rvb i="2842"/>
        </ext>
      </extLst>
    </bk>
    <bk>
      <extLst>
        <ext uri="{3e2802c4-a4d2-4d8b-9148-e3be6c30e623}">
          <xlrd:rvb i="2843"/>
        </ext>
      </extLst>
    </bk>
    <bk>
      <extLst>
        <ext uri="{3e2802c4-a4d2-4d8b-9148-e3be6c30e623}">
          <xlrd:rvb i="2844"/>
        </ext>
      </extLst>
    </bk>
    <bk>
      <extLst>
        <ext uri="{3e2802c4-a4d2-4d8b-9148-e3be6c30e623}">
          <xlrd:rvb i="2845"/>
        </ext>
      </extLst>
    </bk>
    <bk>
      <extLst>
        <ext uri="{3e2802c4-a4d2-4d8b-9148-e3be6c30e623}">
          <xlrd:rvb i="2846"/>
        </ext>
      </extLst>
    </bk>
    <bk>
      <extLst>
        <ext uri="{3e2802c4-a4d2-4d8b-9148-e3be6c30e623}">
          <xlrd:rvb i="2847"/>
        </ext>
      </extLst>
    </bk>
    <bk>
      <extLst>
        <ext uri="{3e2802c4-a4d2-4d8b-9148-e3be6c30e623}">
          <xlrd:rvb i="2848"/>
        </ext>
      </extLst>
    </bk>
    <bk>
      <extLst>
        <ext uri="{3e2802c4-a4d2-4d8b-9148-e3be6c30e623}">
          <xlrd:rvb i="2849"/>
        </ext>
      </extLst>
    </bk>
    <bk>
      <extLst>
        <ext uri="{3e2802c4-a4d2-4d8b-9148-e3be6c30e623}">
          <xlrd:rvb i="2850"/>
        </ext>
      </extLst>
    </bk>
    <bk>
      <extLst>
        <ext uri="{3e2802c4-a4d2-4d8b-9148-e3be6c30e623}">
          <xlrd:rvb i="2851"/>
        </ext>
      </extLst>
    </bk>
    <bk>
      <extLst>
        <ext uri="{3e2802c4-a4d2-4d8b-9148-e3be6c30e623}">
          <xlrd:rvb i="2852"/>
        </ext>
      </extLst>
    </bk>
    <bk>
      <extLst>
        <ext uri="{3e2802c4-a4d2-4d8b-9148-e3be6c30e623}">
          <xlrd:rvb i="2853"/>
        </ext>
      </extLst>
    </bk>
    <bk>
      <extLst>
        <ext uri="{3e2802c4-a4d2-4d8b-9148-e3be6c30e623}">
          <xlrd:rvb i="2854"/>
        </ext>
      </extLst>
    </bk>
    <bk>
      <extLst>
        <ext uri="{3e2802c4-a4d2-4d8b-9148-e3be6c30e623}">
          <xlrd:rvb i="2855"/>
        </ext>
      </extLst>
    </bk>
    <bk>
      <extLst>
        <ext uri="{3e2802c4-a4d2-4d8b-9148-e3be6c30e623}">
          <xlrd:rvb i="2856"/>
        </ext>
      </extLst>
    </bk>
    <bk>
      <extLst>
        <ext uri="{3e2802c4-a4d2-4d8b-9148-e3be6c30e623}">
          <xlrd:rvb i="2857"/>
        </ext>
      </extLst>
    </bk>
    <bk>
      <extLst>
        <ext uri="{3e2802c4-a4d2-4d8b-9148-e3be6c30e623}">
          <xlrd:rvb i="2858"/>
        </ext>
      </extLst>
    </bk>
    <bk>
      <extLst>
        <ext uri="{3e2802c4-a4d2-4d8b-9148-e3be6c30e623}">
          <xlrd:rvb i="2859"/>
        </ext>
      </extLst>
    </bk>
    <bk>
      <extLst>
        <ext uri="{3e2802c4-a4d2-4d8b-9148-e3be6c30e623}">
          <xlrd:rvb i="2860"/>
        </ext>
      </extLst>
    </bk>
    <bk>
      <extLst>
        <ext uri="{3e2802c4-a4d2-4d8b-9148-e3be6c30e623}">
          <xlrd:rvb i="2861"/>
        </ext>
      </extLst>
    </bk>
    <bk>
      <extLst>
        <ext uri="{3e2802c4-a4d2-4d8b-9148-e3be6c30e623}">
          <xlrd:rvb i="2862"/>
        </ext>
      </extLst>
    </bk>
    <bk>
      <extLst>
        <ext uri="{3e2802c4-a4d2-4d8b-9148-e3be6c30e623}">
          <xlrd:rvb i="2863"/>
        </ext>
      </extLst>
    </bk>
    <bk>
      <extLst>
        <ext uri="{3e2802c4-a4d2-4d8b-9148-e3be6c30e623}">
          <xlrd:rvb i="2864"/>
        </ext>
      </extLst>
    </bk>
    <bk>
      <extLst>
        <ext uri="{3e2802c4-a4d2-4d8b-9148-e3be6c30e623}">
          <xlrd:rvb i="2865"/>
        </ext>
      </extLst>
    </bk>
    <bk>
      <extLst>
        <ext uri="{3e2802c4-a4d2-4d8b-9148-e3be6c30e623}">
          <xlrd:rvb i="2866"/>
        </ext>
      </extLst>
    </bk>
    <bk>
      <extLst>
        <ext uri="{3e2802c4-a4d2-4d8b-9148-e3be6c30e623}">
          <xlrd:rvb i="2867"/>
        </ext>
      </extLst>
    </bk>
    <bk>
      <extLst>
        <ext uri="{3e2802c4-a4d2-4d8b-9148-e3be6c30e623}">
          <xlrd:rvb i="2868"/>
        </ext>
      </extLst>
    </bk>
    <bk>
      <extLst>
        <ext uri="{3e2802c4-a4d2-4d8b-9148-e3be6c30e623}">
          <xlrd:rvb i="2869"/>
        </ext>
      </extLst>
    </bk>
    <bk>
      <extLst>
        <ext uri="{3e2802c4-a4d2-4d8b-9148-e3be6c30e623}">
          <xlrd:rvb i="2870"/>
        </ext>
      </extLst>
    </bk>
    <bk>
      <extLst>
        <ext uri="{3e2802c4-a4d2-4d8b-9148-e3be6c30e623}">
          <xlrd:rvb i="2871"/>
        </ext>
      </extLst>
    </bk>
    <bk>
      <extLst>
        <ext uri="{3e2802c4-a4d2-4d8b-9148-e3be6c30e623}">
          <xlrd:rvb i="2872"/>
        </ext>
      </extLst>
    </bk>
    <bk>
      <extLst>
        <ext uri="{3e2802c4-a4d2-4d8b-9148-e3be6c30e623}">
          <xlrd:rvb i="2873"/>
        </ext>
      </extLst>
    </bk>
    <bk>
      <extLst>
        <ext uri="{3e2802c4-a4d2-4d8b-9148-e3be6c30e623}">
          <xlrd:rvb i="2874"/>
        </ext>
      </extLst>
    </bk>
    <bk>
      <extLst>
        <ext uri="{3e2802c4-a4d2-4d8b-9148-e3be6c30e623}">
          <xlrd:rvb i="2875"/>
        </ext>
      </extLst>
    </bk>
    <bk>
      <extLst>
        <ext uri="{3e2802c4-a4d2-4d8b-9148-e3be6c30e623}">
          <xlrd:rvb i="2876"/>
        </ext>
      </extLst>
    </bk>
    <bk>
      <extLst>
        <ext uri="{3e2802c4-a4d2-4d8b-9148-e3be6c30e623}">
          <xlrd:rvb i="2877"/>
        </ext>
      </extLst>
    </bk>
    <bk>
      <extLst>
        <ext uri="{3e2802c4-a4d2-4d8b-9148-e3be6c30e623}">
          <xlrd:rvb i="2878"/>
        </ext>
      </extLst>
    </bk>
    <bk>
      <extLst>
        <ext uri="{3e2802c4-a4d2-4d8b-9148-e3be6c30e623}">
          <xlrd:rvb i="2879"/>
        </ext>
      </extLst>
    </bk>
    <bk>
      <extLst>
        <ext uri="{3e2802c4-a4d2-4d8b-9148-e3be6c30e623}">
          <xlrd:rvb i="2880"/>
        </ext>
      </extLst>
    </bk>
    <bk>
      <extLst>
        <ext uri="{3e2802c4-a4d2-4d8b-9148-e3be6c30e623}">
          <xlrd:rvb i="2881"/>
        </ext>
      </extLst>
    </bk>
    <bk>
      <extLst>
        <ext uri="{3e2802c4-a4d2-4d8b-9148-e3be6c30e623}">
          <xlrd:rvb i="2882"/>
        </ext>
      </extLst>
    </bk>
    <bk>
      <extLst>
        <ext uri="{3e2802c4-a4d2-4d8b-9148-e3be6c30e623}">
          <xlrd:rvb i="2883"/>
        </ext>
      </extLst>
    </bk>
    <bk>
      <extLst>
        <ext uri="{3e2802c4-a4d2-4d8b-9148-e3be6c30e623}">
          <xlrd:rvb i="2884"/>
        </ext>
      </extLst>
    </bk>
    <bk>
      <extLst>
        <ext uri="{3e2802c4-a4d2-4d8b-9148-e3be6c30e623}">
          <xlrd:rvb i="2885"/>
        </ext>
      </extLst>
    </bk>
    <bk>
      <extLst>
        <ext uri="{3e2802c4-a4d2-4d8b-9148-e3be6c30e623}">
          <xlrd:rvb i="2886"/>
        </ext>
      </extLst>
    </bk>
    <bk>
      <extLst>
        <ext uri="{3e2802c4-a4d2-4d8b-9148-e3be6c30e623}">
          <xlrd:rvb i="2887"/>
        </ext>
      </extLst>
    </bk>
    <bk>
      <extLst>
        <ext uri="{3e2802c4-a4d2-4d8b-9148-e3be6c30e623}">
          <xlrd:rvb i="2888"/>
        </ext>
      </extLst>
    </bk>
    <bk>
      <extLst>
        <ext uri="{3e2802c4-a4d2-4d8b-9148-e3be6c30e623}">
          <xlrd:rvb i="2889"/>
        </ext>
      </extLst>
    </bk>
    <bk>
      <extLst>
        <ext uri="{3e2802c4-a4d2-4d8b-9148-e3be6c30e623}">
          <xlrd:rvb i="2890"/>
        </ext>
      </extLst>
    </bk>
    <bk>
      <extLst>
        <ext uri="{3e2802c4-a4d2-4d8b-9148-e3be6c30e623}">
          <xlrd:rvb i="2891"/>
        </ext>
      </extLst>
    </bk>
    <bk>
      <extLst>
        <ext uri="{3e2802c4-a4d2-4d8b-9148-e3be6c30e623}">
          <xlrd:rvb i="2892"/>
        </ext>
      </extLst>
    </bk>
    <bk>
      <extLst>
        <ext uri="{3e2802c4-a4d2-4d8b-9148-e3be6c30e623}">
          <xlrd:rvb i="2893"/>
        </ext>
      </extLst>
    </bk>
    <bk>
      <extLst>
        <ext uri="{3e2802c4-a4d2-4d8b-9148-e3be6c30e623}">
          <xlrd:rvb i="2894"/>
        </ext>
      </extLst>
    </bk>
    <bk>
      <extLst>
        <ext uri="{3e2802c4-a4d2-4d8b-9148-e3be6c30e623}">
          <xlrd:rvb i="2895"/>
        </ext>
      </extLst>
    </bk>
    <bk>
      <extLst>
        <ext uri="{3e2802c4-a4d2-4d8b-9148-e3be6c30e623}">
          <xlrd:rvb i="2896"/>
        </ext>
      </extLst>
    </bk>
    <bk>
      <extLst>
        <ext uri="{3e2802c4-a4d2-4d8b-9148-e3be6c30e623}">
          <xlrd:rvb i="2897"/>
        </ext>
      </extLst>
    </bk>
    <bk>
      <extLst>
        <ext uri="{3e2802c4-a4d2-4d8b-9148-e3be6c30e623}">
          <xlrd:rvb i="2898"/>
        </ext>
      </extLst>
    </bk>
    <bk>
      <extLst>
        <ext uri="{3e2802c4-a4d2-4d8b-9148-e3be6c30e623}">
          <xlrd:rvb i="2899"/>
        </ext>
      </extLst>
    </bk>
    <bk>
      <extLst>
        <ext uri="{3e2802c4-a4d2-4d8b-9148-e3be6c30e623}">
          <xlrd:rvb i="2900"/>
        </ext>
      </extLst>
    </bk>
    <bk>
      <extLst>
        <ext uri="{3e2802c4-a4d2-4d8b-9148-e3be6c30e623}">
          <xlrd:rvb i="2901"/>
        </ext>
      </extLst>
    </bk>
    <bk>
      <extLst>
        <ext uri="{3e2802c4-a4d2-4d8b-9148-e3be6c30e623}">
          <xlrd:rvb i="2902"/>
        </ext>
      </extLst>
    </bk>
    <bk>
      <extLst>
        <ext uri="{3e2802c4-a4d2-4d8b-9148-e3be6c30e623}">
          <xlrd:rvb i="2903"/>
        </ext>
      </extLst>
    </bk>
    <bk>
      <extLst>
        <ext uri="{3e2802c4-a4d2-4d8b-9148-e3be6c30e623}">
          <xlrd:rvb i="2904"/>
        </ext>
      </extLst>
    </bk>
    <bk>
      <extLst>
        <ext uri="{3e2802c4-a4d2-4d8b-9148-e3be6c30e623}">
          <xlrd:rvb i="2905"/>
        </ext>
      </extLst>
    </bk>
    <bk>
      <extLst>
        <ext uri="{3e2802c4-a4d2-4d8b-9148-e3be6c30e623}">
          <xlrd:rvb i="2906"/>
        </ext>
      </extLst>
    </bk>
    <bk>
      <extLst>
        <ext uri="{3e2802c4-a4d2-4d8b-9148-e3be6c30e623}">
          <xlrd:rvb i="2907"/>
        </ext>
      </extLst>
    </bk>
    <bk>
      <extLst>
        <ext uri="{3e2802c4-a4d2-4d8b-9148-e3be6c30e623}">
          <xlrd:rvb i="2908"/>
        </ext>
      </extLst>
    </bk>
    <bk>
      <extLst>
        <ext uri="{3e2802c4-a4d2-4d8b-9148-e3be6c30e623}">
          <xlrd:rvb i="2909"/>
        </ext>
      </extLst>
    </bk>
    <bk>
      <extLst>
        <ext uri="{3e2802c4-a4d2-4d8b-9148-e3be6c30e623}">
          <xlrd:rvb i="2910"/>
        </ext>
      </extLst>
    </bk>
    <bk>
      <extLst>
        <ext uri="{3e2802c4-a4d2-4d8b-9148-e3be6c30e623}">
          <xlrd:rvb i="2911"/>
        </ext>
      </extLst>
    </bk>
    <bk>
      <extLst>
        <ext uri="{3e2802c4-a4d2-4d8b-9148-e3be6c30e623}">
          <xlrd:rvb i="2912"/>
        </ext>
      </extLst>
    </bk>
    <bk>
      <extLst>
        <ext uri="{3e2802c4-a4d2-4d8b-9148-e3be6c30e623}">
          <xlrd:rvb i="2913"/>
        </ext>
      </extLst>
    </bk>
    <bk>
      <extLst>
        <ext uri="{3e2802c4-a4d2-4d8b-9148-e3be6c30e623}">
          <xlrd:rvb i="2914"/>
        </ext>
      </extLst>
    </bk>
    <bk>
      <extLst>
        <ext uri="{3e2802c4-a4d2-4d8b-9148-e3be6c30e623}">
          <xlrd:rvb i="2915"/>
        </ext>
      </extLst>
    </bk>
    <bk>
      <extLst>
        <ext uri="{3e2802c4-a4d2-4d8b-9148-e3be6c30e623}">
          <xlrd:rvb i="2916"/>
        </ext>
      </extLst>
    </bk>
    <bk>
      <extLst>
        <ext uri="{3e2802c4-a4d2-4d8b-9148-e3be6c30e623}">
          <xlrd:rvb i="2917"/>
        </ext>
      </extLst>
    </bk>
    <bk>
      <extLst>
        <ext uri="{3e2802c4-a4d2-4d8b-9148-e3be6c30e623}">
          <xlrd:rvb i="2918"/>
        </ext>
      </extLst>
    </bk>
    <bk>
      <extLst>
        <ext uri="{3e2802c4-a4d2-4d8b-9148-e3be6c30e623}">
          <xlrd:rvb i="2919"/>
        </ext>
      </extLst>
    </bk>
    <bk>
      <extLst>
        <ext uri="{3e2802c4-a4d2-4d8b-9148-e3be6c30e623}">
          <xlrd:rvb i="2920"/>
        </ext>
      </extLst>
    </bk>
    <bk>
      <extLst>
        <ext uri="{3e2802c4-a4d2-4d8b-9148-e3be6c30e623}">
          <xlrd:rvb i="2921"/>
        </ext>
      </extLst>
    </bk>
    <bk>
      <extLst>
        <ext uri="{3e2802c4-a4d2-4d8b-9148-e3be6c30e623}">
          <xlrd:rvb i="2922"/>
        </ext>
      </extLst>
    </bk>
    <bk>
      <extLst>
        <ext uri="{3e2802c4-a4d2-4d8b-9148-e3be6c30e623}">
          <xlrd:rvb i="2923"/>
        </ext>
      </extLst>
    </bk>
    <bk>
      <extLst>
        <ext uri="{3e2802c4-a4d2-4d8b-9148-e3be6c30e623}">
          <xlrd:rvb i="2924"/>
        </ext>
      </extLst>
    </bk>
    <bk>
      <extLst>
        <ext uri="{3e2802c4-a4d2-4d8b-9148-e3be6c30e623}">
          <xlrd:rvb i="2925"/>
        </ext>
      </extLst>
    </bk>
    <bk>
      <extLst>
        <ext uri="{3e2802c4-a4d2-4d8b-9148-e3be6c30e623}">
          <xlrd:rvb i="2926"/>
        </ext>
      </extLst>
    </bk>
    <bk>
      <extLst>
        <ext uri="{3e2802c4-a4d2-4d8b-9148-e3be6c30e623}">
          <xlrd:rvb i="2927"/>
        </ext>
      </extLst>
    </bk>
    <bk>
      <extLst>
        <ext uri="{3e2802c4-a4d2-4d8b-9148-e3be6c30e623}">
          <xlrd:rvb i="2928"/>
        </ext>
      </extLst>
    </bk>
    <bk>
      <extLst>
        <ext uri="{3e2802c4-a4d2-4d8b-9148-e3be6c30e623}">
          <xlrd:rvb i="2929"/>
        </ext>
      </extLst>
    </bk>
    <bk>
      <extLst>
        <ext uri="{3e2802c4-a4d2-4d8b-9148-e3be6c30e623}">
          <xlrd:rvb i="2930"/>
        </ext>
      </extLst>
    </bk>
    <bk>
      <extLst>
        <ext uri="{3e2802c4-a4d2-4d8b-9148-e3be6c30e623}">
          <xlrd:rvb i="2931"/>
        </ext>
      </extLst>
    </bk>
    <bk>
      <extLst>
        <ext uri="{3e2802c4-a4d2-4d8b-9148-e3be6c30e623}">
          <xlrd:rvb i="2932"/>
        </ext>
      </extLst>
    </bk>
    <bk>
      <extLst>
        <ext uri="{3e2802c4-a4d2-4d8b-9148-e3be6c30e623}">
          <xlrd:rvb i="2933"/>
        </ext>
      </extLst>
    </bk>
    <bk>
      <extLst>
        <ext uri="{3e2802c4-a4d2-4d8b-9148-e3be6c30e623}">
          <xlrd:rvb i="2934"/>
        </ext>
      </extLst>
    </bk>
    <bk>
      <extLst>
        <ext uri="{3e2802c4-a4d2-4d8b-9148-e3be6c30e623}">
          <xlrd:rvb i="2935"/>
        </ext>
      </extLst>
    </bk>
    <bk>
      <extLst>
        <ext uri="{3e2802c4-a4d2-4d8b-9148-e3be6c30e623}">
          <xlrd:rvb i="2936"/>
        </ext>
      </extLst>
    </bk>
    <bk>
      <extLst>
        <ext uri="{3e2802c4-a4d2-4d8b-9148-e3be6c30e623}">
          <xlrd:rvb i="2937"/>
        </ext>
      </extLst>
    </bk>
    <bk>
      <extLst>
        <ext uri="{3e2802c4-a4d2-4d8b-9148-e3be6c30e623}">
          <xlrd:rvb i="2938"/>
        </ext>
      </extLst>
    </bk>
    <bk>
      <extLst>
        <ext uri="{3e2802c4-a4d2-4d8b-9148-e3be6c30e623}">
          <xlrd:rvb i="2939"/>
        </ext>
      </extLst>
    </bk>
    <bk>
      <extLst>
        <ext uri="{3e2802c4-a4d2-4d8b-9148-e3be6c30e623}">
          <xlrd:rvb i="2940"/>
        </ext>
      </extLst>
    </bk>
    <bk>
      <extLst>
        <ext uri="{3e2802c4-a4d2-4d8b-9148-e3be6c30e623}">
          <xlrd:rvb i="2941"/>
        </ext>
      </extLst>
    </bk>
    <bk>
      <extLst>
        <ext uri="{3e2802c4-a4d2-4d8b-9148-e3be6c30e623}">
          <xlrd:rvb i="2942"/>
        </ext>
      </extLst>
    </bk>
    <bk>
      <extLst>
        <ext uri="{3e2802c4-a4d2-4d8b-9148-e3be6c30e623}">
          <xlrd:rvb i="2943"/>
        </ext>
      </extLst>
    </bk>
    <bk>
      <extLst>
        <ext uri="{3e2802c4-a4d2-4d8b-9148-e3be6c30e623}">
          <xlrd:rvb i="2944"/>
        </ext>
      </extLst>
    </bk>
    <bk>
      <extLst>
        <ext uri="{3e2802c4-a4d2-4d8b-9148-e3be6c30e623}">
          <xlrd:rvb i="2945"/>
        </ext>
      </extLst>
    </bk>
    <bk>
      <extLst>
        <ext uri="{3e2802c4-a4d2-4d8b-9148-e3be6c30e623}">
          <xlrd:rvb i="2946"/>
        </ext>
      </extLst>
    </bk>
    <bk>
      <extLst>
        <ext uri="{3e2802c4-a4d2-4d8b-9148-e3be6c30e623}">
          <xlrd:rvb i="2947"/>
        </ext>
      </extLst>
    </bk>
    <bk>
      <extLst>
        <ext uri="{3e2802c4-a4d2-4d8b-9148-e3be6c30e623}">
          <xlrd:rvb i="2948"/>
        </ext>
      </extLst>
    </bk>
    <bk>
      <extLst>
        <ext uri="{3e2802c4-a4d2-4d8b-9148-e3be6c30e623}">
          <xlrd:rvb i="2949"/>
        </ext>
      </extLst>
    </bk>
    <bk>
      <extLst>
        <ext uri="{3e2802c4-a4d2-4d8b-9148-e3be6c30e623}">
          <xlrd:rvb i="2950"/>
        </ext>
      </extLst>
    </bk>
    <bk>
      <extLst>
        <ext uri="{3e2802c4-a4d2-4d8b-9148-e3be6c30e623}">
          <xlrd:rvb i="2951"/>
        </ext>
      </extLst>
    </bk>
    <bk>
      <extLst>
        <ext uri="{3e2802c4-a4d2-4d8b-9148-e3be6c30e623}">
          <xlrd:rvb i="2952"/>
        </ext>
      </extLst>
    </bk>
    <bk>
      <extLst>
        <ext uri="{3e2802c4-a4d2-4d8b-9148-e3be6c30e623}">
          <xlrd:rvb i="2953"/>
        </ext>
      </extLst>
    </bk>
    <bk>
      <extLst>
        <ext uri="{3e2802c4-a4d2-4d8b-9148-e3be6c30e623}">
          <xlrd:rvb i="2954"/>
        </ext>
      </extLst>
    </bk>
    <bk>
      <extLst>
        <ext uri="{3e2802c4-a4d2-4d8b-9148-e3be6c30e623}">
          <xlrd:rvb i="2955"/>
        </ext>
      </extLst>
    </bk>
    <bk>
      <extLst>
        <ext uri="{3e2802c4-a4d2-4d8b-9148-e3be6c30e623}">
          <xlrd:rvb i="2956"/>
        </ext>
      </extLst>
    </bk>
    <bk>
      <extLst>
        <ext uri="{3e2802c4-a4d2-4d8b-9148-e3be6c30e623}">
          <xlrd:rvb i="2957"/>
        </ext>
      </extLst>
    </bk>
    <bk>
      <extLst>
        <ext uri="{3e2802c4-a4d2-4d8b-9148-e3be6c30e623}">
          <xlrd:rvb i="2958"/>
        </ext>
      </extLst>
    </bk>
    <bk>
      <extLst>
        <ext uri="{3e2802c4-a4d2-4d8b-9148-e3be6c30e623}">
          <xlrd:rvb i="2959"/>
        </ext>
      </extLst>
    </bk>
    <bk>
      <extLst>
        <ext uri="{3e2802c4-a4d2-4d8b-9148-e3be6c30e623}">
          <xlrd:rvb i="2960"/>
        </ext>
      </extLst>
    </bk>
    <bk>
      <extLst>
        <ext uri="{3e2802c4-a4d2-4d8b-9148-e3be6c30e623}">
          <xlrd:rvb i="2961"/>
        </ext>
      </extLst>
    </bk>
    <bk>
      <extLst>
        <ext uri="{3e2802c4-a4d2-4d8b-9148-e3be6c30e623}">
          <xlrd:rvb i="2962"/>
        </ext>
      </extLst>
    </bk>
    <bk>
      <extLst>
        <ext uri="{3e2802c4-a4d2-4d8b-9148-e3be6c30e623}">
          <xlrd:rvb i="2963"/>
        </ext>
      </extLst>
    </bk>
    <bk>
      <extLst>
        <ext uri="{3e2802c4-a4d2-4d8b-9148-e3be6c30e623}">
          <xlrd:rvb i="2964"/>
        </ext>
      </extLst>
    </bk>
    <bk>
      <extLst>
        <ext uri="{3e2802c4-a4d2-4d8b-9148-e3be6c30e623}">
          <xlrd:rvb i="2965"/>
        </ext>
      </extLst>
    </bk>
    <bk>
      <extLst>
        <ext uri="{3e2802c4-a4d2-4d8b-9148-e3be6c30e623}">
          <xlrd:rvb i="2966"/>
        </ext>
      </extLst>
    </bk>
    <bk>
      <extLst>
        <ext uri="{3e2802c4-a4d2-4d8b-9148-e3be6c30e623}">
          <xlrd:rvb i="2967"/>
        </ext>
      </extLst>
    </bk>
    <bk>
      <extLst>
        <ext uri="{3e2802c4-a4d2-4d8b-9148-e3be6c30e623}">
          <xlrd:rvb i="2968"/>
        </ext>
      </extLst>
    </bk>
    <bk>
      <extLst>
        <ext uri="{3e2802c4-a4d2-4d8b-9148-e3be6c30e623}">
          <xlrd:rvb i="2969"/>
        </ext>
      </extLst>
    </bk>
    <bk>
      <extLst>
        <ext uri="{3e2802c4-a4d2-4d8b-9148-e3be6c30e623}">
          <xlrd:rvb i="2970"/>
        </ext>
      </extLst>
    </bk>
    <bk>
      <extLst>
        <ext uri="{3e2802c4-a4d2-4d8b-9148-e3be6c30e623}">
          <xlrd:rvb i="2971"/>
        </ext>
      </extLst>
    </bk>
    <bk>
      <extLst>
        <ext uri="{3e2802c4-a4d2-4d8b-9148-e3be6c30e623}">
          <xlrd:rvb i="2972"/>
        </ext>
      </extLst>
    </bk>
    <bk>
      <extLst>
        <ext uri="{3e2802c4-a4d2-4d8b-9148-e3be6c30e623}">
          <xlrd:rvb i="2973"/>
        </ext>
      </extLst>
    </bk>
    <bk>
      <extLst>
        <ext uri="{3e2802c4-a4d2-4d8b-9148-e3be6c30e623}">
          <xlrd:rvb i="2974"/>
        </ext>
      </extLst>
    </bk>
    <bk>
      <extLst>
        <ext uri="{3e2802c4-a4d2-4d8b-9148-e3be6c30e623}">
          <xlrd:rvb i="2975"/>
        </ext>
      </extLst>
    </bk>
    <bk>
      <extLst>
        <ext uri="{3e2802c4-a4d2-4d8b-9148-e3be6c30e623}">
          <xlrd:rvb i="2976"/>
        </ext>
      </extLst>
    </bk>
    <bk>
      <extLst>
        <ext uri="{3e2802c4-a4d2-4d8b-9148-e3be6c30e623}">
          <xlrd:rvb i="2977"/>
        </ext>
      </extLst>
    </bk>
    <bk>
      <extLst>
        <ext uri="{3e2802c4-a4d2-4d8b-9148-e3be6c30e623}">
          <xlrd:rvb i="2978"/>
        </ext>
      </extLst>
    </bk>
    <bk>
      <extLst>
        <ext uri="{3e2802c4-a4d2-4d8b-9148-e3be6c30e623}">
          <xlrd:rvb i="2979"/>
        </ext>
      </extLst>
    </bk>
    <bk>
      <extLst>
        <ext uri="{3e2802c4-a4d2-4d8b-9148-e3be6c30e623}">
          <xlrd:rvb i="2980"/>
        </ext>
      </extLst>
    </bk>
    <bk>
      <extLst>
        <ext uri="{3e2802c4-a4d2-4d8b-9148-e3be6c30e623}">
          <xlrd:rvb i="2981"/>
        </ext>
      </extLst>
    </bk>
    <bk>
      <extLst>
        <ext uri="{3e2802c4-a4d2-4d8b-9148-e3be6c30e623}">
          <xlrd:rvb i="2982"/>
        </ext>
      </extLst>
    </bk>
    <bk>
      <extLst>
        <ext uri="{3e2802c4-a4d2-4d8b-9148-e3be6c30e623}">
          <xlrd:rvb i="2983"/>
        </ext>
      </extLst>
    </bk>
    <bk>
      <extLst>
        <ext uri="{3e2802c4-a4d2-4d8b-9148-e3be6c30e623}">
          <xlrd:rvb i="2984"/>
        </ext>
      </extLst>
    </bk>
    <bk>
      <extLst>
        <ext uri="{3e2802c4-a4d2-4d8b-9148-e3be6c30e623}">
          <xlrd:rvb i="2985"/>
        </ext>
      </extLst>
    </bk>
    <bk>
      <extLst>
        <ext uri="{3e2802c4-a4d2-4d8b-9148-e3be6c30e623}">
          <xlrd:rvb i="2986"/>
        </ext>
      </extLst>
    </bk>
    <bk>
      <extLst>
        <ext uri="{3e2802c4-a4d2-4d8b-9148-e3be6c30e623}">
          <xlrd:rvb i="2987"/>
        </ext>
      </extLst>
    </bk>
    <bk>
      <extLst>
        <ext uri="{3e2802c4-a4d2-4d8b-9148-e3be6c30e623}">
          <xlrd:rvb i="2988"/>
        </ext>
      </extLst>
    </bk>
    <bk>
      <extLst>
        <ext uri="{3e2802c4-a4d2-4d8b-9148-e3be6c30e623}">
          <xlrd:rvb i="2989"/>
        </ext>
      </extLst>
    </bk>
    <bk>
      <extLst>
        <ext uri="{3e2802c4-a4d2-4d8b-9148-e3be6c30e623}">
          <xlrd:rvb i="2990"/>
        </ext>
      </extLst>
    </bk>
    <bk>
      <extLst>
        <ext uri="{3e2802c4-a4d2-4d8b-9148-e3be6c30e623}">
          <xlrd:rvb i="2991"/>
        </ext>
      </extLst>
    </bk>
    <bk>
      <extLst>
        <ext uri="{3e2802c4-a4d2-4d8b-9148-e3be6c30e623}">
          <xlrd:rvb i="2992"/>
        </ext>
      </extLst>
    </bk>
    <bk>
      <extLst>
        <ext uri="{3e2802c4-a4d2-4d8b-9148-e3be6c30e623}">
          <xlrd:rvb i="2993"/>
        </ext>
      </extLst>
    </bk>
    <bk>
      <extLst>
        <ext uri="{3e2802c4-a4d2-4d8b-9148-e3be6c30e623}">
          <xlrd:rvb i="2994"/>
        </ext>
      </extLst>
    </bk>
    <bk>
      <extLst>
        <ext uri="{3e2802c4-a4d2-4d8b-9148-e3be6c30e623}">
          <xlrd:rvb i="2995"/>
        </ext>
      </extLst>
    </bk>
    <bk>
      <extLst>
        <ext uri="{3e2802c4-a4d2-4d8b-9148-e3be6c30e623}">
          <xlrd:rvb i="2996"/>
        </ext>
      </extLst>
    </bk>
    <bk>
      <extLst>
        <ext uri="{3e2802c4-a4d2-4d8b-9148-e3be6c30e623}">
          <xlrd:rvb i="2997"/>
        </ext>
      </extLst>
    </bk>
    <bk>
      <extLst>
        <ext uri="{3e2802c4-a4d2-4d8b-9148-e3be6c30e623}">
          <xlrd:rvb i="2998"/>
        </ext>
      </extLst>
    </bk>
    <bk>
      <extLst>
        <ext uri="{3e2802c4-a4d2-4d8b-9148-e3be6c30e623}">
          <xlrd:rvb i="2999"/>
        </ext>
      </extLst>
    </bk>
    <bk>
      <extLst>
        <ext uri="{3e2802c4-a4d2-4d8b-9148-e3be6c30e623}">
          <xlrd:rvb i="3000"/>
        </ext>
      </extLst>
    </bk>
    <bk>
      <extLst>
        <ext uri="{3e2802c4-a4d2-4d8b-9148-e3be6c30e623}">
          <xlrd:rvb i="3001"/>
        </ext>
      </extLst>
    </bk>
    <bk>
      <extLst>
        <ext uri="{3e2802c4-a4d2-4d8b-9148-e3be6c30e623}">
          <xlrd:rvb i="3002"/>
        </ext>
      </extLst>
    </bk>
    <bk>
      <extLst>
        <ext uri="{3e2802c4-a4d2-4d8b-9148-e3be6c30e623}">
          <xlrd:rvb i="3003"/>
        </ext>
      </extLst>
    </bk>
    <bk>
      <extLst>
        <ext uri="{3e2802c4-a4d2-4d8b-9148-e3be6c30e623}">
          <xlrd:rvb i="3004"/>
        </ext>
      </extLst>
    </bk>
    <bk>
      <extLst>
        <ext uri="{3e2802c4-a4d2-4d8b-9148-e3be6c30e623}">
          <xlrd:rvb i="3005"/>
        </ext>
      </extLst>
    </bk>
    <bk>
      <extLst>
        <ext uri="{3e2802c4-a4d2-4d8b-9148-e3be6c30e623}">
          <xlrd:rvb i="3006"/>
        </ext>
      </extLst>
    </bk>
    <bk>
      <extLst>
        <ext uri="{3e2802c4-a4d2-4d8b-9148-e3be6c30e623}">
          <xlrd:rvb i="3007"/>
        </ext>
      </extLst>
    </bk>
    <bk>
      <extLst>
        <ext uri="{3e2802c4-a4d2-4d8b-9148-e3be6c30e623}">
          <xlrd:rvb i="3008"/>
        </ext>
      </extLst>
    </bk>
    <bk>
      <extLst>
        <ext uri="{3e2802c4-a4d2-4d8b-9148-e3be6c30e623}">
          <xlrd:rvb i="3009"/>
        </ext>
      </extLst>
    </bk>
    <bk>
      <extLst>
        <ext uri="{3e2802c4-a4d2-4d8b-9148-e3be6c30e623}">
          <xlrd:rvb i="3010"/>
        </ext>
      </extLst>
    </bk>
    <bk>
      <extLst>
        <ext uri="{3e2802c4-a4d2-4d8b-9148-e3be6c30e623}">
          <xlrd:rvb i="3011"/>
        </ext>
      </extLst>
    </bk>
    <bk>
      <extLst>
        <ext uri="{3e2802c4-a4d2-4d8b-9148-e3be6c30e623}">
          <xlrd:rvb i="3012"/>
        </ext>
      </extLst>
    </bk>
    <bk>
      <extLst>
        <ext uri="{3e2802c4-a4d2-4d8b-9148-e3be6c30e623}">
          <xlrd:rvb i="3013"/>
        </ext>
      </extLst>
    </bk>
    <bk>
      <extLst>
        <ext uri="{3e2802c4-a4d2-4d8b-9148-e3be6c30e623}">
          <xlrd:rvb i="3014"/>
        </ext>
      </extLst>
    </bk>
    <bk>
      <extLst>
        <ext uri="{3e2802c4-a4d2-4d8b-9148-e3be6c30e623}">
          <xlrd:rvb i="3015"/>
        </ext>
      </extLst>
    </bk>
    <bk>
      <extLst>
        <ext uri="{3e2802c4-a4d2-4d8b-9148-e3be6c30e623}">
          <xlrd:rvb i="3016"/>
        </ext>
      </extLst>
    </bk>
    <bk>
      <extLst>
        <ext uri="{3e2802c4-a4d2-4d8b-9148-e3be6c30e623}">
          <xlrd:rvb i="3017"/>
        </ext>
      </extLst>
    </bk>
    <bk>
      <extLst>
        <ext uri="{3e2802c4-a4d2-4d8b-9148-e3be6c30e623}">
          <xlrd:rvb i="3018"/>
        </ext>
      </extLst>
    </bk>
    <bk>
      <extLst>
        <ext uri="{3e2802c4-a4d2-4d8b-9148-e3be6c30e623}">
          <xlrd:rvb i="3019"/>
        </ext>
      </extLst>
    </bk>
    <bk>
      <extLst>
        <ext uri="{3e2802c4-a4d2-4d8b-9148-e3be6c30e623}">
          <xlrd:rvb i="3020"/>
        </ext>
      </extLst>
    </bk>
    <bk>
      <extLst>
        <ext uri="{3e2802c4-a4d2-4d8b-9148-e3be6c30e623}">
          <xlrd:rvb i="3021"/>
        </ext>
      </extLst>
    </bk>
    <bk>
      <extLst>
        <ext uri="{3e2802c4-a4d2-4d8b-9148-e3be6c30e623}">
          <xlrd:rvb i="3022"/>
        </ext>
      </extLst>
    </bk>
    <bk>
      <extLst>
        <ext uri="{3e2802c4-a4d2-4d8b-9148-e3be6c30e623}">
          <xlrd:rvb i="3023"/>
        </ext>
      </extLst>
    </bk>
    <bk>
      <extLst>
        <ext uri="{3e2802c4-a4d2-4d8b-9148-e3be6c30e623}">
          <xlrd:rvb i="3024"/>
        </ext>
      </extLst>
    </bk>
    <bk>
      <extLst>
        <ext uri="{3e2802c4-a4d2-4d8b-9148-e3be6c30e623}">
          <xlrd:rvb i="3025"/>
        </ext>
      </extLst>
    </bk>
    <bk>
      <extLst>
        <ext uri="{3e2802c4-a4d2-4d8b-9148-e3be6c30e623}">
          <xlrd:rvb i="3026"/>
        </ext>
      </extLst>
    </bk>
    <bk>
      <extLst>
        <ext uri="{3e2802c4-a4d2-4d8b-9148-e3be6c30e623}">
          <xlrd:rvb i="3027"/>
        </ext>
      </extLst>
    </bk>
    <bk>
      <extLst>
        <ext uri="{3e2802c4-a4d2-4d8b-9148-e3be6c30e623}">
          <xlrd:rvb i="3028"/>
        </ext>
      </extLst>
    </bk>
    <bk>
      <extLst>
        <ext uri="{3e2802c4-a4d2-4d8b-9148-e3be6c30e623}">
          <xlrd:rvb i="3029"/>
        </ext>
      </extLst>
    </bk>
    <bk>
      <extLst>
        <ext uri="{3e2802c4-a4d2-4d8b-9148-e3be6c30e623}">
          <xlrd:rvb i="3030"/>
        </ext>
      </extLst>
    </bk>
    <bk>
      <extLst>
        <ext uri="{3e2802c4-a4d2-4d8b-9148-e3be6c30e623}">
          <xlrd:rvb i="3031"/>
        </ext>
      </extLst>
    </bk>
    <bk>
      <extLst>
        <ext uri="{3e2802c4-a4d2-4d8b-9148-e3be6c30e623}">
          <xlrd:rvb i="3032"/>
        </ext>
      </extLst>
    </bk>
    <bk>
      <extLst>
        <ext uri="{3e2802c4-a4d2-4d8b-9148-e3be6c30e623}">
          <xlrd:rvb i="3033"/>
        </ext>
      </extLst>
    </bk>
    <bk>
      <extLst>
        <ext uri="{3e2802c4-a4d2-4d8b-9148-e3be6c30e623}">
          <xlrd:rvb i="3034"/>
        </ext>
      </extLst>
    </bk>
    <bk>
      <extLst>
        <ext uri="{3e2802c4-a4d2-4d8b-9148-e3be6c30e623}">
          <xlrd:rvb i="3035"/>
        </ext>
      </extLst>
    </bk>
    <bk>
      <extLst>
        <ext uri="{3e2802c4-a4d2-4d8b-9148-e3be6c30e623}">
          <xlrd:rvb i="3036"/>
        </ext>
      </extLst>
    </bk>
    <bk>
      <extLst>
        <ext uri="{3e2802c4-a4d2-4d8b-9148-e3be6c30e623}">
          <xlrd:rvb i="3037"/>
        </ext>
      </extLst>
    </bk>
    <bk>
      <extLst>
        <ext uri="{3e2802c4-a4d2-4d8b-9148-e3be6c30e623}">
          <xlrd:rvb i="3038"/>
        </ext>
      </extLst>
    </bk>
    <bk>
      <extLst>
        <ext uri="{3e2802c4-a4d2-4d8b-9148-e3be6c30e623}">
          <xlrd:rvb i="3039"/>
        </ext>
      </extLst>
    </bk>
    <bk>
      <extLst>
        <ext uri="{3e2802c4-a4d2-4d8b-9148-e3be6c30e623}">
          <xlrd:rvb i="3040"/>
        </ext>
      </extLst>
    </bk>
    <bk>
      <extLst>
        <ext uri="{3e2802c4-a4d2-4d8b-9148-e3be6c30e623}">
          <xlrd:rvb i="3041"/>
        </ext>
      </extLst>
    </bk>
    <bk>
      <extLst>
        <ext uri="{3e2802c4-a4d2-4d8b-9148-e3be6c30e623}">
          <xlrd:rvb i="3042"/>
        </ext>
      </extLst>
    </bk>
    <bk>
      <extLst>
        <ext uri="{3e2802c4-a4d2-4d8b-9148-e3be6c30e623}">
          <xlrd:rvb i="3043"/>
        </ext>
      </extLst>
    </bk>
    <bk>
      <extLst>
        <ext uri="{3e2802c4-a4d2-4d8b-9148-e3be6c30e623}">
          <xlrd:rvb i="3044"/>
        </ext>
      </extLst>
    </bk>
    <bk>
      <extLst>
        <ext uri="{3e2802c4-a4d2-4d8b-9148-e3be6c30e623}">
          <xlrd:rvb i="3045"/>
        </ext>
      </extLst>
    </bk>
    <bk>
      <extLst>
        <ext uri="{3e2802c4-a4d2-4d8b-9148-e3be6c30e623}">
          <xlrd:rvb i="3046"/>
        </ext>
      </extLst>
    </bk>
    <bk>
      <extLst>
        <ext uri="{3e2802c4-a4d2-4d8b-9148-e3be6c30e623}">
          <xlrd:rvb i="3047"/>
        </ext>
      </extLst>
    </bk>
    <bk>
      <extLst>
        <ext uri="{3e2802c4-a4d2-4d8b-9148-e3be6c30e623}">
          <xlrd:rvb i="3048"/>
        </ext>
      </extLst>
    </bk>
    <bk>
      <extLst>
        <ext uri="{3e2802c4-a4d2-4d8b-9148-e3be6c30e623}">
          <xlrd:rvb i="3049"/>
        </ext>
      </extLst>
    </bk>
    <bk>
      <extLst>
        <ext uri="{3e2802c4-a4d2-4d8b-9148-e3be6c30e623}">
          <xlrd:rvb i="3050"/>
        </ext>
      </extLst>
    </bk>
    <bk>
      <extLst>
        <ext uri="{3e2802c4-a4d2-4d8b-9148-e3be6c30e623}">
          <xlrd:rvb i="3051"/>
        </ext>
      </extLst>
    </bk>
    <bk>
      <extLst>
        <ext uri="{3e2802c4-a4d2-4d8b-9148-e3be6c30e623}">
          <xlrd:rvb i="3052"/>
        </ext>
      </extLst>
    </bk>
    <bk>
      <extLst>
        <ext uri="{3e2802c4-a4d2-4d8b-9148-e3be6c30e623}">
          <xlrd:rvb i="3053"/>
        </ext>
      </extLst>
    </bk>
    <bk>
      <extLst>
        <ext uri="{3e2802c4-a4d2-4d8b-9148-e3be6c30e623}">
          <xlrd:rvb i="3054"/>
        </ext>
      </extLst>
    </bk>
    <bk>
      <extLst>
        <ext uri="{3e2802c4-a4d2-4d8b-9148-e3be6c30e623}">
          <xlrd:rvb i="3055"/>
        </ext>
      </extLst>
    </bk>
    <bk>
      <extLst>
        <ext uri="{3e2802c4-a4d2-4d8b-9148-e3be6c30e623}">
          <xlrd:rvb i="3056"/>
        </ext>
      </extLst>
    </bk>
    <bk>
      <extLst>
        <ext uri="{3e2802c4-a4d2-4d8b-9148-e3be6c30e623}">
          <xlrd:rvb i="3057"/>
        </ext>
      </extLst>
    </bk>
    <bk>
      <extLst>
        <ext uri="{3e2802c4-a4d2-4d8b-9148-e3be6c30e623}">
          <xlrd:rvb i="3058"/>
        </ext>
      </extLst>
    </bk>
    <bk>
      <extLst>
        <ext uri="{3e2802c4-a4d2-4d8b-9148-e3be6c30e623}">
          <xlrd:rvb i="3059"/>
        </ext>
      </extLst>
    </bk>
    <bk>
      <extLst>
        <ext uri="{3e2802c4-a4d2-4d8b-9148-e3be6c30e623}">
          <xlrd:rvb i="3060"/>
        </ext>
      </extLst>
    </bk>
    <bk>
      <extLst>
        <ext uri="{3e2802c4-a4d2-4d8b-9148-e3be6c30e623}">
          <xlrd:rvb i="3061"/>
        </ext>
      </extLst>
    </bk>
    <bk>
      <extLst>
        <ext uri="{3e2802c4-a4d2-4d8b-9148-e3be6c30e623}">
          <xlrd:rvb i="3062"/>
        </ext>
      </extLst>
    </bk>
    <bk>
      <extLst>
        <ext uri="{3e2802c4-a4d2-4d8b-9148-e3be6c30e623}">
          <xlrd:rvb i="3063"/>
        </ext>
      </extLst>
    </bk>
    <bk>
      <extLst>
        <ext uri="{3e2802c4-a4d2-4d8b-9148-e3be6c30e623}">
          <xlrd:rvb i="3064"/>
        </ext>
      </extLst>
    </bk>
    <bk>
      <extLst>
        <ext uri="{3e2802c4-a4d2-4d8b-9148-e3be6c30e623}">
          <xlrd:rvb i="3065"/>
        </ext>
      </extLst>
    </bk>
    <bk>
      <extLst>
        <ext uri="{3e2802c4-a4d2-4d8b-9148-e3be6c30e623}">
          <xlrd:rvb i="3066"/>
        </ext>
      </extLst>
    </bk>
    <bk>
      <extLst>
        <ext uri="{3e2802c4-a4d2-4d8b-9148-e3be6c30e623}">
          <xlrd:rvb i="3067"/>
        </ext>
      </extLst>
    </bk>
    <bk>
      <extLst>
        <ext uri="{3e2802c4-a4d2-4d8b-9148-e3be6c30e623}">
          <xlrd:rvb i="3068"/>
        </ext>
      </extLst>
    </bk>
    <bk>
      <extLst>
        <ext uri="{3e2802c4-a4d2-4d8b-9148-e3be6c30e623}">
          <xlrd:rvb i="3069"/>
        </ext>
      </extLst>
    </bk>
    <bk>
      <extLst>
        <ext uri="{3e2802c4-a4d2-4d8b-9148-e3be6c30e623}">
          <xlrd:rvb i="3070"/>
        </ext>
      </extLst>
    </bk>
    <bk>
      <extLst>
        <ext uri="{3e2802c4-a4d2-4d8b-9148-e3be6c30e623}">
          <xlrd:rvb i="3071"/>
        </ext>
      </extLst>
    </bk>
    <bk>
      <extLst>
        <ext uri="{3e2802c4-a4d2-4d8b-9148-e3be6c30e623}">
          <xlrd:rvb i="3072"/>
        </ext>
      </extLst>
    </bk>
    <bk>
      <extLst>
        <ext uri="{3e2802c4-a4d2-4d8b-9148-e3be6c30e623}">
          <xlrd:rvb i="3073"/>
        </ext>
      </extLst>
    </bk>
    <bk>
      <extLst>
        <ext uri="{3e2802c4-a4d2-4d8b-9148-e3be6c30e623}">
          <xlrd:rvb i="3074"/>
        </ext>
      </extLst>
    </bk>
    <bk>
      <extLst>
        <ext uri="{3e2802c4-a4d2-4d8b-9148-e3be6c30e623}">
          <xlrd:rvb i="3075"/>
        </ext>
      </extLst>
    </bk>
    <bk>
      <extLst>
        <ext uri="{3e2802c4-a4d2-4d8b-9148-e3be6c30e623}">
          <xlrd:rvb i="3076"/>
        </ext>
      </extLst>
    </bk>
    <bk>
      <extLst>
        <ext uri="{3e2802c4-a4d2-4d8b-9148-e3be6c30e623}">
          <xlrd:rvb i="3077"/>
        </ext>
      </extLst>
    </bk>
    <bk>
      <extLst>
        <ext uri="{3e2802c4-a4d2-4d8b-9148-e3be6c30e623}">
          <xlrd:rvb i="3078"/>
        </ext>
      </extLst>
    </bk>
    <bk>
      <extLst>
        <ext uri="{3e2802c4-a4d2-4d8b-9148-e3be6c30e623}">
          <xlrd:rvb i="3079"/>
        </ext>
      </extLst>
    </bk>
    <bk>
      <extLst>
        <ext uri="{3e2802c4-a4d2-4d8b-9148-e3be6c30e623}">
          <xlrd:rvb i="3080"/>
        </ext>
      </extLst>
    </bk>
    <bk>
      <extLst>
        <ext uri="{3e2802c4-a4d2-4d8b-9148-e3be6c30e623}">
          <xlrd:rvb i="3081"/>
        </ext>
      </extLst>
    </bk>
    <bk>
      <extLst>
        <ext uri="{3e2802c4-a4d2-4d8b-9148-e3be6c30e623}">
          <xlrd:rvb i="3082"/>
        </ext>
      </extLst>
    </bk>
    <bk>
      <extLst>
        <ext uri="{3e2802c4-a4d2-4d8b-9148-e3be6c30e623}">
          <xlrd:rvb i="3083"/>
        </ext>
      </extLst>
    </bk>
    <bk>
      <extLst>
        <ext uri="{3e2802c4-a4d2-4d8b-9148-e3be6c30e623}">
          <xlrd:rvb i="3084"/>
        </ext>
      </extLst>
    </bk>
    <bk>
      <extLst>
        <ext uri="{3e2802c4-a4d2-4d8b-9148-e3be6c30e623}">
          <xlrd:rvb i="3085"/>
        </ext>
      </extLst>
    </bk>
    <bk>
      <extLst>
        <ext uri="{3e2802c4-a4d2-4d8b-9148-e3be6c30e623}">
          <xlrd:rvb i="3086"/>
        </ext>
      </extLst>
    </bk>
    <bk>
      <extLst>
        <ext uri="{3e2802c4-a4d2-4d8b-9148-e3be6c30e623}">
          <xlrd:rvb i="3087"/>
        </ext>
      </extLst>
    </bk>
    <bk>
      <extLst>
        <ext uri="{3e2802c4-a4d2-4d8b-9148-e3be6c30e623}">
          <xlrd:rvb i="3088"/>
        </ext>
      </extLst>
    </bk>
    <bk>
      <extLst>
        <ext uri="{3e2802c4-a4d2-4d8b-9148-e3be6c30e623}">
          <xlrd:rvb i="3089"/>
        </ext>
      </extLst>
    </bk>
    <bk>
      <extLst>
        <ext uri="{3e2802c4-a4d2-4d8b-9148-e3be6c30e623}">
          <xlrd:rvb i="3090"/>
        </ext>
      </extLst>
    </bk>
    <bk>
      <extLst>
        <ext uri="{3e2802c4-a4d2-4d8b-9148-e3be6c30e623}">
          <xlrd:rvb i="3091"/>
        </ext>
      </extLst>
    </bk>
    <bk>
      <extLst>
        <ext uri="{3e2802c4-a4d2-4d8b-9148-e3be6c30e623}">
          <xlrd:rvb i="3092"/>
        </ext>
      </extLst>
    </bk>
    <bk>
      <extLst>
        <ext uri="{3e2802c4-a4d2-4d8b-9148-e3be6c30e623}">
          <xlrd:rvb i="3093"/>
        </ext>
      </extLst>
    </bk>
    <bk>
      <extLst>
        <ext uri="{3e2802c4-a4d2-4d8b-9148-e3be6c30e623}">
          <xlrd:rvb i="3094"/>
        </ext>
      </extLst>
    </bk>
    <bk>
      <extLst>
        <ext uri="{3e2802c4-a4d2-4d8b-9148-e3be6c30e623}">
          <xlrd:rvb i="3095"/>
        </ext>
      </extLst>
    </bk>
    <bk>
      <extLst>
        <ext uri="{3e2802c4-a4d2-4d8b-9148-e3be6c30e623}">
          <xlrd:rvb i="3096"/>
        </ext>
      </extLst>
    </bk>
    <bk>
      <extLst>
        <ext uri="{3e2802c4-a4d2-4d8b-9148-e3be6c30e623}">
          <xlrd:rvb i="3097"/>
        </ext>
      </extLst>
    </bk>
    <bk>
      <extLst>
        <ext uri="{3e2802c4-a4d2-4d8b-9148-e3be6c30e623}">
          <xlrd:rvb i="3098"/>
        </ext>
      </extLst>
    </bk>
    <bk>
      <extLst>
        <ext uri="{3e2802c4-a4d2-4d8b-9148-e3be6c30e623}">
          <xlrd:rvb i="3099"/>
        </ext>
      </extLst>
    </bk>
    <bk>
      <extLst>
        <ext uri="{3e2802c4-a4d2-4d8b-9148-e3be6c30e623}">
          <xlrd:rvb i="3100"/>
        </ext>
      </extLst>
    </bk>
    <bk>
      <extLst>
        <ext uri="{3e2802c4-a4d2-4d8b-9148-e3be6c30e623}">
          <xlrd:rvb i="3101"/>
        </ext>
      </extLst>
    </bk>
    <bk>
      <extLst>
        <ext uri="{3e2802c4-a4d2-4d8b-9148-e3be6c30e623}">
          <xlrd:rvb i="3102"/>
        </ext>
      </extLst>
    </bk>
    <bk>
      <extLst>
        <ext uri="{3e2802c4-a4d2-4d8b-9148-e3be6c30e623}">
          <xlrd:rvb i="3103"/>
        </ext>
      </extLst>
    </bk>
    <bk>
      <extLst>
        <ext uri="{3e2802c4-a4d2-4d8b-9148-e3be6c30e623}">
          <xlrd:rvb i="3104"/>
        </ext>
      </extLst>
    </bk>
    <bk>
      <extLst>
        <ext uri="{3e2802c4-a4d2-4d8b-9148-e3be6c30e623}">
          <xlrd:rvb i="3105"/>
        </ext>
      </extLst>
    </bk>
    <bk>
      <extLst>
        <ext uri="{3e2802c4-a4d2-4d8b-9148-e3be6c30e623}">
          <xlrd:rvb i="3106"/>
        </ext>
      </extLst>
    </bk>
    <bk>
      <extLst>
        <ext uri="{3e2802c4-a4d2-4d8b-9148-e3be6c30e623}">
          <xlrd:rvb i="3107"/>
        </ext>
      </extLst>
    </bk>
    <bk>
      <extLst>
        <ext uri="{3e2802c4-a4d2-4d8b-9148-e3be6c30e623}">
          <xlrd:rvb i="3108"/>
        </ext>
      </extLst>
    </bk>
    <bk>
      <extLst>
        <ext uri="{3e2802c4-a4d2-4d8b-9148-e3be6c30e623}">
          <xlrd:rvb i="3109"/>
        </ext>
      </extLst>
    </bk>
    <bk>
      <extLst>
        <ext uri="{3e2802c4-a4d2-4d8b-9148-e3be6c30e623}">
          <xlrd:rvb i="3110"/>
        </ext>
      </extLst>
    </bk>
    <bk>
      <extLst>
        <ext uri="{3e2802c4-a4d2-4d8b-9148-e3be6c30e623}">
          <xlrd:rvb i="3111"/>
        </ext>
      </extLst>
    </bk>
    <bk>
      <extLst>
        <ext uri="{3e2802c4-a4d2-4d8b-9148-e3be6c30e623}">
          <xlrd:rvb i="3112"/>
        </ext>
      </extLst>
    </bk>
    <bk>
      <extLst>
        <ext uri="{3e2802c4-a4d2-4d8b-9148-e3be6c30e623}">
          <xlrd:rvb i="3113"/>
        </ext>
      </extLst>
    </bk>
    <bk>
      <extLst>
        <ext uri="{3e2802c4-a4d2-4d8b-9148-e3be6c30e623}">
          <xlrd:rvb i="3114"/>
        </ext>
      </extLst>
    </bk>
    <bk>
      <extLst>
        <ext uri="{3e2802c4-a4d2-4d8b-9148-e3be6c30e623}">
          <xlrd:rvb i="3115"/>
        </ext>
      </extLst>
    </bk>
    <bk>
      <extLst>
        <ext uri="{3e2802c4-a4d2-4d8b-9148-e3be6c30e623}">
          <xlrd:rvb i="3116"/>
        </ext>
      </extLst>
    </bk>
    <bk>
      <extLst>
        <ext uri="{3e2802c4-a4d2-4d8b-9148-e3be6c30e623}">
          <xlrd:rvb i="3117"/>
        </ext>
      </extLst>
    </bk>
    <bk>
      <extLst>
        <ext uri="{3e2802c4-a4d2-4d8b-9148-e3be6c30e623}">
          <xlrd:rvb i="3118"/>
        </ext>
      </extLst>
    </bk>
    <bk>
      <extLst>
        <ext uri="{3e2802c4-a4d2-4d8b-9148-e3be6c30e623}">
          <xlrd:rvb i="3119"/>
        </ext>
      </extLst>
    </bk>
    <bk>
      <extLst>
        <ext uri="{3e2802c4-a4d2-4d8b-9148-e3be6c30e623}">
          <xlrd:rvb i="3120"/>
        </ext>
      </extLst>
    </bk>
    <bk>
      <extLst>
        <ext uri="{3e2802c4-a4d2-4d8b-9148-e3be6c30e623}">
          <xlrd:rvb i="3121"/>
        </ext>
      </extLst>
    </bk>
    <bk>
      <extLst>
        <ext uri="{3e2802c4-a4d2-4d8b-9148-e3be6c30e623}">
          <xlrd:rvb i="3122"/>
        </ext>
      </extLst>
    </bk>
    <bk>
      <extLst>
        <ext uri="{3e2802c4-a4d2-4d8b-9148-e3be6c30e623}">
          <xlrd:rvb i="3123"/>
        </ext>
      </extLst>
    </bk>
    <bk>
      <extLst>
        <ext uri="{3e2802c4-a4d2-4d8b-9148-e3be6c30e623}">
          <xlrd:rvb i="3124"/>
        </ext>
      </extLst>
    </bk>
    <bk>
      <extLst>
        <ext uri="{3e2802c4-a4d2-4d8b-9148-e3be6c30e623}">
          <xlrd:rvb i="3125"/>
        </ext>
      </extLst>
    </bk>
    <bk>
      <extLst>
        <ext uri="{3e2802c4-a4d2-4d8b-9148-e3be6c30e623}">
          <xlrd:rvb i="3126"/>
        </ext>
      </extLst>
    </bk>
    <bk>
      <extLst>
        <ext uri="{3e2802c4-a4d2-4d8b-9148-e3be6c30e623}">
          <xlrd:rvb i="3127"/>
        </ext>
      </extLst>
    </bk>
    <bk>
      <extLst>
        <ext uri="{3e2802c4-a4d2-4d8b-9148-e3be6c30e623}">
          <xlrd:rvb i="3128"/>
        </ext>
      </extLst>
    </bk>
    <bk>
      <extLst>
        <ext uri="{3e2802c4-a4d2-4d8b-9148-e3be6c30e623}">
          <xlrd:rvb i="3129"/>
        </ext>
      </extLst>
    </bk>
    <bk>
      <extLst>
        <ext uri="{3e2802c4-a4d2-4d8b-9148-e3be6c30e623}">
          <xlrd:rvb i="3130"/>
        </ext>
      </extLst>
    </bk>
    <bk>
      <extLst>
        <ext uri="{3e2802c4-a4d2-4d8b-9148-e3be6c30e623}">
          <xlrd:rvb i="3131"/>
        </ext>
      </extLst>
    </bk>
    <bk>
      <extLst>
        <ext uri="{3e2802c4-a4d2-4d8b-9148-e3be6c30e623}">
          <xlrd:rvb i="3132"/>
        </ext>
      </extLst>
    </bk>
    <bk>
      <extLst>
        <ext uri="{3e2802c4-a4d2-4d8b-9148-e3be6c30e623}">
          <xlrd:rvb i="3133"/>
        </ext>
      </extLst>
    </bk>
    <bk>
      <extLst>
        <ext uri="{3e2802c4-a4d2-4d8b-9148-e3be6c30e623}">
          <xlrd:rvb i="3134"/>
        </ext>
      </extLst>
    </bk>
    <bk>
      <extLst>
        <ext uri="{3e2802c4-a4d2-4d8b-9148-e3be6c30e623}">
          <xlrd:rvb i="3135"/>
        </ext>
      </extLst>
    </bk>
    <bk>
      <extLst>
        <ext uri="{3e2802c4-a4d2-4d8b-9148-e3be6c30e623}">
          <xlrd:rvb i="3136"/>
        </ext>
      </extLst>
    </bk>
    <bk>
      <extLst>
        <ext uri="{3e2802c4-a4d2-4d8b-9148-e3be6c30e623}">
          <xlrd:rvb i="3137"/>
        </ext>
      </extLst>
    </bk>
    <bk>
      <extLst>
        <ext uri="{3e2802c4-a4d2-4d8b-9148-e3be6c30e623}">
          <xlrd:rvb i="3138"/>
        </ext>
      </extLst>
    </bk>
    <bk>
      <extLst>
        <ext uri="{3e2802c4-a4d2-4d8b-9148-e3be6c30e623}">
          <xlrd:rvb i="3139"/>
        </ext>
      </extLst>
    </bk>
    <bk>
      <extLst>
        <ext uri="{3e2802c4-a4d2-4d8b-9148-e3be6c30e623}">
          <xlrd:rvb i="3140"/>
        </ext>
      </extLst>
    </bk>
    <bk>
      <extLst>
        <ext uri="{3e2802c4-a4d2-4d8b-9148-e3be6c30e623}">
          <xlrd:rvb i="3141"/>
        </ext>
      </extLst>
    </bk>
    <bk>
      <extLst>
        <ext uri="{3e2802c4-a4d2-4d8b-9148-e3be6c30e623}">
          <xlrd:rvb i="3142"/>
        </ext>
      </extLst>
    </bk>
    <bk>
      <extLst>
        <ext uri="{3e2802c4-a4d2-4d8b-9148-e3be6c30e623}">
          <xlrd:rvb i="3143"/>
        </ext>
      </extLst>
    </bk>
    <bk>
      <extLst>
        <ext uri="{3e2802c4-a4d2-4d8b-9148-e3be6c30e623}">
          <xlrd:rvb i="3144"/>
        </ext>
      </extLst>
    </bk>
    <bk>
      <extLst>
        <ext uri="{3e2802c4-a4d2-4d8b-9148-e3be6c30e623}">
          <xlrd:rvb i="3145"/>
        </ext>
      </extLst>
    </bk>
    <bk>
      <extLst>
        <ext uri="{3e2802c4-a4d2-4d8b-9148-e3be6c30e623}">
          <xlrd:rvb i="3146"/>
        </ext>
      </extLst>
    </bk>
    <bk>
      <extLst>
        <ext uri="{3e2802c4-a4d2-4d8b-9148-e3be6c30e623}">
          <xlrd:rvb i="3147"/>
        </ext>
      </extLst>
    </bk>
    <bk>
      <extLst>
        <ext uri="{3e2802c4-a4d2-4d8b-9148-e3be6c30e623}">
          <xlrd:rvb i="3148"/>
        </ext>
      </extLst>
    </bk>
    <bk>
      <extLst>
        <ext uri="{3e2802c4-a4d2-4d8b-9148-e3be6c30e623}">
          <xlrd:rvb i="3149"/>
        </ext>
      </extLst>
    </bk>
    <bk>
      <extLst>
        <ext uri="{3e2802c4-a4d2-4d8b-9148-e3be6c30e623}">
          <xlrd:rvb i="3150"/>
        </ext>
      </extLst>
    </bk>
    <bk>
      <extLst>
        <ext uri="{3e2802c4-a4d2-4d8b-9148-e3be6c30e623}">
          <xlrd:rvb i="3151"/>
        </ext>
      </extLst>
    </bk>
    <bk>
      <extLst>
        <ext uri="{3e2802c4-a4d2-4d8b-9148-e3be6c30e623}">
          <xlrd:rvb i="3152"/>
        </ext>
      </extLst>
    </bk>
    <bk>
      <extLst>
        <ext uri="{3e2802c4-a4d2-4d8b-9148-e3be6c30e623}">
          <xlrd:rvb i="3153"/>
        </ext>
      </extLst>
    </bk>
    <bk>
      <extLst>
        <ext uri="{3e2802c4-a4d2-4d8b-9148-e3be6c30e623}">
          <xlrd:rvb i="3154"/>
        </ext>
      </extLst>
    </bk>
    <bk>
      <extLst>
        <ext uri="{3e2802c4-a4d2-4d8b-9148-e3be6c30e623}">
          <xlrd:rvb i="3155"/>
        </ext>
      </extLst>
    </bk>
    <bk>
      <extLst>
        <ext uri="{3e2802c4-a4d2-4d8b-9148-e3be6c30e623}">
          <xlrd:rvb i="3156"/>
        </ext>
      </extLst>
    </bk>
    <bk>
      <extLst>
        <ext uri="{3e2802c4-a4d2-4d8b-9148-e3be6c30e623}">
          <xlrd:rvb i="3157"/>
        </ext>
      </extLst>
    </bk>
    <bk>
      <extLst>
        <ext uri="{3e2802c4-a4d2-4d8b-9148-e3be6c30e623}">
          <xlrd:rvb i="3158"/>
        </ext>
      </extLst>
    </bk>
    <bk>
      <extLst>
        <ext uri="{3e2802c4-a4d2-4d8b-9148-e3be6c30e623}">
          <xlrd:rvb i="3159"/>
        </ext>
      </extLst>
    </bk>
    <bk>
      <extLst>
        <ext uri="{3e2802c4-a4d2-4d8b-9148-e3be6c30e623}">
          <xlrd:rvb i="3160"/>
        </ext>
      </extLst>
    </bk>
    <bk>
      <extLst>
        <ext uri="{3e2802c4-a4d2-4d8b-9148-e3be6c30e623}">
          <xlrd:rvb i="3161"/>
        </ext>
      </extLst>
    </bk>
    <bk>
      <extLst>
        <ext uri="{3e2802c4-a4d2-4d8b-9148-e3be6c30e623}">
          <xlrd:rvb i="3162"/>
        </ext>
      </extLst>
    </bk>
    <bk>
      <extLst>
        <ext uri="{3e2802c4-a4d2-4d8b-9148-e3be6c30e623}">
          <xlrd:rvb i="3163"/>
        </ext>
      </extLst>
    </bk>
    <bk>
      <extLst>
        <ext uri="{3e2802c4-a4d2-4d8b-9148-e3be6c30e623}">
          <xlrd:rvb i="3164"/>
        </ext>
      </extLst>
    </bk>
    <bk>
      <extLst>
        <ext uri="{3e2802c4-a4d2-4d8b-9148-e3be6c30e623}">
          <xlrd:rvb i="3165"/>
        </ext>
      </extLst>
    </bk>
    <bk>
      <extLst>
        <ext uri="{3e2802c4-a4d2-4d8b-9148-e3be6c30e623}">
          <xlrd:rvb i="3166"/>
        </ext>
      </extLst>
    </bk>
    <bk>
      <extLst>
        <ext uri="{3e2802c4-a4d2-4d8b-9148-e3be6c30e623}">
          <xlrd:rvb i="3167"/>
        </ext>
      </extLst>
    </bk>
    <bk>
      <extLst>
        <ext uri="{3e2802c4-a4d2-4d8b-9148-e3be6c30e623}">
          <xlrd:rvb i="3168"/>
        </ext>
      </extLst>
    </bk>
    <bk>
      <extLst>
        <ext uri="{3e2802c4-a4d2-4d8b-9148-e3be6c30e623}">
          <xlrd:rvb i="3169"/>
        </ext>
      </extLst>
    </bk>
    <bk>
      <extLst>
        <ext uri="{3e2802c4-a4d2-4d8b-9148-e3be6c30e623}">
          <xlrd:rvb i="3170"/>
        </ext>
      </extLst>
    </bk>
    <bk>
      <extLst>
        <ext uri="{3e2802c4-a4d2-4d8b-9148-e3be6c30e623}">
          <xlrd:rvb i="3171"/>
        </ext>
      </extLst>
    </bk>
    <bk>
      <extLst>
        <ext uri="{3e2802c4-a4d2-4d8b-9148-e3be6c30e623}">
          <xlrd:rvb i="3172"/>
        </ext>
      </extLst>
    </bk>
    <bk>
      <extLst>
        <ext uri="{3e2802c4-a4d2-4d8b-9148-e3be6c30e623}">
          <xlrd:rvb i="3173"/>
        </ext>
      </extLst>
    </bk>
    <bk>
      <extLst>
        <ext uri="{3e2802c4-a4d2-4d8b-9148-e3be6c30e623}">
          <xlrd:rvb i="3174"/>
        </ext>
      </extLst>
    </bk>
    <bk>
      <extLst>
        <ext uri="{3e2802c4-a4d2-4d8b-9148-e3be6c30e623}">
          <xlrd:rvb i="3175"/>
        </ext>
      </extLst>
    </bk>
    <bk>
      <extLst>
        <ext uri="{3e2802c4-a4d2-4d8b-9148-e3be6c30e623}">
          <xlrd:rvb i="3176"/>
        </ext>
      </extLst>
    </bk>
    <bk>
      <extLst>
        <ext uri="{3e2802c4-a4d2-4d8b-9148-e3be6c30e623}">
          <xlrd:rvb i="3177"/>
        </ext>
      </extLst>
    </bk>
    <bk>
      <extLst>
        <ext uri="{3e2802c4-a4d2-4d8b-9148-e3be6c30e623}">
          <xlrd:rvb i="3178"/>
        </ext>
      </extLst>
    </bk>
    <bk>
      <extLst>
        <ext uri="{3e2802c4-a4d2-4d8b-9148-e3be6c30e623}">
          <xlrd:rvb i="3179"/>
        </ext>
      </extLst>
    </bk>
    <bk>
      <extLst>
        <ext uri="{3e2802c4-a4d2-4d8b-9148-e3be6c30e623}">
          <xlrd:rvb i="3180"/>
        </ext>
      </extLst>
    </bk>
    <bk>
      <extLst>
        <ext uri="{3e2802c4-a4d2-4d8b-9148-e3be6c30e623}">
          <xlrd:rvb i="3181"/>
        </ext>
      </extLst>
    </bk>
    <bk>
      <extLst>
        <ext uri="{3e2802c4-a4d2-4d8b-9148-e3be6c30e623}">
          <xlrd:rvb i="3182"/>
        </ext>
      </extLst>
    </bk>
    <bk>
      <extLst>
        <ext uri="{3e2802c4-a4d2-4d8b-9148-e3be6c30e623}">
          <xlrd:rvb i="3183"/>
        </ext>
      </extLst>
    </bk>
    <bk>
      <extLst>
        <ext uri="{3e2802c4-a4d2-4d8b-9148-e3be6c30e623}">
          <xlrd:rvb i="3184"/>
        </ext>
      </extLst>
    </bk>
    <bk>
      <extLst>
        <ext uri="{3e2802c4-a4d2-4d8b-9148-e3be6c30e623}">
          <xlrd:rvb i="3185"/>
        </ext>
      </extLst>
    </bk>
    <bk>
      <extLst>
        <ext uri="{3e2802c4-a4d2-4d8b-9148-e3be6c30e623}">
          <xlrd:rvb i="3186"/>
        </ext>
      </extLst>
    </bk>
    <bk>
      <extLst>
        <ext uri="{3e2802c4-a4d2-4d8b-9148-e3be6c30e623}">
          <xlrd:rvb i="3187"/>
        </ext>
      </extLst>
    </bk>
    <bk>
      <extLst>
        <ext uri="{3e2802c4-a4d2-4d8b-9148-e3be6c30e623}">
          <xlrd:rvb i="3188"/>
        </ext>
      </extLst>
    </bk>
    <bk>
      <extLst>
        <ext uri="{3e2802c4-a4d2-4d8b-9148-e3be6c30e623}">
          <xlrd:rvb i="3189"/>
        </ext>
      </extLst>
    </bk>
    <bk>
      <extLst>
        <ext uri="{3e2802c4-a4d2-4d8b-9148-e3be6c30e623}">
          <xlrd:rvb i="3190"/>
        </ext>
      </extLst>
    </bk>
    <bk>
      <extLst>
        <ext uri="{3e2802c4-a4d2-4d8b-9148-e3be6c30e623}">
          <xlrd:rvb i="3191"/>
        </ext>
      </extLst>
    </bk>
    <bk>
      <extLst>
        <ext uri="{3e2802c4-a4d2-4d8b-9148-e3be6c30e623}">
          <xlrd:rvb i="3192"/>
        </ext>
      </extLst>
    </bk>
    <bk>
      <extLst>
        <ext uri="{3e2802c4-a4d2-4d8b-9148-e3be6c30e623}">
          <xlrd:rvb i="3193"/>
        </ext>
      </extLst>
    </bk>
    <bk>
      <extLst>
        <ext uri="{3e2802c4-a4d2-4d8b-9148-e3be6c30e623}">
          <xlrd:rvb i="3194"/>
        </ext>
      </extLst>
    </bk>
    <bk>
      <extLst>
        <ext uri="{3e2802c4-a4d2-4d8b-9148-e3be6c30e623}">
          <xlrd:rvb i="3195"/>
        </ext>
      </extLst>
    </bk>
    <bk>
      <extLst>
        <ext uri="{3e2802c4-a4d2-4d8b-9148-e3be6c30e623}">
          <xlrd:rvb i="3196"/>
        </ext>
      </extLst>
    </bk>
    <bk>
      <extLst>
        <ext uri="{3e2802c4-a4d2-4d8b-9148-e3be6c30e623}">
          <xlrd:rvb i="3197"/>
        </ext>
      </extLst>
    </bk>
    <bk>
      <extLst>
        <ext uri="{3e2802c4-a4d2-4d8b-9148-e3be6c30e623}">
          <xlrd:rvb i="3198"/>
        </ext>
      </extLst>
    </bk>
    <bk>
      <extLst>
        <ext uri="{3e2802c4-a4d2-4d8b-9148-e3be6c30e623}">
          <xlrd:rvb i="3199"/>
        </ext>
      </extLst>
    </bk>
    <bk>
      <extLst>
        <ext uri="{3e2802c4-a4d2-4d8b-9148-e3be6c30e623}">
          <xlrd:rvb i="3200"/>
        </ext>
      </extLst>
    </bk>
    <bk>
      <extLst>
        <ext uri="{3e2802c4-a4d2-4d8b-9148-e3be6c30e623}">
          <xlrd:rvb i="3201"/>
        </ext>
      </extLst>
    </bk>
    <bk>
      <extLst>
        <ext uri="{3e2802c4-a4d2-4d8b-9148-e3be6c30e623}">
          <xlrd:rvb i="3202"/>
        </ext>
      </extLst>
    </bk>
    <bk>
      <extLst>
        <ext uri="{3e2802c4-a4d2-4d8b-9148-e3be6c30e623}">
          <xlrd:rvb i="3203"/>
        </ext>
      </extLst>
    </bk>
    <bk>
      <extLst>
        <ext uri="{3e2802c4-a4d2-4d8b-9148-e3be6c30e623}">
          <xlrd:rvb i="3204"/>
        </ext>
      </extLst>
    </bk>
    <bk>
      <extLst>
        <ext uri="{3e2802c4-a4d2-4d8b-9148-e3be6c30e623}">
          <xlrd:rvb i="3205"/>
        </ext>
      </extLst>
    </bk>
    <bk>
      <extLst>
        <ext uri="{3e2802c4-a4d2-4d8b-9148-e3be6c30e623}">
          <xlrd:rvb i="3206"/>
        </ext>
      </extLst>
    </bk>
    <bk>
      <extLst>
        <ext uri="{3e2802c4-a4d2-4d8b-9148-e3be6c30e623}">
          <xlrd:rvb i="3207"/>
        </ext>
      </extLst>
    </bk>
    <bk>
      <extLst>
        <ext uri="{3e2802c4-a4d2-4d8b-9148-e3be6c30e623}">
          <xlrd:rvb i="3208"/>
        </ext>
      </extLst>
    </bk>
    <bk>
      <extLst>
        <ext uri="{3e2802c4-a4d2-4d8b-9148-e3be6c30e623}">
          <xlrd:rvb i="3209"/>
        </ext>
      </extLst>
    </bk>
    <bk>
      <extLst>
        <ext uri="{3e2802c4-a4d2-4d8b-9148-e3be6c30e623}">
          <xlrd:rvb i="3210"/>
        </ext>
      </extLst>
    </bk>
    <bk>
      <extLst>
        <ext uri="{3e2802c4-a4d2-4d8b-9148-e3be6c30e623}">
          <xlrd:rvb i="3211"/>
        </ext>
      </extLst>
    </bk>
    <bk>
      <extLst>
        <ext uri="{3e2802c4-a4d2-4d8b-9148-e3be6c30e623}">
          <xlrd:rvb i="3212"/>
        </ext>
      </extLst>
    </bk>
    <bk>
      <extLst>
        <ext uri="{3e2802c4-a4d2-4d8b-9148-e3be6c30e623}">
          <xlrd:rvb i="3213"/>
        </ext>
      </extLst>
    </bk>
    <bk>
      <extLst>
        <ext uri="{3e2802c4-a4d2-4d8b-9148-e3be6c30e623}">
          <xlrd:rvb i="3214"/>
        </ext>
      </extLst>
    </bk>
    <bk>
      <extLst>
        <ext uri="{3e2802c4-a4d2-4d8b-9148-e3be6c30e623}">
          <xlrd:rvb i="3215"/>
        </ext>
      </extLst>
    </bk>
    <bk>
      <extLst>
        <ext uri="{3e2802c4-a4d2-4d8b-9148-e3be6c30e623}">
          <xlrd:rvb i="3216"/>
        </ext>
      </extLst>
    </bk>
    <bk>
      <extLst>
        <ext uri="{3e2802c4-a4d2-4d8b-9148-e3be6c30e623}">
          <xlrd:rvb i="3217"/>
        </ext>
      </extLst>
    </bk>
    <bk>
      <extLst>
        <ext uri="{3e2802c4-a4d2-4d8b-9148-e3be6c30e623}">
          <xlrd:rvb i="3218"/>
        </ext>
      </extLst>
    </bk>
    <bk>
      <extLst>
        <ext uri="{3e2802c4-a4d2-4d8b-9148-e3be6c30e623}">
          <xlrd:rvb i="3219"/>
        </ext>
      </extLst>
    </bk>
    <bk>
      <extLst>
        <ext uri="{3e2802c4-a4d2-4d8b-9148-e3be6c30e623}">
          <xlrd:rvb i="3220"/>
        </ext>
      </extLst>
    </bk>
    <bk>
      <extLst>
        <ext uri="{3e2802c4-a4d2-4d8b-9148-e3be6c30e623}">
          <xlrd:rvb i="3221"/>
        </ext>
      </extLst>
    </bk>
    <bk>
      <extLst>
        <ext uri="{3e2802c4-a4d2-4d8b-9148-e3be6c30e623}">
          <xlrd:rvb i="3222"/>
        </ext>
      </extLst>
    </bk>
    <bk>
      <extLst>
        <ext uri="{3e2802c4-a4d2-4d8b-9148-e3be6c30e623}">
          <xlrd:rvb i="3223"/>
        </ext>
      </extLst>
    </bk>
    <bk>
      <extLst>
        <ext uri="{3e2802c4-a4d2-4d8b-9148-e3be6c30e623}">
          <xlrd:rvb i="3224"/>
        </ext>
      </extLst>
    </bk>
    <bk>
      <extLst>
        <ext uri="{3e2802c4-a4d2-4d8b-9148-e3be6c30e623}">
          <xlrd:rvb i="3225"/>
        </ext>
      </extLst>
    </bk>
    <bk>
      <extLst>
        <ext uri="{3e2802c4-a4d2-4d8b-9148-e3be6c30e623}">
          <xlrd:rvb i="3226"/>
        </ext>
      </extLst>
    </bk>
    <bk>
      <extLst>
        <ext uri="{3e2802c4-a4d2-4d8b-9148-e3be6c30e623}">
          <xlrd:rvb i="3227"/>
        </ext>
      </extLst>
    </bk>
    <bk>
      <extLst>
        <ext uri="{3e2802c4-a4d2-4d8b-9148-e3be6c30e623}">
          <xlrd:rvb i="3228"/>
        </ext>
      </extLst>
    </bk>
    <bk>
      <extLst>
        <ext uri="{3e2802c4-a4d2-4d8b-9148-e3be6c30e623}">
          <xlrd:rvb i="3229"/>
        </ext>
      </extLst>
    </bk>
    <bk>
      <extLst>
        <ext uri="{3e2802c4-a4d2-4d8b-9148-e3be6c30e623}">
          <xlrd:rvb i="3230"/>
        </ext>
      </extLst>
    </bk>
    <bk>
      <extLst>
        <ext uri="{3e2802c4-a4d2-4d8b-9148-e3be6c30e623}">
          <xlrd:rvb i="3231"/>
        </ext>
      </extLst>
    </bk>
    <bk>
      <extLst>
        <ext uri="{3e2802c4-a4d2-4d8b-9148-e3be6c30e623}">
          <xlrd:rvb i="3232"/>
        </ext>
      </extLst>
    </bk>
    <bk>
      <extLst>
        <ext uri="{3e2802c4-a4d2-4d8b-9148-e3be6c30e623}">
          <xlrd:rvb i="3233"/>
        </ext>
      </extLst>
    </bk>
    <bk>
      <extLst>
        <ext uri="{3e2802c4-a4d2-4d8b-9148-e3be6c30e623}">
          <xlrd:rvb i="3234"/>
        </ext>
      </extLst>
    </bk>
    <bk>
      <extLst>
        <ext uri="{3e2802c4-a4d2-4d8b-9148-e3be6c30e623}">
          <xlrd:rvb i="3235"/>
        </ext>
      </extLst>
    </bk>
    <bk>
      <extLst>
        <ext uri="{3e2802c4-a4d2-4d8b-9148-e3be6c30e623}">
          <xlrd:rvb i="3236"/>
        </ext>
      </extLst>
    </bk>
    <bk>
      <extLst>
        <ext uri="{3e2802c4-a4d2-4d8b-9148-e3be6c30e623}">
          <xlrd:rvb i="3237"/>
        </ext>
      </extLst>
    </bk>
    <bk>
      <extLst>
        <ext uri="{3e2802c4-a4d2-4d8b-9148-e3be6c30e623}">
          <xlrd:rvb i="3238"/>
        </ext>
      </extLst>
    </bk>
    <bk>
      <extLst>
        <ext uri="{3e2802c4-a4d2-4d8b-9148-e3be6c30e623}">
          <xlrd:rvb i="3239"/>
        </ext>
      </extLst>
    </bk>
    <bk>
      <extLst>
        <ext uri="{3e2802c4-a4d2-4d8b-9148-e3be6c30e623}">
          <xlrd:rvb i="3240"/>
        </ext>
      </extLst>
    </bk>
    <bk>
      <extLst>
        <ext uri="{3e2802c4-a4d2-4d8b-9148-e3be6c30e623}">
          <xlrd:rvb i="3241"/>
        </ext>
      </extLst>
    </bk>
    <bk>
      <extLst>
        <ext uri="{3e2802c4-a4d2-4d8b-9148-e3be6c30e623}">
          <xlrd:rvb i="3242"/>
        </ext>
      </extLst>
    </bk>
    <bk>
      <extLst>
        <ext uri="{3e2802c4-a4d2-4d8b-9148-e3be6c30e623}">
          <xlrd:rvb i="3243"/>
        </ext>
      </extLst>
    </bk>
    <bk>
      <extLst>
        <ext uri="{3e2802c4-a4d2-4d8b-9148-e3be6c30e623}">
          <xlrd:rvb i="3244"/>
        </ext>
      </extLst>
    </bk>
    <bk>
      <extLst>
        <ext uri="{3e2802c4-a4d2-4d8b-9148-e3be6c30e623}">
          <xlrd:rvb i="3245"/>
        </ext>
      </extLst>
    </bk>
    <bk>
      <extLst>
        <ext uri="{3e2802c4-a4d2-4d8b-9148-e3be6c30e623}">
          <xlrd:rvb i="3246"/>
        </ext>
      </extLst>
    </bk>
    <bk>
      <extLst>
        <ext uri="{3e2802c4-a4d2-4d8b-9148-e3be6c30e623}">
          <xlrd:rvb i="3247"/>
        </ext>
      </extLst>
    </bk>
    <bk>
      <extLst>
        <ext uri="{3e2802c4-a4d2-4d8b-9148-e3be6c30e623}">
          <xlrd:rvb i="3248"/>
        </ext>
      </extLst>
    </bk>
    <bk>
      <extLst>
        <ext uri="{3e2802c4-a4d2-4d8b-9148-e3be6c30e623}">
          <xlrd:rvb i="3249"/>
        </ext>
      </extLst>
    </bk>
    <bk>
      <extLst>
        <ext uri="{3e2802c4-a4d2-4d8b-9148-e3be6c30e623}">
          <xlrd:rvb i="3250"/>
        </ext>
      </extLst>
    </bk>
    <bk>
      <extLst>
        <ext uri="{3e2802c4-a4d2-4d8b-9148-e3be6c30e623}">
          <xlrd:rvb i="3251"/>
        </ext>
      </extLst>
    </bk>
    <bk>
      <extLst>
        <ext uri="{3e2802c4-a4d2-4d8b-9148-e3be6c30e623}">
          <xlrd:rvb i="3252"/>
        </ext>
      </extLst>
    </bk>
    <bk>
      <extLst>
        <ext uri="{3e2802c4-a4d2-4d8b-9148-e3be6c30e623}">
          <xlrd:rvb i="3253"/>
        </ext>
      </extLst>
    </bk>
    <bk>
      <extLst>
        <ext uri="{3e2802c4-a4d2-4d8b-9148-e3be6c30e623}">
          <xlrd:rvb i="3254"/>
        </ext>
      </extLst>
    </bk>
    <bk>
      <extLst>
        <ext uri="{3e2802c4-a4d2-4d8b-9148-e3be6c30e623}">
          <xlrd:rvb i="3255"/>
        </ext>
      </extLst>
    </bk>
    <bk>
      <extLst>
        <ext uri="{3e2802c4-a4d2-4d8b-9148-e3be6c30e623}">
          <xlrd:rvb i="3256"/>
        </ext>
      </extLst>
    </bk>
    <bk>
      <extLst>
        <ext uri="{3e2802c4-a4d2-4d8b-9148-e3be6c30e623}">
          <xlrd:rvb i="3257"/>
        </ext>
      </extLst>
    </bk>
    <bk>
      <extLst>
        <ext uri="{3e2802c4-a4d2-4d8b-9148-e3be6c30e623}">
          <xlrd:rvb i="3258"/>
        </ext>
      </extLst>
    </bk>
    <bk>
      <extLst>
        <ext uri="{3e2802c4-a4d2-4d8b-9148-e3be6c30e623}">
          <xlrd:rvb i="3259"/>
        </ext>
      </extLst>
    </bk>
    <bk>
      <extLst>
        <ext uri="{3e2802c4-a4d2-4d8b-9148-e3be6c30e623}">
          <xlrd:rvb i="3260"/>
        </ext>
      </extLst>
    </bk>
    <bk>
      <extLst>
        <ext uri="{3e2802c4-a4d2-4d8b-9148-e3be6c30e623}">
          <xlrd:rvb i="3261"/>
        </ext>
      </extLst>
    </bk>
    <bk>
      <extLst>
        <ext uri="{3e2802c4-a4d2-4d8b-9148-e3be6c30e623}">
          <xlrd:rvb i="3262"/>
        </ext>
      </extLst>
    </bk>
    <bk>
      <extLst>
        <ext uri="{3e2802c4-a4d2-4d8b-9148-e3be6c30e623}">
          <xlrd:rvb i="3263"/>
        </ext>
      </extLst>
    </bk>
    <bk>
      <extLst>
        <ext uri="{3e2802c4-a4d2-4d8b-9148-e3be6c30e623}">
          <xlrd:rvb i="3264"/>
        </ext>
      </extLst>
    </bk>
    <bk>
      <extLst>
        <ext uri="{3e2802c4-a4d2-4d8b-9148-e3be6c30e623}">
          <xlrd:rvb i="3265"/>
        </ext>
      </extLst>
    </bk>
    <bk>
      <extLst>
        <ext uri="{3e2802c4-a4d2-4d8b-9148-e3be6c30e623}">
          <xlrd:rvb i="3266"/>
        </ext>
      </extLst>
    </bk>
    <bk>
      <extLst>
        <ext uri="{3e2802c4-a4d2-4d8b-9148-e3be6c30e623}">
          <xlrd:rvb i="3267"/>
        </ext>
      </extLst>
    </bk>
    <bk>
      <extLst>
        <ext uri="{3e2802c4-a4d2-4d8b-9148-e3be6c30e623}">
          <xlrd:rvb i="3268"/>
        </ext>
      </extLst>
    </bk>
    <bk>
      <extLst>
        <ext uri="{3e2802c4-a4d2-4d8b-9148-e3be6c30e623}">
          <xlrd:rvb i="3269"/>
        </ext>
      </extLst>
    </bk>
    <bk>
      <extLst>
        <ext uri="{3e2802c4-a4d2-4d8b-9148-e3be6c30e623}">
          <xlrd:rvb i="3270"/>
        </ext>
      </extLst>
    </bk>
    <bk>
      <extLst>
        <ext uri="{3e2802c4-a4d2-4d8b-9148-e3be6c30e623}">
          <xlrd:rvb i="3271"/>
        </ext>
      </extLst>
    </bk>
    <bk>
      <extLst>
        <ext uri="{3e2802c4-a4d2-4d8b-9148-e3be6c30e623}">
          <xlrd:rvb i="3272"/>
        </ext>
      </extLst>
    </bk>
    <bk>
      <extLst>
        <ext uri="{3e2802c4-a4d2-4d8b-9148-e3be6c30e623}">
          <xlrd:rvb i="3273"/>
        </ext>
      </extLst>
    </bk>
    <bk>
      <extLst>
        <ext uri="{3e2802c4-a4d2-4d8b-9148-e3be6c30e623}">
          <xlrd:rvb i="3274"/>
        </ext>
      </extLst>
    </bk>
    <bk>
      <extLst>
        <ext uri="{3e2802c4-a4d2-4d8b-9148-e3be6c30e623}">
          <xlrd:rvb i="3275"/>
        </ext>
      </extLst>
    </bk>
    <bk>
      <extLst>
        <ext uri="{3e2802c4-a4d2-4d8b-9148-e3be6c30e623}">
          <xlrd:rvb i="3276"/>
        </ext>
      </extLst>
    </bk>
    <bk>
      <extLst>
        <ext uri="{3e2802c4-a4d2-4d8b-9148-e3be6c30e623}">
          <xlrd:rvb i="3277"/>
        </ext>
      </extLst>
    </bk>
    <bk>
      <extLst>
        <ext uri="{3e2802c4-a4d2-4d8b-9148-e3be6c30e623}">
          <xlrd:rvb i="3278"/>
        </ext>
      </extLst>
    </bk>
    <bk>
      <extLst>
        <ext uri="{3e2802c4-a4d2-4d8b-9148-e3be6c30e623}">
          <xlrd:rvb i="3279"/>
        </ext>
      </extLst>
    </bk>
    <bk>
      <extLst>
        <ext uri="{3e2802c4-a4d2-4d8b-9148-e3be6c30e623}">
          <xlrd:rvb i="3280"/>
        </ext>
      </extLst>
    </bk>
    <bk>
      <extLst>
        <ext uri="{3e2802c4-a4d2-4d8b-9148-e3be6c30e623}">
          <xlrd:rvb i="3281"/>
        </ext>
      </extLst>
    </bk>
    <bk>
      <extLst>
        <ext uri="{3e2802c4-a4d2-4d8b-9148-e3be6c30e623}">
          <xlrd:rvb i="3282"/>
        </ext>
      </extLst>
    </bk>
    <bk>
      <extLst>
        <ext uri="{3e2802c4-a4d2-4d8b-9148-e3be6c30e623}">
          <xlrd:rvb i="3283"/>
        </ext>
      </extLst>
    </bk>
    <bk>
      <extLst>
        <ext uri="{3e2802c4-a4d2-4d8b-9148-e3be6c30e623}">
          <xlrd:rvb i="3284"/>
        </ext>
      </extLst>
    </bk>
    <bk>
      <extLst>
        <ext uri="{3e2802c4-a4d2-4d8b-9148-e3be6c30e623}">
          <xlrd:rvb i="3285"/>
        </ext>
      </extLst>
    </bk>
    <bk>
      <extLst>
        <ext uri="{3e2802c4-a4d2-4d8b-9148-e3be6c30e623}">
          <xlrd:rvb i="3286"/>
        </ext>
      </extLst>
    </bk>
    <bk>
      <extLst>
        <ext uri="{3e2802c4-a4d2-4d8b-9148-e3be6c30e623}">
          <xlrd:rvb i="3287"/>
        </ext>
      </extLst>
    </bk>
    <bk>
      <extLst>
        <ext uri="{3e2802c4-a4d2-4d8b-9148-e3be6c30e623}">
          <xlrd:rvb i="3288"/>
        </ext>
      </extLst>
    </bk>
    <bk>
      <extLst>
        <ext uri="{3e2802c4-a4d2-4d8b-9148-e3be6c30e623}">
          <xlrd:rvb i="3289"/>
        </ext>
      </extLst>
    </bk>
    <bk>
      <extLst>
        <ext uri="{3e2802c4-a4d2-4d8b-9148-e3be6c30e623}">
          <xlrd:rvb i="3290"/>
        </ext>
      </extLst>
    </bk>
    <bk>
      <extLst>
        <ext uri="{3e2802c4-a4d2-4d8b-9148-e3be6c30e623}">
          <xlrd:rvb i="3291"/>
        </ext>
      </extLst>
    </bk>
    <bk>
      <extLst>
        <ext uri="{3e2802c4-a4d2-4d8b-9148-e3be6c30e623}">
          <xlrd:rvb i="3292"/>
        </ext>
      </extLst>
    </bk>
    <bk>
      <extLst>
        <ext uri="{3e2802c4-a4d2-4d8b-9148-e3be6c30e623}">
          <xlrd:rvb i="3293"/>
        </ext>
      </extLst>
    </bk>
    <bk>
      <extLst>
        <ext uri="{3e2802c4-a4d2-4d8b-9148-e3be6c30e623}">
          <xlrd:rvb i="3294"/>
        </ext>
      </extLst>
    </bk>
    <bk>
      <extLst>
        <ext uri="{3e2802c4-a4d2-4d8b-9148-e3be6c30e623}">
          <xlrd:rvb i="3295"/>
        </ext>
      </extLst>
    </bk>
    <bk>
      <extLst>
        <ext uri="{3e2802c4-a4d2-4d8b-9148-e3be6c30e623}">
          <xlrd:rvb i="3296"/>
        </ext>
      </extLst>
    </bk>
    <bk>
      <extLst>
        <ext uri="{3e2802c4-a4d2-4d8b-9148-e3be6c30e623}">
          <xlrd:rvb i="3297"/>
        </ext>
      </extLst>
    </bk>
    <bk>
      <extLst>
        <ext uri="{3e2802c4-a4d2-4d8b-9148-e3be6c30e623}">
          <xlrd:rvb i="3298"/>
        </ext>
      </extLst>
    </bk>
    <bk>
      <extLst>
        <ext uri="{3e2802c4-a4d2-4d8b-9148-e3be6c30e623}">
          <xlrd:rvb i="3299"/>
        </ext>
      </extLst>
    </bk>
    <bk>
      <extLst>
        <ext uri="{3e2802c4-a4d2-4d8b-9148-e3be6c30e623}">
          <xlrd:rvb i="3300"/>
        </ext>
      </extLst>
    </bk>
    <bk>
      <extLst>
        <ext uri="{3e2802c4-a4d2-4d8b-9148-e3be6c30e623}">
          <xlrd:rvb i="3301"/>
        </ext>
      </extLst>
    </bk>
    <bk>
      <extLst>
        <ext uri="{3e2802c4-a4d2-4d8b-9148-e3be6c30e623}">
          <xlrd:rvb i="3302"/>
        </ext>
      </extLst>
    </bk>
    <bk>
      <extLst>
        <ext uri="{3e2802c4-a4d2-4d8b-9148-e3be6c30e623}">
          <xlrd:rvb i="3303"/>
        </ext>
      </extLst>
    </bk>
    <bk>
      <extLst>
        <ext uri="{3e2802c4-a4d2-4d8b-9148-e3be6c30e623}">
          <xlrd:rvb i="3304"/>
        </ext>
      </extLst>
    </bk>
    <bk>
      <extLst>
        <ext uri="{3e2802c4-a4d2-4d8b-9148-e3be6c30e623}">
          <xlrd:rvb i="3305"/>
        </ext>
      </extLst>
    </bk>
    <bk>
      <extLst>
        <ext uri="{3e2802c4-a4d2-4d8b-9148-e3be6c30e623}">
          <xlrd:rvb i="3306"/>
        </ext>
      </extLst>
    </bk>
    <bk>
      <extLst>
        <ext uri="{3e2802c4-a4d2-4d8b-9148-e3be6c30e623}">
          <xlrd:rvb i="3307"/>
        </ext>
      </extLst>
    </bk>
    <bk>
      <extLst>
        <ext uri="{3e2802c4-a4d2-4d8b-9148-e3be6c30e623}">
          <xlrd:rvb i="3308"/>
        </ext>
      </extLst>
    </bk>
    <bk>
      <extLst>
        <ext uri="{3e2802c4-a4d2-4d8b-9148-e3be6c30e623}">
          <xlrd:rvb i="3309"/>
        </ext>
      </extLst>
    </bk>
    <bk>
      <extLst>
        <ext uri="{3e2802c4-a4d2-4d8b-9148-e3be6c30e623}">
          <xlrd:rvb i="3310"/>
        </ext>
      </extLst>
    </bk>
    <bk>
      <extLst>
        <ext uri="{3e2802c4-a4d2-4d8b-9148-e3be6c30e623}">
          <xlrd:rvb i="3311"/>
        </ext>
      </extLst>
    </bk>
    <bk>
      <extLst>
        <ext uri="{3e2802c4-a4d2-4d8b-9148-e3be6c30e623}">
          <xlrd:rvb i="3312"/>
        </ext>
      </extLst>
    </bk>
    <bk>
      <extLst>
        <ext uri="{3e2802c4-a4d2-4d8b-9148-e3be6c30e623}">
          <xlrd:rvb i="3313"/>
        </ext>
      </extLst>
    </bk>
    <bk>
      <extLst>
        <ext uri="{3e2802c4-a4d2-4d8b-9148-e3be6c30e623}">
          <xlrd:rvb i="3314"/>
        </ext>
      </extLst>
    </bk>
    <bk>
      <extLst>
        <ext uri="{3e2802c4-a4d2-4d8b-9148-e3be6c30e623}">
          <xlrd:rvb i="3315"/>
        </ext>
      </extLst>
    </bk>
    <bk>
      <extLst>
        <ext uri="{3e2802c4-a4d2-4d8b-9148-e3be6c30e623}">
          <xlrd:rvb i="3316"/>
        </ext>
      </extLst>
    </bk>
    <bk>
      <extLst>
        <ext uri="{3e2802c4-a4d2-4d8b-9148-e3be6c30e623}">
          <xlrd:rvb i="3317"/>
        </ext>
      </extLst>
    </bk>
    <bk>
      <extLst>
        <ext uri="{3e2802c4-a4d2-4d8b-9148-e3be6c30e623}">
          <xlrd:rvb i="3318"/>
        </ext>
      </extLst>
    </bk>
    <bk>
      <extLst>
        <ext uri="{3e2802c4-a4d2-4d8b-9148-e3be6c30e623}">
          <xlrd:rvb i="3319"/>
        </ext>
      </extLst>
    </bk>
    <bk>
      <extLst>
        <ext uri="{3e2802c4-a4d2-4d8b-9148-e3be6c30e623}">
          <xlrd:rvb i="3320"/>
        </ext>
      </extLst>
    </bk>
    <bk>
      <extLst>
        <ext uri="{3e2802c4-a4d2-4d8b-9148-e3be6c30e623}">
          <xlrd:rvb i="3321"/>
        </ext>
      </extLst>
    </bk>
    <bk>
      <extLst>
        <ext uri="{3e2802c4-a4d2-4d8b-9148-e3be6c30e623}">
          <xlrd:rvb i="3322"/>
        </ext>
      </extLst>
    </bk>
    <bk>
      <extLst>
        <ext uri="{3e2802c4-a4d2-4d8b-9148-e3be6c30e623}">
          <xlrd:rvb i="3323"/>
        </ext>
      </extLst>
    </bk>
    <bk>
      <extLst>
        <ext uri="{3e2802c4-a4d2-4d8b-9148-e3be6c30e623}">
          <xlrd:rvb i="3324"/>
        </ext>
      </extLst>
    </bk>
    <bk>
      <extLst>
        <ext uri="{3e2802c4-a4d2-4d8b-9148-e3be6c30e623}">
          <xlrd:rvb i="3325"/>
        </ext>
      </extLst>
    </bk>
    <bk>
      <extLst>
        <ext uri="{3e2802c4-a4d2-4d8b-9148-e3be6c30e623}">
          <xlrd:rvb i="3326"/>
        </ext>
      </extLst>
    </bk>
    <bk>
      <extLst>
        <ext uri="{3e2802c4-a4d2-4d8b-9148-e3be6c30e623}">
          <xlrd:rvb i="3327"/>
        </ext>
      </extLst>
    </bk>
    <bk>
      <extLst>
        <ext uri="{3e2802c4-a4d2-4d8b-9148-e3be6c30e623}">
          <xlrd:rvb i="3328"/>
        </ext>
      </extLst>
    </bk>
    <bk>
      <extLst>
        <ext uri="{3e2802c4-a4d2-4d8b-9148-e3be6c30e623}">
          <xlrd:rvb i="3329"/>
        </ext>
      </extLst>
    </bk>
    <bk>
      <extLst>
        <ext uri="{3e2802c4-a4d2-4d8b-9148-e3be6c30e623}">
          <xlrd:rvb i="3330"/>
        </ext>
      </extLst>
    </bk>
    <bk>
      <extLst>
        <ext uri="{3e2802c4-a4d2-4d8b-9148-e3be6c30e623}">
          <xlrd:rvb i="3331"/>
        </ext>
      </extLst>
    </bk>
    <bk>
      <extLst>
        <ext uri="{3e2802c4-a4d2-4d8b-9148-e3be6c30e623}">
          <xlrd:rvb i="3332"/>
        </ext>
      </extLst>
    </bk>
    <bk>
      <extLst>
        <ext uri="{3e2802c4-a4d2-4d8b-9148-e3be6c30e623}">
          <xlrd:rvb i="3333"/>
        </ext>
      </extLst>
    </bk>
    <bk>
      <extLst>
        <ext uri="{3e2802c4-a4d2-4d8b-9148-e3be6c30e623}">
          <xlrd:rvb i="3334"/>
        </ext>
      </extLst>
    </bk>
    <bk>
      <extLst>
        <ext uri="{3e2802c4-a4d2-4d8b-9148-e3be6c30e623}">
          <xlrd:rvb i="3335"/>
        </ext>
      </extLst>
    </bk>
    <bk>
      <extLst>
        <ext uri="{3e2802c4-a4d2-4d8b-9148-e3be6c30e623}">
          <xlrd:rvb i="3336"/>
        </ext>
      </extLst>
    </bk>
    <bk>
      <extLst>
        <ext uri="{3e2802c4-a4d2-4d8b-9148-e3be6c30e623}">
          <xlrd:rvb i="3337"/>
        </ext>
      </extLst>
    </bk>
    <bk>
      <extLst>
        <ext uri="{3e2802c4-a4d2-4d8b-9148-e3be6c30e623}">
          <xlrd:rvb i="3338"/>
        </ext>
      </extLst>
    </bk>
    <bk>
      <extLst>
        <ext uri="{3e2802c4-a4d2-4d8b-9148-e3be6c30e623}">
          <xlrd:rvb i="3339"/>
        </ext>
      </extLst>
    </bk>
    <bk>
      <extLst>
        <ext uri="{3e2802c4-a4d2-4d8b-9148-e3be6c30e623}">
          <xlrd:rvb i="3340"/>
        </ext>
      </extLst>
    </bk>
    <bk>
      <extLst>
        <ext uri="{3e2802c4-a4d2-4d8b-9148-e3be6c30e623}">
          <xlrd:rvb i="3341"/>
        </ext>
      </extLst>
    </bk>
    <bk>
      <extLst>
        <ext uri="{3e2802c4-a4d2-4d8b-9148-e3be6c30e623}">
          <xlrd:rvb i="3342"/>
        </ext>
      </extLst>
    </bk>
    <bk>
      <extLst>
        <ext uri="{3e2802c4-a4d2-4d8b-9148-e3be6c30e623}">
          <xlrd:rvb i="3343"/>
        </ext>
      </extLst>
    </bk>
    <bk>
      <extLst>
        <ext uri="{3e2802c4-a4d2-4d8b-9148-e3be6c30e623}">
          <xlrd:rvb i="3344"/>
        </ext>
      </extLst>
    </bk>
    <bk>
      <extLst>
        <ext uri="{3e2802c4-a4d2-4d8b-9148-e3be6c30e623}">
          <xlrd:rvb i="3345"/>
        </ext>
      </extLst>
    </bk>
    <bk>
      <extLst>
        <ext uri="{3e2802c4-a4d2-4d8b-9148-e3be6c30e623}">
          <xlrd:rvb i="3346"/>
        </ext>
      </extLst>
    </bk>
    <bk>
      <extLst>
        <ext uri="{3e2802c4-a4d2-4d8b-9148-e3be6c30e623}">
          <xlrd:rvb i="3347"/>
        </ext>
      </extLst>
    </bk>
    <bk>
      <extLst>
        <ext uri="{3e2802c4-a4d2-4d8b-9148-e3be6c30e623}">
          <xlrd:rvb i="3348"/>
        </ext>
      </extLst>
    </bk>
    <bk>
      <extLst>
        <ext uri="{3e2802c4-a4d2-4d8b-9148-e3be6c30e623}">
          <xlrd:rvb i="3349"/>
        </ext>
      </extLst>
    </bk>
    <bk>
      <extLst>
        <ext uri="{3e2802c4-a4d2-4d8b-9148-e3be6c30e623}">
          <xlrd:rvb i="3350"/>
        </ext>
      </extLst>
    </bk>
    <bk>
      <extLst>
        <ext uri="{3e2802c4-a4d2-4d8b-9148-e3be6c30e623}">
          <xlrd:rvb i="3351"/>
        </ext>
      </extLst>
    </bk>
    <bk>
      <extLst>
        <ext uri="{3e2802c4-a4d2-4d8b-9148-e3be6c30e623}">
          <xlrd:rvb i="3352"/>
        </ext>
      </extLst>
    </bk>
    <bk>
      <extLst>
        <ext uri="{3e2802c4-a4d2-4d8b-9148-e3be6c30e623}">
          <xlrd:rvb i="3353"/>
        </ext>
      </extLst>
    </bk>
    <bk>
      <extLst>
        <ext uri="{3e2802c4-a4d2-4d8b-9148-e3be6c30e623}">
          <xlrd:rvb i="3354"/>
        </ext>
      </extLst>
    </bk>
    <bk>
      <extLst>
        <ext uri="{3e2802c4-a4d2-4d8b-9148-e3be6c30e623}">
          <xlrd:rvb i="3355"/>
        </ext>
      </extLst>
    </bk>
    <bk>
      <extLst>
        <ext uri="{3e2802c4-a4d2-4d8b-9148-e3be6c30e623}">
          <xlrd:rvb i="3356"/>
        </ext>
      </extLst>
    </bk>
    <bk>
      <extLst>
        <ext uri="{3e2802c4-a4d2-4d8b-9148-e3be6c30e623}">
          <xlrd:rvb i="3357"/>
        </ext>
      </extLst>
    </bk>
    <bk>
      <extLst>
        <ext uri="{3e2802c4-a4d2-4d8b-9148-e3be6c30e623}">
          <xlrd:rvb i="3358"/>
        </ext>
      </extLst>
    </bk>
    <bk>
      <extLst>
        <ext uri="{3e2802c4-a4d2-4d8b-9148-e3be6c30e623}">
          <xlrd:rvb i="3359"/>
        </ext>
      </extLst>
    </bk>
    <bk>
      <extLst>
        <ext uri="{3e2802c4-a4d2-4d8b-9148-e3be6c30e623}">
          <xlrd:rvb i="3360"/>
        </ext>
      </extLst>
    </bk>
    <bk>
      <extLst>
        <ext uri="{3e2802c4-a4d2-4d8b-9148-e3be6c30e623}">
          <xlrd:rvb i="3361"/>
        </ext>
      </extLst>
    </bk>
    <bk>
      <extLst>
        <ext uri="{3e2802c4-a4d2-4d8b-9148-e3be6c30e623}">
          <xlrd:rvb i="3362"/>
        </ext>
      </extLst>
    </bk>
    <bk>
      <extLst>
        <ext uri="{3e2802c4-a4d2-4d8b-9148-e3be6c30e623}">
          <xlrd:rvb i="3363"/>
        </ext>
      </extLst>
    </bk>
    <bk>
      <extLst>
        <ext uri="{3e2802c4-a4d2-4d8b-9148-e3be6c30e623}">
          <xlrd:rvb i="3364"/>
        </ext>
      </extLst>
    </bk>
    <bk>
      <extLst>
        <ext uri="{3e2802c4-a4d2-4d8b-9148-e3be6c30e623}">
          <xlrd:rvb i="3365"/>
        </ext>
      </extLst>
    </bk>
    <bk>
      <extLst>
        <ext uri="{3e2802c4-a4d2-4d8b-9148-e3be6c30e623}">
          <xlrd:rvb i="3366"/>
        </ext>
      </extLst>
    </bk>
    <bk>
      <extLst>
        <ext uri="{3e2802c4-a4d2-4d8b-9148-e3be6c30e623}">
          <xlrd:rvb i="3367"/>
        </ext>
      </extLst>
    </bk>
    <bk>
      <extLst>
        <ext uri="{3e2802c4-a4d2-4d8b-9148-e3be6c30e623}">
          <xlrd:rvb i="3368"/>
        </ext>
      </extLst>
    </bk>
    <bk>
      <extLst>
        <ext uri="{3e2802c4-a4d2-4d8b-9148-e3be6c30e623}">
          <xlrd:rvb i="3369"/>
        </ext>
      </extLst>
    </bk>
    <bk>
      <extLst>
        <ext uri="{3e2802c4-a4d2-4d8b-9148-e3be6c30e623}">
          <xlrd:rvb i="3370"/>
        </ext>
      </extLst>
    </bk>
    <bk>
      <extLst>
        <ext uri="{3e2802c4-a4d2-4d8b-9148-e3be6c30e623}">
          <xlrd:rvb i="3371"/>
        </ext>
      </extLst>
    </bk>
    <bk>
      <extLst>
        <ext uri="{3e2802c4-a4d2-4d8b-9148-e3be6c30e623}">
          <xlrd:rvb i="3372"/>
        </ext>
      </extLst>
    </bk>
    <bk>
      <extLst>
        <ext uri="{3e2802c4-a4d2-4d8b-9148-e3be6c30e623}">
          <xlrd:rvb i="3373"/>
        </ext>
      </extLst>
    </bk>
    <bk>
      <extLst>
        <ext uri="{3e2802c4-a4d2-4d8b-9148-e3be6c30e623}">
          <xlrd:rvb i="3374"/>
        </ext>
      </extLst>
    </bk>
    <bk>
      <extLst>
        <ext uri="{3e2802c4-a4d2-4d8b-9148-e3be6c30e623}">
          <xlrd:rvb i="3375"/>
        </ext>
      </extLst>
    </bk>
    <bk>
      <extLst>
        <ext uri="{3e2802c4-a4d2-4d8b-9148-e3be6c30e623}">
          <xlrd:rvb i="3376"/>
        </ext>
      </extLst>
    </bk>
    <bk>
      <extLst>
        <ext uri="{3e2802c4-a4d2-4d8b-9148-e3be6c30e623}">
          <xlrd:rvb i="3377"/>
        </ext>
      </extLst>
    </bk>
    <bk>
      <extLst>
        <ext uri="{3e2802c4-a4d2-4d8b-9148-e3be6c30e623}">
          <xlrd:rvb i="3378"/>
        </ext>
      </extLst>
    </bk>
    <bk>
      <extLst>
        <ext uri="{3e2802c4-a4d2-4d8b-9148-e3be6c30e623}">
          <xlrd:rvb i="3379"/>
        </ext>
      </extLst>
    </bk>
    <bk>
      <extLst>
        <ext uri="{3e2802c4-a4d2-4d8b-9148-e3be6c30e623}">
          <xlrd:rvb i="3380"/>
        </ext>
      </extLst>
    </bk>
    <bk>
      <extLst>
        <ext uri="{3e2802c4-a4d2-4d8b-9148-e3be6c30e623}">
          <xlrd:rvb i="3381"/>
        </ext>
      </extLst>
    </bk>
    <bk>
      <extLst>
        <ext uri="{3e2802c4-a4d2-4d8b-9148-e3be6c30e623}">
          <xlrd:rvb i="3382"/>
        </ext>
      </extLst>
    </bk>
    <bk>
      <extLst>
        <ext uri="{3e2802c4-a4d2-4d8b-9148-e3be6c30e623}">
          <xlrd:rvb i="3383"/>
        </ext>
      </extLst>
    </bk>
    <bk>
      <extLst>
        <ext uri="{3e2802c4-a4d2-4d8b-9148-e3be6c30e623}">
          <xlrd:rvb i="3384"/>
        </ext>
      </extLst>
    </bk>
    <bk>
      <extLst>
        <ext uri="{3e2802c4-a4d2-4d8b-9148-e3be6c30e623}">
          <xlrd:rvb i="3385"/>
        </ext>
      </extLst>
    </bk>
    <bk>
      <extLst>
        <ext uri="{3e2802c4-a4d2-4d8b-9148-e3be6c30e623}">
          <xlrd:rvb i="3386"/>
        </ext>
      </extLst>
    </bk>
    <bk>
      <extLst>
        <ext uri="{3e2802c4-a4d2-4d8b-9148-e3be6c30e623}">
          <xlrd:rvb i="3387"/>
        </ext>
      </extLst>
    </bk>
    <bk>
      <extLst>
        <ext uri="{3e2802c4-a4d2-4d8b-9148-e3be6c30e623}">
          <xlrd:rvb i="3388"/>
        </ext>
      </extLst>
    </bk>
    <bk>
      <extLst>
        <ext uri="{3e2802c4-a4d2-4d8b-9148-e3be6c30e623}">
          <xlrd:rvb i="3389"/>
        </ext>
      </extLst>
    </bk>
    <bk>
      <extLst>
        <ext uri="{3e2802c4-a4d2-4d8b-9148-e3be6c30e623}">
          <xlrd:rvb i="3390"/>
        </ext>
      </extLst>
    </bk>
    <bk>
      <extLst>
        <ext uri="{3e2802c4-a4d2-4d8b-9148-e3be6c30e623}">
          <xlrd:rvb i="3391"/>
        </ext>
      </extLst>
    </bk>
    <bk>
      <extLst>
        <ext uri="{3e2802c4-a4d2-4d8b-9148-e3be6c30e623}">
          <xlrd:rvb i="3392"/>
        </ext>
      </extLst>
    </bk>
    <bk>
      <extLst>
        <ext uri="{3e2802c4-a4d2-4d8b-9148-e3be6c30e623}">
          <xlrd:rvb i="3393"/>
        </ext>
      </extLst>
    </bk>
    <bk>
      <extLst>
        <ext uri="{3e2802c4-a4d2-4d8b-9148-e3be6c30e623}">
          <xlrd:rvb i="3394"/>
        </ext>
      </extLst>
    </bk>
    <bk>
      <extLst>
        <ext uri="{3e2802c4-a4d2-4d8b-9148-e3be6c30e623}">
          <xlrd:rvb i="3395"/>
        </ext>
      </extLst>
    </bk>
    <bk>
      <extLst>
        <ext uri="{3e2802c4-a4d2-4d8b-9148-e3be6c30e623}">
          <xlrd:rvb i="3396"/>
        </ext>
      </extLst>
    </bk>
    <bk>
      <extLst>
        <ext uri="{3e2802c4-a4d2-4d8b-9148-e3be6c30e623}">
          <xlrd:rvb i="3397"/>
        </ext>
      </extLst>
    </bk>
    <bk>
      <extLst>
        <ext uri="{3e2802c4-a4d2-4d8b-9148-e3be6c30e623}">
          <xlrd:rvb i="3398"/>
        </ext>
      </extLst>
    </bk>
    <bk>
      <extLst>
        <ext uri="{3e2802c4-a4d2-4d8b-9148-e3be6c30e623}">
          <xlrd:rvb i="3399"/>
        </ext>
      </extLst>
    </bk>
    <bk>
      <extLst>
        <ext uri="{3e2802c4-a4d2-4d8b-9148-e3be6c30e623}">
          <xlrd:rvb i="3400"/>
        </ext>
      </extLst>
    </bk>
    <bk>
      <extLst>
        <ext uri="{3e2802c4-a4d2-4d8b-9148-e3be6c30e623}">
          <xlrd:rvb i="3401"/>
        </ext>
      </extLst>
    </bk>
    <bk>
      <extLst>
        <ext uri="{3e2802c4-a4d2-4d8b-9148-e3be6c30e623}">
          <xlrd:rvb i="3402"/>
        </ext>
      </extLst>
    </bk>
    <bk>
      <extLst>
        <ext uri="{3e2802c4-a4d2-4d8b-9148-e3be6c30e623}">
          <xlrd:rvb i="3403"/>
        </ext>
      </extLst>
    </bk>
    <bk>
      <extLst>
        <ext uri="{3e2802c4-a4d2-4d8b-9148-e3be6c30e623}">
          <xlrd:rvb i="3404"/>
        </ext>
      </extLst>
    </bk>
    <bk>
      <extLst>
        <ext uri="{3e2802c4-a4d2-4d8b-9148-e3be6c30e623}">
          <xlrd:rvb i="3405"/>
        </ext>
      </extLst>
    </bk>
    <bk>
      <extLst>
        <ext uri="{3e2802c4-a4d2-4d8b-9148-e3be6c30e623}">
          <xlrd:rvb i="3406"/>
        </ext>
      </extLst>
    </bk>
    <bk>
      <extLst>
        <ext uri="{3e2802c4-a4d2-4d8b-9148-e3be6c30e623}">
          <xlrd:rvb i="3407"/>
        </ext>
      </extLst>
    </bk>
    <bk>
      <extLst>
        <ext uri="{3e2802c4-a4d2-4d8b-9148-e3be6c30e623}">
          <xlrd:rvb i="3408"/>
        </ext>
      </extLst>
    </bk>
    <bk>
      <extLst>
        <ext uri="{3e2802c4-a4d2-4d8b-9148-e3be6c30e623}">
          <xlrd:rvb i="3409"/>
        </ext>
      </extLst>
    </bk>
    <bk>
      <extLst>
        <ext uri="{3e2802c4-a4d2-4d8b-9148-e3be6c30e623}">
          <xlrd:rvb i="3410"/>
        </ext>
      </extLst>
    </bk>
    <bk>
      <extLst>
        <ext uri="{3e2802c4-a4d2-4d8b-9148-e3be6c30e623}">
          <xlrd:rvb i="3411"/>
        </ext>
      </extLst>
    </bk>
    <bk>
      <extLst>
        <ext uri="{3e2802c4-a4d2-4d8b-9148-e3be6c30e623}">
          <xlrd:rvb i="3412"/>
        </ext>
      </extLst>
    </bk>
    <bk>
      <extLst>
        <ext uri="{3e2802c4-a4d2-4d8b-9148-e3be6c30e623}">
          <xlrd:rvb i="3413"/>
        </ext>
      </extLst>
    </bk>
    <bk>
      <extLst>
        <ext uri="{3e2802c4-a4d2-4d8b-9148-e3be6c30e623}">
          <xlrd:rvb i="3414"/>
        </ext>
      </extLst>
    </bk>
    <bk>
      <extLst>
        <ext uri="{3e2802c4-a4d2-4d8b-9148-e3be6c30e623}">
          <xlrd:rvb i="3415"/>
        </ext>
      </extLst>
    </bk>
    <bk>
      <extLst>
        <ext uri="{3e2802c4-a4d2-4d8b-9148-e3be6c30e623}">
          <xlrd:rvb i="3416"/>
        </ext>
      </extLst>
    </bk>
    <bk>
      <extLst>
        <ext uri="{3e2802c4-a4d2-4d8b-9148-e3be6c30e623}">
          <xlrd:rvb i="3417"/>
        </ext>
      </extLst>
    </bk>
    <bk>
      <extLst>
        <ext uri="{3e2802c4-a4d2-4d8b-9148-e3be6c30e623}">
          <xlrd:rvb i="3418"/>
        </ext>
      </extLst>
    </bk>
    <bk>
      <extLst>
        <ext uri="{3e2802c4-a4d2-4d8b-9148-e3be6c30e623}">
          <xlrd:rvb i="3419"/>
        </ext>
      </extLst>
    </bk>
    <bk>
      <extLst>
        <ext uri="{3e2802c4-a4d2-4d8b-9148-e3be6c30e623}">
          <xlrd:rvb i="3420"/>
        </ext>
      </extLst>
    </bk>
    <bk>
      <extLst>
        <ext uri="{3e2802c4-a4d2-4d8b-9148-e3be6c30e623}">
          <xlrd:rvb i="3421"/>
        </ext>
      </extLst>
    </bk>
    <bk>
      <extLst>
        <ext uri="{3e2802c4-a4d2-4d8b-9148-e3be6c30e623}">
          <xlrd:rvb i="3422"/>
        </ext>
      </extLst>
    </bk>
    <bk>
      <extLst>
        <ext uri="{3e2802c4-a4d2-4d8b-9148-e3be6c30e623}">
          <xlrd:rvb i="3423"/>
        </ext>
      </extLst>
    </bk>
    <bk>
      <extLst>
        <ext uri="{3e2802c4-a4d2-4d8b-9148-e3be6c30e623}">
          <xlrd:rvb i="3424"/>
        </ext>
      </extLst>
    </bk>
    <bk>
      <extLst>
        <ext uri="{3e2802c4-a4d2-4d8b-9148-e3be6c30e623}">
          <xlrd:rvb i="3425"/>
        </ext>
      </extLst>
    </bk>
    <bk>
      <extLst>
        <ext uri="{3e2802c4-a4d2-4d8b-9148-e3be6c30e623}">
          <xlrd:rvb i="3426"/>
        </ext>
      </extLst>
    </bk>
    <bk>
      <extLst>
        <ext uri="{3e2802c4-a4d2-4d8b-9148-e3be6c30e623}">
          <xlrd:rvb i="3427"/>
        </ext>
      </extLst>
    </bk>
    <bk>
      <extLst>
        <ext uri="{3e2802c4-a4d2-4d8b-9148-e3be6c30e623}">
          <xlrd:rvb i="3428"/>
        </ext>
      </extLst>
    </bk>
    <bk>
      <extLst>
        <ext uri="{3e2802c4-a4d2-4d8b-9148-e3be6c30e623}">
          <xlrd:rvb i="3429"/>
        </ext>
      </extLst>
    </bk>
    <bk>
      <extLst>
        <ext uri="{3e2802c4-a4d2-4d8b-9148-e3be6c30e623}">
          <xlrd:rvb i="3430"/>
        </ext>
      </extLst>
    </bk>
    <bk>
      <extLst>
        <ext uri="{3e2802c4-a4d2-4d8b-9148-e3be6c30e623}">
          <xlrd:rvb i="3431"/>
        </ext>
      </extLst>
    </bk>
    <bk>
      <extLst>
        <ext uri="{3e2802c4-a4d2-4d8b-9148-e3be6c30e623}">
          <xlrd:rvb i="3432"/>
        </ext>
      </extLst>
    </bk>
    <bk>
      <extLst>
        <ext uri="{3e2802c4-a4d2-4d8b-9148-e3be6c30e623}">
          <xlrd:rvb i="3433"/>
        </ext>
      </extLst>
    </bk>
    <bk>
      <extLst>
        <ext uri="{3e2802c4-a4d2-4d8b-9148-e3be6c30e623}">
          <xlrd:rvb i="3434"/>
        </ext>
      </extLst>
    </bk>
    <bk>
      <extLst>
        <ext uri="{3e2802c4-a4d2-4d8b-9148-e3be6c30e623}">
          <xlrd:rvb i="3435"/>
        </ext>
      </extLst>
    </bk>
    <bk>
      <extLst>
        <ext uri="{3e2802c4-a4d2-4d8b-9148-e3be6c30e623}">
          <xlrd:rvb i="3436"/>
        </ext>
      </extLst>
    </bk>
    <bk>
      <extLst>
        <ext uri="{3e2802c4-a4d2-4d8b-9148-e3be6c30e623}">
          <xlrd:rvb i="3437"/>
        </ext>
      </extLst>
    </bk>
    <bk>
      <extLst>
        <ext uri="{3e2802c4-a4d2-4d8b-9148-e3be6c30e623}">
          <xlrd:rvb i="3438"/>
        </ext>
      </extLst>
    </bk>
    <bk>
      <extLst>
        <ext uri="{3e2802c4-a4d2-4d8b-9148-e3be6c30e623}">
          <xlrd:rvb i="3439"/>
        </ext>
      </extLst>
    </bk>
    <bk>
      <extLst>
        <ext uri="{3e2802c4-a4d2-4d8b-9148-e3be6c30e623}">
          <xlrd:rvb i="3440"/>
        </ext>
      </extLst>
    </bk>
    <bk>
      <extLst>
        <ext uri="{3e2802c4-a4d2-4d8b-9148-e3be6c30e623}">
          <xlrd:rvb i="3441"/>
        </ext>
      </extLst>
    </bk>
    <bk>
      <extLst>
        <ext uri="{3e2802c4-a4d2-4d8b-9148-e3be6c30e623}">
          <xlrd:rvb i="3442"/>
        </ext>
      </extLst>
    </bk>
    <bk>
      <extLst>
        <ext uri="{3e2802c4-a4d2-4d8b-9148-e3be6c30e623}">
          <xlrd:rvb i="3443"/>
        </ext>
      </extLst>
    </bk>
    <bk>
      <extLst>
        <ext uri="{3e2802c4-a4d2-4d8b-9148-e3be6c30e623}">
          <xlrd:rvb i="3444"/>
        </ext>
      </extLst>
    </bk>
    <bk>
      <extLst>
        <ext uri="{3e2802c4-a4d2-4d8b-9148-e3be6c30e623}">
          <xlrd:rvb i="3445"/>
        </ext>
      </extLst>
    </bk>
    <bk>
      <extLst>
        <ext uri="{3e2802c4-a4d2-4d8b-9148-e3be6c30e623}">
          <xlrd:rvb i="3446"/>
        </ext>
      </extLst>
    </bk>
    <bk>
      <extLst>
        <ext uri="{3e2802c4-a4d2-4d8b-9148-e3be6c30e623}">
          <xlrd:rvb i="3447"/>
        </ext>
      </extLst>
    </bk>
    <bk>
      <extLst>
        <ext uri="{3e2802c4-a4d2-4d8b-9148-e3be6c30e623}">
          <xlrd:rvb i="3448"/>
        </ext>
      </extLst>
    </bk>
    <bk>
      <extLst>
        <ext uri="{3e2802c4-a4d2-4d8b-9148-e3be6c30e623}">
          <xlrd:rvb i="3449"/>
        </ext>
      </extLst>
    </bk>
    <bk>
      <extLst>
        <ext uri="{3e2802c4-a4d2-4d8b-9148-e3be6c30e623}">
          <xlrd:rvb i="3450"/>
        </ext>
      </extLst>
    </bk>
    <bk>
      <extLst>
        <ext uri="{3e2802c4-a4d2-4d8b-9148-e3be6c30e623}">
          <xlrd:rvb i="3451"/>
        </ext>
      </extLst>
    </bk>
    <bk>
      <extLst>
        <ext uri="{3e2802c4-a4d2-4d8b-9148-e3be6c30e623}">
          <xlrd:rvb i="3452"/>
        </ext>
      </extLst>
    </bk>
    <bk>
      <extLst>
        <ext uri="{3e2802c4-a4d2-4d8b-9148-e3be6c30e623}">
          <xlrd:rvb i="3453"/>
        </ext>
      </extLst>
    </bk>
    <bk>
      <extLst>
        <ext uri="{3e2802c4-a4d2-4d8b-9148-e3be6c30e623}">
          <xlrd:rvb i="3454"/>
        </ext>
      </extLst>
    </bk>
    <bk>
      <extLst>
        <ext uri="{3e2802c4-a4d2-4d8b-9148-e3be6c30e623}">
          <xlrd:rvb i="3455"/>
        </ext>
      </extLst>
    </bk>
    <bk>
      <extLst>
        <ext uri="{3e2802c4-a4d2-4d8b-9148-e3be6c30e623}">
          <xlrd:rvb i="3456"/>
        </ext>
      </extLst>
    </bk>
    <bk>
      <extLst>
        <ext uri="{3e2802c4-a4d2-4d8b-9148-e3be6c30e623}">
          <xlrd:rvb i="3457"/>
        </ext>
      </extLst>
    </bk>
    <bk>
      <extLst>
        <ext uri="{3e2802c4-a4d2-4d8b-9148-e3be6c30e623}">
          <xlrd:rvb i="3458"/>
        </ext>
      </extLst>
    </bk>
    <bk>
      <extLst>
        <ext uri="{3e2802c4-a4d2-4d8b-9148-e3be6c30e623}">
          <xlrd:rvb i="3459"/>
        </ext>
      </extLst>
    </bk>
    <bk>
      <extLst>
        <ext uri="{3e2802c4-a4d2-4d8b-9148-e3be6c30e623}">
          <xlrd:rvb i="3460"/>
        </ext>
      </extLst>
    </bk>
    <bk>
      <extLst>
        <ext uri="{3e2802c4-a4d2-4d8b-9148-e3be6c30e623}">
          <xlrd:rvb i="3461"/>
        </ext>
      </extLst>
    </bk>
    <bk>
      <extLst>
        <ext uri="{3e2802c4-a4d2-4d8b-9148-e3be6c30e623}">
          <xlrd:rvb i="3462"/>
        </ext>
      </extLst>
    </bk>
    <bk>
      <extLst>
        <ext uri="{3e2802c4-a4d2-4d8b-9148-e3be6c30e623}">
          <xlrd:rvb i="3463"/>
        </ext>
      </extLst>
    </bk>
    <bk>
      <extLst>
        <ext uri="{3e2802c4-a4d2-4d8b-9148-e3be6c30e623}">
          <xlrd:rvb i="3464"/>
        </ext>
      </extLst>
    </bk>
    <bk>
      <extLst>
        <ext uri="{3e2802c4-a4d2-4d8b-9148-e3be6c30e623}">
          <xlrd:rvb i="3465"/>
        </ext>
      </extLst>
    </bk>
    <bk>
      <extLst>
        <ext uri="{3e2802c4-a4d2-4d8b-9148-e3be6c30e623}">
          <xlrd:rvb i="3466"/>
        </ext>
      </extLst>
    </bk>
    <bk>
      <extLst>
        <ext uri="{3e2802c4-a4d2-4d8b-9148-e3be6c30e623}">
          <xlrd:rvb i="3467"/>
        </ext>
      </extLst>
    </bk>
    <bk>
      <extLst>
        <ext uri="{3e2802c4-a4d2-4d8b-9148-e3be6c30e623}">
          <xlrd:rvb i="3468"/>
        </ext>
      </extLst>
    </bk>
    <bk>
      <extLst>
        <ext uri="{3e2802c4-a4d2-4d8b-9148-e3be6c30e623}">
          <xlrd:rvb i="3469"/>
        </ext>
      </extLst>
    </bk>
    <bk>
      <extLst>
        <ext uri="{3e2802c4-a4d2-4d8b-9148-e3be6c30e623}">
          <xlrd:rvb i="3470"/>
        </ext>
      </extLst>
    </bk>
    <bk>
      <extLst>
        <ext uri="{3e2802c4-a4d2-4d8b-9148-e3be6c30e623}">
          <xlrd:rvb i="3471"/>
        </ext>
      </extLst>
    </bk>
    <bk>
      <extLst>
        <ext uri="{3e2802c4-a4d2-4d8b-9148-e3be6c30e623}">
          <xlrd:rvb i="3472"/>
        </ext>
      </extLst>
    </bk>
    <bk>
      <extLst>
        <ext uri="{3e2802c4-a4d2-4d8b-9148-e3be6c30e623}">
          <xlrd:rvb i="3473"/>
        </ext>
      </extLst>
    </bk>
    <bk>
      <extLst>
        <ext uri="{3e2802c4-a4d2-4d8b-9148-e3be6c30e623}">
          <xlrd:rvb i="3474"/>
        </ext>
      </extLst>
    </bk>
    <bk>
      <extLst>
        <ext uri="{3e2802c4-a4d2-4d8b-9148-e3be6c30e623}">
          <xlrd:rvb i="3475"/>
        </ext>
      </extLst>
    </bk>
    <bk>
      <extLst>
        <ext uri="{3e2802c4-a4d2-4d8b-9148-e3be6c30e623}">
          <xlrd:rvb i="3476"/>
        </ext>
      </extLst>
    </bk>
    <bk>
      <extLst>
        <ext uri="{3e2802c4-a4d2-4d8b-9148-e3be6c30e623}">
          <xlrd:rvb i="3477"/>
        </ext>
      </extLst>
    </bk>
    <bk>
      <extLst>
        <ext uri="{3e2802c4-a4d2-4d8b-9148-e3be6c30e623}">
          <xlrd:rvb i="3478"/>
        </ext>
      </extLst>
    </bk>
    <bk>
      <extLst>
        <ext uri="{3e2802c4-a4d2-4d8b-9148-e3be6c30e623}">
          <xlrd:rvb i="3479"/>
        </ext>
      </extLst>
    </bk>
    <bk>
      <extLst>
        <ext uri="{3e2802c4-a4d2-4d8b-9148-e3be6c30e623}">
          <xlrd:rvb i="3480"/>
        </ext>
      </extLst>
    </bk>
    <bk>
      <extLst>
        <ext uri="{3e2802c4-a4d2-4d8b-9148-e3be6c30e623}">
          <xlrd:rvb i="3481"/>
        </ext>
      </extLst>
    </bk>
    <bk>
      <extLst>
        <ext uri="{3e2802c4-a4d2-4d8b-9148-e3be6c30e623}">
          <xlrd:rvb i="3482"/>
        </ext>
      </extLst>
    </bk>
    <bk>
      <extLst>
        <ext uri="{3e2802c4-a4d2-4d8b-9148-e3be6c30e623}">
          <xlrd:rvb i="3483"/>
        </ext>
      </extLst>
    </bk>
    <bk>
      <extLst>
        <ext uri="{3e2802c4-a4d2-4d8b-9148-e3be6c30e623}">
          <xlrd:rvb i="3484"/>
        </ext>
      </extLst>
    </bk>
    <bk>
      <extLst>
        <ext uri="{3e2802c4-a4d2-4d8b-9148-e3be6c30e623}">
          <xlrd:rvb i="3485"/>
        </ext>
      </extLst>
    </bk>
    <bk>
      <extLst>
        <ext uri="{3e2802c4-a4d2-4d8b-9148-e3be6c30e623}">
          <xlrd:rvb i="3486"/>
        </ext>
      </extLst>
    </bk>
    <bk>
      <extLst>
        <ext uri="{3e2802c4-a4d2-4d8b-9148-e3be6c30e623}">
          <xlrd:rvb i="3487"/>
        </ext>
      </extLst>
    </bk>
    <bk>
      <extLst>
        <ext uri="{3e2802c4-a4d2-4d8b-9148-e3be6c30e623}">
          <xlrd:rvb i="3488"/>
        </ext>
      </extLst>
    </bk>
    <bk>
      <extLst>
        <ext uri="{3e2802c4-a4d2-4d8b-9148-e3be6c30e623}">
          <xlrd:rvb i="3489"/>
        </ext>
      </extLst>
    </bk>
    <bk>
      <extLst>
        <ext uri="{3e2802c4-a4d2-4d8b-9148-e3be6c30e623}">
          <xlrd:rvb i="3490"/>
        </ext>
      </extLst>
    </bk>
    <bk>
      <extLst>
        <ext uri="{3e2802c4-a4d2-4d8b-9148-e3be6c30e623}">
          <xlrd:rvb i="3491"/>
        </ext>
      </extLst>
    </bk>
    <bk>
      <extLst>
        <ext uri="{3e2802c4-a4d2-4d8b-9148-e3be6c30e623}">
          <xlrd:rvb i="3492"/>
        </ext>
      </extLst>
    </bk>
    <bk>
      <extLst>
        <ext uri="{3e2802c4-a4d2-4d8b-9148-e3be6c30e623}">
          <xlrd:rvb i="3493"/>
        </ext>
      </extLst>
    </bk>
    <bk>
      <extLst>
        <ext uri="{3e2802c4-a4d2-4d8b-9148-e3be6c30e623}">
          <xlrd:rvb i="3494"/>
        </ext>
      </extLst>
    </bk>
    <bk>
      <extLst>
        <ext uri="{3e2802c4-a4d2-4d8b-9148-e3be6c30e623}">
          <xlrd:rvb i="3495"/>
        </ext>
      </extLst>
    </bk>
    <bk>
      <extLst>
        <ext uri="{3e2802c4-a4d2-4d8b-9148-e3be6c30e623}">
          <xlrd:rvb i="3496"/>
        </ext>
      </extLst>
    </bk>
    <bk>
      <extLst>
        <ext uri="{3e2802c4-a4d2-4d8b-9148-e3be6c30e623}">
          <xlrd:rvb i="3497"/>
        </ext>
      </extLst>
    </bk>
    <bk>
      <extLst>
        <ext uri="{3e2802c4-a4d2-4d8b-9148-e3be6c30e623}">
          <xlrd:rvb i="3498"/>
        </ext>
      </extLst>
    </bk>
    <bk>
      <extLst>
        <ext uri="{3e2802c4-a4d2-4d8b-9148-e3be6c30e623}">
          <xlrd:rvb i="3499"/>
        </ext>
      </extLst>
    </bk>
    <bk>
      <extLst>
        <ext uri="{3e2802c4-a4d2-4d8b-9148-e3be6c30e623}">
          <xlrd:rvb i="3500"/>
        </ext>
      </extLst>
    </bk>
    <bk>
      <extLst>
        <ext uri="{3e2802c4-a4d2-4d8b-9148-e3be6c30e623}">
          <xlrd:rvb i="3501"/>
        </ext>
      </extLst>
    </bk>
    <bk>
      <extLst>
        <ext uri="{3e2802c4-a4d2-4d8b-9148-e3be6c30e623}">
          <xlrd:rvb i="3502"/>
        </ext>
      </extLst>
    </bk>
    <bk>
      <extLst>
        <ext uri="{3e2802c4-a4d2-4d8b-9148-e3be6c30e623}">
          <xlrd:rvb i="3503"/>
        </ext>
      </extLst>
    </bk>
    <bk>
      <extLst>
        <ext uri="{3e2802c4-a4d2-4d8b-9148-e3be6c30e623}">
          <xlrd:rvb i="3504"/>
        </ext>
      </extLst>
    </bk>
    <bk>
      <extLst>
        <ext uri="{3e2802c4-a4d2-4d8b-9148-e3be6c30e623}">
          <xlrd:rvb i="3505"/>
        </ext>
      </extLst>
    </bk>
    <bk>
      <extLst>
        <ext uri="{3e2802c4-a4d2-4d8b-9148-e3be6c30e623}">
          <xlrd:rvb i="3506"/>
        </ext>
      </extLst>
    </bk>
    <bk>
      <extLst>
        <ext uri="{3e2802c4-a4d2-4d8b-9148-e3be6c30e623}">
          <xlrd:rvb i="3507"/>
        </ext>
      </extLst>
    </bk>
    <bk>
      <extLst>
        <ext uri="{3e2802c4-a4d2-4d8b-9148-e3be6c30e623}">
          <xlrd:rvb i="3508"/>
        </ext>
      </extLst>
    </bk>
    <bk>
      <extLst>
        <ext uri="{3e2802c4-a4d2-4d8b-9148-e3be6c30e623}">
          <xlrd:rvb i="3509"/>
        </ext>
      </extLst>
    </bk>
    <bk>
      <extLst>
        <ext uri="{3e2802c4-a4d2-4d8b-9148-e3be6c30e623}">
          <xlrd:rvb i="3510"/>
        </ext>
      </extLst>
    </bk>
    <bk>
      <extLst>
        <ext uri="{3e2802c4-a4d2-4d8b-9148-e3be6c30e623}">
          <xlrd:rvb i="3511"/>
        </ext>
      </extLst>
    </bk>
    <bk>
      <extLst>
        <ext uri="{3e2802c4-a4d2-4d8b-9148-e3be6c30e623}">
          <xlrd:rvb i="3512"/>
        </ext>
      </extLst>
    </bk>
    <bk>
      <extLst>
        <ext uri="{3e2802c4-a4d2-4d8b-9148-e3be6c30e623}">
          <xlrd:rvb i="3513"/>
        </ext>
      </extLst>
    </bk>
    <bk>
      <extLst>
        <ext uri="{3e2802c4-a4d2-4d8b-9148-e3be6c30e623}">
          <xlrd:rvb i="3514"/>
        </ext>
      </extLst>
    </bk>
    <bk>
      <extLst>
        <ext uri="{3e2802c4-a4d2-4d8b-9148-e3be6c30e623}">
          <xlrd:rvb i="3515"/>
        </ext>
      </extLst>
    </bk>
    <bk>
      <extLst>
        <ext uri="{3e2802c4-a4d2-4d8b-9148-e3be6c30e623}">
          <xlrd:rvb i="3516"/>
        </ext>
      </extLst>
    </bk>
    <bk>
      <extLst>
        <ext uri="{3e2802c4-a4d2-4d8b-9148-e3be6c30e623}">
          <xlrd:rvb i="3517"/>
        </ext>
      </extLst>
    </bk>
    <bk>
      <extLst>
        <ext uri="{3e2802c4-a4d2-4d8b-9148-e3be6c30e623}">
          <xlrd:rvb i="3518"/>
        </ext>
      </extLst>
    </bk>
    <bk>
      <extLst>
        <ext uri="{3e2802c4-a4d2-4d8b-9148-e3be6c30e623}">
          <xlrd:rvb i="3519"/>
        </ext>
      </extLst>
    </bk>
    <bk>
      <extLst>
        <ext uri="{3e2802c4-a4d2-4d8b-9148-e3be6c30e623}">
          <xlrd:rvb i="3520"/>
        </ext>
      </extLst>
    </bk>
    <bk>
      <extLst>
        <ext uri="{3e2802c4-a4d2-4d8b-9148-e3be6c30e623}">
          <xlrd:rvb i="3521"/>
        </ext>
      </extLst>
    </bk>
    <bk>
      <extLst>
        <ext uri="{3e2802c4-a4d2-4d8b-9148-e3be6c30e623}">
          <xlrd:rvb i="3522"/>
        </ext>
      </extLst>
    </bk>
    <bk>
      <extLst>
        <ext uri="{3e2802c4-a4d2-4d8b-9148-e3be6c30e623}">
          <xlrd:rvb i="3523"/>
        </ext>
      </extLst>
    </bk>
    <bk>
      <extLst>
        <ext uri="{3e2802c4-a4d2-4d8b-9148-e3be6c30e623}">
          <xlrd:rvb i="3524"/>
        </ext>
      </extLst>
    </bk>
    <bk>
      <extLst>
        <ext uri="{3e2802c4-a4d2-4d8b-9148-e3be6c30e623}">
          <xlrd:rvb i="3525"/>
        </ext>
      </extLst>
    </bk>
    <bk>
      <extLst>
        <ext uri="{3e2802c4-a4d2-4d8b-9148-e3be6c30e623}">
          <xlrd:rvb i="3526"/>
        </ext>
      </extLst>
    </bk>
    <bk>
      <extLst>
        <ext uri="{3e2802c4-a4d2-4d8b-9148-e3be6c30e623}">
          <xlrd:rvb i="3527"/>
        </ext>
      </extLst>
    </bk>
    <bk>
      <extLst>
        <ext uri="{3e2802c4-a4d2-4d8b-9148-e3be6c30e623}">
          <xlrd:rvb i="3528"/>
        </ext>
      </extLst>
    </bk>
    <bk>
      <extLst>
        <ext uri="{3e2802c4-a4d2-4d8b-9148-e3be6c30e623}">
          <xlrd:rvb i="3529"/>
        </ext>
      </extLst>
    </bk>
    <bk>
      <extLst>
        <ext uri="{3e2802c4-a4d2-4d8b-9148-e3be6c30e623}">
          <xlrd:rvb i="3530"/>
        </ext>
      </extLst>
    </bk>
    <bk>
      <extLst>
        <ext uri="{3e2802c4-a4d2-4d8b-9148-e3be6c30e623}">
          <xlrd:rvb i="3531"/>
        </ext>
      </extLst>
    </bk>
    <bk>
      <extLst>
        <ext uri="{3e2802c4-a4d2-4d8b-9148-e3be6c30e623}">
          <xlrd:rvb i="3532"/>
        </ext>
      </extLst>
    </bk>
    <bk>
      <extLst>
        <ext uri="{3e2802c4-a4d2-4d8b-9148-e3be6c30e623}">
          <xlrd:rvb i="3533"/>
        </ext>
      </extLst>
    </bk>
    <bk>
      <extLst>
        <ext uri="{3e2802c4-a4d2-4d8b-9148-e3be6c30e623}">
          <xlrd:rvb i="3534"/>
        </ext>
      </extLst>
    </bk>
    <bk>
      <extLst>
        <ext uri="{3e2802c4-a4d2-4d8b-9148-e3be6c30e623}">
          <xlrd:rvb i="3535"/>
        </ext>
      </extLst>
    </bk>
    <bk>
      <extLst>
        <ext uri="{3e2802c4-a4d2-4d8b-9148-e3be6c30e623}">
          <xlrd:rvb i="3536"/>
        </ext>
      </extLst>
    </bk>
    <bk>
      <extLst>
        <ext uri="{3e2802c4-a4d2-4d8b-9148-e3be6c30e623}">
          <xlrd:rvb i="3537"/>
        </ext>
      </extLst>
    </bk>
    <bk>
      <extLst>
        <ext uri="{3e2802c4-a4d2-4d8b-9148-e3be6c30e623}">
          <xlrd:rvb i="3538"/>
        </ext>
      </extLst>
    </bk>
    <bk>
      <extLst>
        <ext uri="{3e2802c4-a4d2-4d8b-9148-e3be6c30e623}">
          <xlrd:rvb i="3539"/>
        </ext>
      </extLst>
    </bk>
    <bk>
      <extLst>
        <ext uri="{3e2802c4-a4d2-4d8b-9148-e3be6c30e623}">
          <xlrd:rvb i="3540"/>
        </ext>
      </extLst>
    </bk>
    <bk>
      <extLst>
        <ext uri="{3e2802c4-a4d2-4d8b-9148-e3be6c30e623}">
          <xlrd:rvb i="3541"/>
        </ext>
      </extLst>
    </bk>
    <bk>
      <extLst>
        <ext uri="{3e2802c4-a4d2-4d8b-9148-e3be6c30e623}">
          <xlrd:rvb i="3542"/>
        </ext>
      </extLst>
    </bk>
    <bk>
      <extLst>
        <ext uri="{3e2802c4-a4d2-4d8b-9148-e3be6c30e623}">
          <xlrd:rvb i="3543"/>
        </ext>
      </extLst>
    </bk>
    <bk>
      <extLst>
        <ext uri="{3e2802c4-a4d2-4d8b-9148-e3be6c30e623}">
          <xlrd:rvb i="3544"/>
        </ext>
      </extLst>
    </bk>
    <bk>
      <extLst>
        <ext uri="{3e2802c4-a4d2-4d8b-9148-e3be6c30e623}">
          <xlrd:rvb i="3545"/>
        </ext>
      </extLst>
    </bk>
    <bk>
      <extLst>
        <ext uri="{3e2802c4-a4d2-4d8b-9148-e3be6c30e623}">
          <xlrd:rvb i="3546"/>
        </ext>
      </extLst>
    </bk>
    <bk>
      <extLst>
        <ext uri="{3e2802c4-a4d2-4d8b-9148-e3be6c30e623}">
          <xlrd:rvb i="3547"/>
        </ext>
      </extLst>
    </bk>
    <bk>
      <extLst>
        <ext uri="{3e2802c4-a4d2-4d8b-9148-e3be6c30e623}">
          <xlrd:rvb i="3548"/>
        </ext>
      </extLst>
    </bk>
    <bk>
      <extLst>
        <ext uri="{3e2802c4-a4d2-4d8b-9148-e3be6c30e623}">
          <xlrd:rvb i="3549"/>
        </ext>
      </extLst>
    </bk>
    <bk>
      <extLst>
        <ext uri="{3e2802c4-a4d2-4d8b-9148-e3be6c30e623}">
          <xlrd:rvb i="3550"/>
        </ext>
      </extLst>
    </bk>
    <bk>
      <extLst>
        <ext uri="{3e2802c4-a4d2-4d8b-9148-e3be6c30e623}">
          <xlrd:rvb i="3551"/>
        </ext>
      </extLst>
    </bk>
    <bk>
      <extLst>
        <ext uri="{3e2802c4-a4d2-4d8b-9148-e3be6c30e623}">
          <xlrd:rvb i="3552"/>
        </ext>
      </extLst>
    </bk>
    <bk>
      <extLst>
        <ext uri="{3e2802c4-a4d2-4d8b-9148-e3be6c30e623}">
          <xlrd:rvb i="3553"/>
        </ext>
      </extLst>
    </bk>
    <bk>
      <extLst>
        <ext uri="{3e2802c4-a4d2-4d8b-9148-e3be6c30e623}">
          <xlrd:rvb i="3554"/>
        </ext>
      </extLst>
    </bk>
    <bk>
      <extLst>
        <ext uri="{3e2802c4-a4d2-4d8b-9148-e3be6c30e623}">
          <xlrd:rvb i="3555"/>
        </ext>
      </extLst>
    </bk>
    <bk>
      <extLst>
        <ext uri="{3e2802c4-a4d2-4d8b-9148-e3be6c30e623}">
          <xlrd:rvb i="3556"/>
        </ext>
      </extLst>
    </bk>
    <bk>
      <extLst>
        <ext uri="{3e2802c4-a4d2-4d8b-9148-e3be6c30e623}">
          <xlrd:rvb i="3557"/>
        </ext>
      </extLst>
    </bk>
    <bk>
      <extLst>
        <ext uri="{3e2802c4-a4d2-4d8b-9148-e3be6c30e623}">
          <xlrd:rvb i="3558"/>
        </ext>
      </extLst>
    </bk>
    <bk>
      <extLst>
        <ext uri="{3e2802c4-a4d2-4d8b-9148-e3be6c30e623}">
          <xlrd:rvb i="3559"/>
        </ext>
      </extLst>
    </bk>
    <bk>
      <extLst>
        <ext uri="{3e2802c4-a4d2-4d8b-9148-e3be6c30e623}">
          <xlrd:rvb i="3560"/>
        </ext>
      </extLst>
    </bk>
    <bk>
      <extLst>
        <ext uri="{3e2802c4-a4d2-4d8b-9148-e3be6c30e623}">
          <xlrd:rvb i="3561"/>
        </ext>
      </extLst>
    </bk>
    <bk>
      <extLst>
        <ext uri="{3e2802c4-a4d2-4d8b-9148-e3be6c30e623}">
          <xlrd:rvb i="3562"/>
        </ext>
      </extLst>
    </bk>
    <bk>
      <extLst>
        <ext uri="{3e2802c4-a4d2-4d8b-9148-e3be6c30e623}">
          <xlrd:rvb i="3563"/>
        </ext>
      </extLst>
    </bk>
    <bk>
      <extLst>
        <ext uri="{3e2802c4-a4d2-4d8b-9148-e3be6c30e623}">
          <xlrd:rvb i="3564"/>
        </ext>
      </extLst>
    </bk>
    <bk>
      <extLst>
        <ext uri="{3e2802c4-a4d2-4d8b-9148-e3be6c30e623}">
          <xlrd:rvb i="3565"/>
        </ext>
      </extLst>
    </bk>
    <bk>
      <extLst>
        <ext uri="{3e2802c4-a4d2-4d8b-9148-e3be6c30e623}">
          <xlrd:rvb i="3566"/>
        </ext>
      </extLst>
    </bk>
    <bk>
      <extLst>
        <ext uri="{3e2802c4-a4d2-4d8b-9148-e3be6c30e623}">
          <xlrd:rvb i="3567"/>
        </ext>
      </extLst>
    </bk>
    <bk>
      <extLst>
        <ext uri="{3e2802c4-a4d2-4d8b-9148-e3be6c30e623}">
          <xlrd:rvb i="3568"/>
        </ext>
      </extLst>
    </bk>
    <bk>
      <extLst>
        <ext uri="{3e2802c4-a4d2-4d8b-9148-e3be6c30e623}">
          <xlrd:rvb i="3569"/>
        </ext>
      </extLst>
    </bk>
    <bk>
      <extLst>
        <ext uri="{3e2802c4-a4d2-4d8b-9148-e3be6c30e623}">
          <xlrd:rvb i="3570"/>
        </ext>
      </extLst>
    </bk>
    <bk>
      <extLst>
        <ext uri="{3e2802c4-a4d2-4d8b-9148-e3be6c30e623}">
          <xlrd:rvb i="3571"/>
        </ext>
      </extLst>
    </bk>
    <bk>
      <extLst>
        <ext uri="{3e2802c4-a4d2-4d8b-9148-e3be6c30e623}">
          <xlrd:rvb i="3572"/>
        </ext>
      </extLst>
    </bk>
    <bk>
      <extLst>
        <ext uri="{3e2802c4-a4d2-4d8b-9148-e3be6c30e623}">
          <xlrd:rvb i="3573"/>
        </ext>
      </extLst>
    </bk>
    <bk>
      <extLst>
        <ext uri="{3e2802c4-a4d2-4d8b-9148-e3be6c30e623}">
          <xlrd:rvb i="3574"/>
        </ext>
      </extLst>
    </bk>
    <bk>
      <extLst>
        <ext uri="{3e2802c4-a4d2-4d8b-9148-e3be6c30e623}">
          <xlrd:rvb i="3575"/>
        </ext>
      </extLst>
    </bk>
    <bk>
      <extLst>
        <ext uri="{3e2802c4-a4d2-4d8b-9148-e3be6c30e623}">
          <xlrd:rvb i="3576"/>
        </ext>
      </extLst>
    </bk>
    <bk>
      <extLst>
        <ext uri="{3e2802c4-a4d2-4d8b-9148-e3be6c30e623}">
          <xlrd:rvb i="3577"/>
        </ext>
      </extLst>
    </bk>
    <bk>
      <extLst>
        <ext uri="{3e2802c4-a4d2-4d8b-9148-e3be6c30e623}">
          <xlrd:rvb i="3578"/>
        </ext>
      </extLst>
    </bk>
    <bk>
      <extLst>
        <ext uri="{3e2802c4-a4d2-4d8b-9148-e3be6c30e623}">
          <xlrd:rvb i="3579"/>
        </ext>
      </extLst>
    </bk>
    <bk>
      <extLst>
        <ext uri="{3e2802c4-a4d2-4d8b-9148-e3be6c30e623}">
          <xlrd:rvb i="3580"/>
        </ext>
      </extLst>
    </bk>
    <bk>
      <extLst>
        <ext uri="{3e2802c4-a4d2-4d8b-9148-e3be6c30e623}">
          <xlrd:rvb i="3581"/>
        </ext>
      </extLst>
    </bk>
    <bk>
      <extLst>
        <ext uri="{3e2802c4-a4d2-4d8b-9148-e3be6c30e623}">
          <xlrd:rvb i="3582"/>
        </ext>
      </extLst>
    </bk>
    <bk>
      <extLst>
        <ext uri="{3e2802c4-a4d2-4d8b-9148-e3be6c30e623}">
          <xlrd:rvb i="3583"/>
        </ext>
      </extLst>
    </bk>
    <bk>
      <extLst>
        <ext uri="{3e2802c4-a4d2-4d8b-9148-e3be6c30e623}">
          <xlrd:rvb i="3584"/>
        </ext>
      </extLst>
    </bk>
    <bk>
      <extLst>
        <ext uri="{3e2802c4-a4d2-4d8b-9148-e3be6c30e623}">
          <xlrd:rvb i="3585"/>
        </ext>
      </extLst>
    </bk>
    <bk>
      <extLst>
        <ext uri="{3e2802c4-a4d2-4d8b-9148-e3be6c30e623}">
          <xlrd:rvb i="3586"/>
        </ext>
      </extLst>
    </bk>
    <bk>
      <extLst>
        <ext uri="{3e2802c4-a4d2-4d8b-9148-e3be6c30e623}">
          <xlrd:rvb i="3587"/>
        </ext>
      </extLst>
    </bk>
    <bk>
      <extLst>
        <ext uri="{3e2802c4-a4d2-4d8b-9148-e3be6c30e623}">
          <xlrd:rvb i="3588"/>
        </ext>
      </extLst>
    </bk>
    <bk>
      <extLst>
        <ext uri="{3e2802c4-a4d2-4d8b-9148-e3be6c30e623}">
          <xlrd:rvb i="3589"/>
        </ext>
      </extLst>
    </bk>
    <bk>
      <extLst>
        <ext uri="{3e2802c4-a4d2-4d8b-9148-e3be6c30e623}">
          <xlrd:rvb i="3590"/>
        </ext>
      </extLst>
    </bk>
    <bk>
      <extLst>
        <ext uri="{3e2802c4-a4d2-4d8b-9148-e3be6c30e623}">
          <xlrd:rvb i="3591"/>
        </ext>
      </extLst>
    </bk>
    <bk>
      <extLst>
        <ext uri="{3e2802c4-a4d2-4d8b-9148-e3be6c30e623}">
          <xlrd:rvb i="3592"/>
        </ext>
      </extLst>
    </bk>
    <bk>
      <extLst>
        <ext uri="{3e2802c4-a4d2-4d8b-9148-e3be6c30e623}">
          <xlrd:rvb i="3593"/>
        </ext>
      </extLst>
    </bk>
    <bk>
      <extLst>
        <ext uri="{3e2802c4-a4d2-4d8b-9148-e3be6c30e623}">
          <xlrd:rvb i="3594"/>
        </ext>
      </extLst>
    </bk>
    <bk>
      <extLst>
        <ext uri="{3e2802c4-a4d2-4d8b-9148-e3be6c30e623}">
          <xlrd:rvb i="3595"/>
        </ext>
      </extLst>
    </bk>
    <bk>
      <extLst>
        <ext uri="{3e2802c4-a4d2-4d8b-9148-e3be6c30e623}">
          <xlrd:rvb i="3596"/>
        </ext>
      </extLst>
    </bk>
    <bk>
      <extLst>
        <ext uri="{3e2802c4-a4d2-4d8b-9148-e3be6c30e623}">
          <xlrd:rvb i="3597"/>
        </ext>
      </extLst>
    </bk>
    <bk>
      <extLst>
        <ext uri="{3e2802c4-a4d2-4d8b-9148-e3be6c30e623}">
          <xlrd:rvb i="3598"/>
        </ext>
      </extLst>
    </bk>
    <bk>
      <extLst>
        <ext uri="{3e2802c4-a4d2-4d8b-9148-e3be6c30e623}">
          <xlrd:rvb i="3599"/>
        </ext>
      </extLst>
    </bk>
    <bk>
      <extLst>
        <ext uri="{3e2802c4-a4d2-4d8b-9148-e3be6c30e623}">
          <xlrd:rvb i="3600"/>
        </ext>
      </extLst>
    </bk>
    <bk>
      <extLst>
        <ext uri="{3e2802c4-a4d2-4d8b-9148-e3be6c30e623}">
          <xlrd:rvb i="3601"/>
        </ext>
      </extLst>
    </bk>
    <bk>
      <extLst>
        <ext uri="{3e2802c4-a4d2-4d8b-9148-e3be6c30e623}">
          <xlrd:rvb i="3602"/>
        </ext>
      </extLst>
    </bk>
    <bk>
      <extLst>
        <ext uri="{3e2802c4-a4d2-4d8b-9148-e3be6c30e623}">
          <xlrd:rvb i="3603"/>
        </ext>
      </extLst>
    </bk>
    <bk>
      <extLst>
        <ext uri="{3e2802c4-a4d2-4d8b-9148-e3be6c30e623}">
          <xlrd:rvb i="3604"/>
        </ext>
      </extLst>
    </bk>
    <bk>
      <extLst>
        <ext uri="{3e2802c4-a4d2-4d8b-9148-e3be6c30e623}">
          <xlrd:rvb i="3605"/>
        </ext>
      </extLst>
    </bk>
    <bk>
      <extLst>
        <ext uri="{3e2802c4-a4d2-4d8b-9148-e3be6c30e623}">
          <xlrd:rvb i="3606"/>
        </ext>
      </extLst>
    </bk>
    <bk>
      <extLst>
        <ext uri="{3e2802c4-a4d2-4d8b-9148-e3be6c30e623}">
          <xlrd:rvb i="3607"/>
        </ext>
      </extLst>
    </bk>
    <bk>
      <extLst>
        <ext uri="{3e2802c4-a4d2-4d8b-9148-e3be6c30e623}">
          <xlrd:rvb i="3608"/>
        </ext>
      </extLst>
    </bk>
    <bk>
      <extLst>
        <ext uri="{3e2802c4-a4d2-4d8b-9148-e3be6c30e623}">
          <xlrd:rvb i="3609"/>
        </ext>
      </extLst>
    </bk>
    <bk>
      <extLst>
        <ext uri="{3e2802c4-a4d2-4d8b-9148-e3be6c30e623}">
          <xlrd:rvb i="3610"/>
        </ext>
      </extLst>
    </bk>
    <bk>
      <extLst>
        <ext uri="{3e2802c4-a4d2-4d8b-9148-e3be6c30e623}">
          <xlrd:rvb i="3611"/>
        </ext>
      </extLst>
    </bk>
    <bk>
      <extLst>
        <ext uri="{3e2802c4-a4d2-4d8b-9148-e3be6c30e623}">
          <xlrd:rvb i="3612"/>
        </ext>
      </extLst>
    </bk>
    <bk>
      <extLst>
        <ext uri="{3e2802c4-a4d2-4d8b-9148-e3be6c30e623}">
          <xlrd:rvb i="3613"/>
        </ext>
      </extLst>
    </bk>
    <bk>
      <extLst>
        <ext uri="{3e2802c4-a4d2-4d8b-9148-e3be6c30e623}">
          <xlrd:rvb i="3614"/>
        </ext>
      </extLst>
    </bk>
    <bk>
      <extLst>
        <ext uri="{3e2802c4-a4d2-4d8b-9148-e3be6c30e623}">
          <xlrd:rvb i="3615"/>
        </ext>
      </extLst>
    </bk>
    <bk>
      <extLst>
        <ext uri="{3e2802c4-a4d2-4d8b-9148-e3be6c30e623}">
          <xlrd:rvb i="3616"/>
        </ext>
      </extLst>
    </bk>
    <bk>
      <extLst>
        <ext uri="{3e2802c4-a4d2-4d8b-9148-e3be6c30e623}">
          <xlrd:rvb i="3617"/>
        </ext>
      </extLst>
    </bk>
    <bk>
      <extLst>
        <ext uri="{3e2802c4-a4d2-4d8b-9148-e3be6c30e623}">
          <xlrd:rvb i="3618"/>
        </ext>
      </extLst>
    </bk>
    <bk>
      <extLst>
        <ext uri="{3e2802c4-a4d2-4d8b-9148-e3be6c30e623}">
          <xlrd:rvb i="3619"/>
        </ext>
      </extLst>
    </bk>
    <bk>
      <extLst>
        <ext uri="{3e2802c4-a4d2-4d8b-9148-e3be6c30e623}">
          <xlrd:rvb i="3620"/>
        </ext>
      </extLst>
    </bk>
    <bk>
      <extLst>
        <ext uri="{3e2802c4-a4d2-4d8b-9148-e3be6c30e623}">
          <xlrd:rvb i="3621"/>
        </ext>
      </extLst>
    </bk>
    <bk>
      <extLst>
        <ext uri="{3e2802c4-a4d2-4d8b-9148-e3be6c30e623}">
          <xlrd:rvb i="3622"/>
        </ext>
      </extLst>
    </bk>
    <bk>
      <extLst>
        <ext uri="{3e2802c4-a4d2-4d8b-9148-e3be6c30e623}">
          <xlrd:rvb i="3623"/>
        </ext>
      </extLst>
    </bk>
    <bk>
      <extLst>
        <ext uri="{3e2802c4-a4d2-4d8b-9148-e3be6c30e623}">
          <xlrd:rvb i="3624"/>
        </ext>
      </extLst>
    </bk>
    <bk>
      <extLst>
        <ext uri="{3e2802c4-a4d2-4d8b-9148-e3be6c30e623}">
          <xlrd:rvb i="3625"/>
        </ext>
      </extLst>
    </bk>
    <bk>
      <extLst>
        <ext uri="{3e2802c4-a4d2-4d8b-9148-e3be6c30e623}">
          <xlrd:rvb i="3626"/>
        </ext>
      </extLst>
    </bk>
    <bk>
      <extLst>
        <ext uri="{3e2802c4-a4d2-4d8b-9148-e3be6c30e623}">
          <xlrd:rvb i="3627"/>
        </ext>
      </extLst>
    </bk>
    <bk>
      <extLst>
        <ext uri="{3e2802c4-a4d2-4d8b-9148-e3be6c30e623}">
          <xlrd:rvb i="3628"/>
        </ext>
      </extLst>
    </bk>
    <bk>
      <extLst>
        <ext uri="{3e2802c4-a4d2-4d8b-9148-e3be6c30e623}">
          <xlrd:rvb i="3629"/>
        </ext>
      </extLst>
    </bk>
    <bk>
      <extLst>
        <ext uri="{3e2802c4-a4d2-4d8b-9148-e3be6c30e623}">
          <xlrd:rvb i="3630"/>
        </ext>
      </extLst>
    </bk>
    <bk>
      <extLst>
        <ext uri="{3e2802c4-a4d2-4d8b-9148-e3be6c30e623}">
          <xlrd:rvb i="3631"/>
        </ext>
      </extLst>
    </bk>
    <bk>
      <extLst>
        <ext uri="{3e2802c4-a4d2-4d8b-9148-e3be6c30e623}">
          <xlrd:rvb i="3632"/>
        </ext>
      </extLst>
    </bk>
    <bk>
      <extLst>
        <ext uri="{3e2802c4-a4d2-4d8b-9148-e3be6c30e623}">
          <xlrd:rvb i="3633"/>
        </ext>
      </extLst>
    </bk>
    <bk>
      <extLst>
        <ext uri="{3e2802c4-a4d2-4d8b-9148-e3be6c30e623}">
          <xlrd:rvb i="3634"/>
        </ext>
      </extLst>
    </bk>
    <bk>
      <extLst>
        <ext uri="{3e2802c4-a4d2-4d8b-9148-e3be6c30e623}">
          <xlrd:rvb i="3635"/>
        </ext>
      </extLst>
    </bk>
    <bk>
      <extLst>
        <ext uri="{3e2802c4-a4d2-4d8b-9148-e3be6c30e623}">
          <xlrd:rvb i="3636"/>
        </ext>
      </extLst>
    </bk>
    <bk>
      <extLst>
        <ext uri="{3e2802c4-a4d2-4d8b-9148-e3be6c30e623}">
          <xlrd:rvb i="3637"/>
        </ext>
      </extLst>
    </bk>
    <bk>
      <extLst>
        <ext uri="{3e2802c4-a4d2-4d8b-9148-e3be6c30e623}">
          <xlrd:rvb i="3638"/>
        </ext>
      </extLst>
    </bk>
    <bk>
      <extLst>
        <ext uri="{3e2802c4-a4d2-4d8b-9148-e3be6c30e623}">
          <xlrd:rvb i="3639"/>
        </ext>
      </extLst>
    </bk>
    <bk>
      <extLst>
        <ext uri="{3e2802c4-a4d2-4d8b-9148-e3be6c30e623}">
          <xlrd:rvb i="3640"/>
        </ext>
      </extLst>
    </bk>
    <bk>
      <extLst>
        <ext uri="{3e2802c4-a4d2-4d8b-9148-e3be6c30e623}">
          <xlrd:rvb i="3641"/>
        </ext>
      </extLst>
    </bk>
    <bk>
      <extLst>
        <ext uri="{3e2802c4-a4d2-4d8b-9148-e3be6c30e623}">
          <xlrd:rvb i="3642"/>
        </ext>
      </extLst>
    </bk>
    <bk>
      <extLst>
        <ext uri="{3e2802c4-a4d2-4d8b-9148-e3be6c30e623}">
          <xlrd:rvb i="3643"/>
        </ext>
      </extLst>
    </bk>
    <bk>
      <extLst>
        <ext uri="{3e2802c4-a4d2-4d8b-9148-e3be6c30e623}">
          <xlrd:rvb i="3644"/>
        </ext>
      </extLst>
    </bk>
    <bk>
      <extLst>
        <ext uri="{3e2802c4-a4d2-4d8b-9148-e3be6c30e623}">
          <xlrd:rvb i="3645"/>
        </ext>
      </extLst>
    </bk>
    <bk>
      <extLst>
        <ext uri="{3e2802c4-a4d2-4d8b-9148-e3be6c30e623}">
          <xlrd:rvb i="3646"/>
        </ext>
      </extLst>
    </bk>
    <bk>
      <extLst>
        <ext uri="{3e2802c4-a4d2-4d8b-9148-e3be6c30e623}">
          <xlrd:rvb i="3647"/>
        </ext>
      </extLst>
    </bk>
    <bk>
      <extLst>
        <ext uri="{3e2802c4-a4d2-4d8b-9148-e3be6c30e623}">
          <xlrd:rvb i="3648"/>
        </ext>
      </extLst>
    </bk>
    <bk>
      <extLst>
        <ext uri="{3e2802c4-a4d2-4d8b-9148-e3be6c30e623}">
          <xlrd:rvb i="3649"/>
        </ext>
      </extLst>
    </bk>
    <bk>
      <extLst>
        <ext uri="{3e2802c4-a4d2-4d8b-9148-e3be6c30e623}">
          <xlrd:rvb i="3650"/>
        </ext>
      </extLst>
    </bk>
    <bk>
      <extLst>
        <ext uri="{3e2802c4-a4d2-4d8b-9148-e3be6c30e623}">
          <xlrd:rvb i="3651"/>
        </ext>
      </extLst>
    </bk>
    <bk>
      <extLst>
        <ext uri="{3e2802c4-a4d2-4d8b-9148-e3be6c30e623}">
          <xlrd:rvb i="3652"/>
        </ext>
      </extLst>
    </bk>
    <bk>
      <extLst>
        <ext uri="{3e2802c4-a4d2-4d8b-9148-e3be6c30e623}">
          <xlrd:rvb i="3653"/>
        </ext>
      </extLst>
    </bk>
    <bk>
      <extLst>
        <ext uri="{3e2802c4-a4d2-4d8b-9148-e3be6c30e623}">
          <xlrd:rvb i="3654"/>
        </ext>
      </extLst>
    </bk>
    <bk>
      <extLst>
        <ext uri="{3e2802c4-a4d2-4d8b-9148-e3be6c30e623}">
          <xlrd:rvb i="3655"/>
        </ext>
      </extLst>
    </bk>
    <bk>
      <extLst>
        <ext uri="{3e2802c4-a4d2-4d8b-9148-e3be6c30e623}">
          <xlrd:rvb i="3656"/>
        </ext>
      </extLst>
    </bk>
    <bk>
      <extLst>
        <ext uri="{3e2802c4-a4d2-4d8b-9148-e3be6c30e623}">
          <xlrd:rvb i="3657"/>
        </ext>
      </extLst>
    </bk>
    <bk>
      <extLst>
        <ext uri="{3e2802c4-a4d2-4d8b-9148-e3be6c30e623}">
          <xlrd:rvb i="3658"/>
        </ext>
      </extLst>
    </bk>
    <bk>
      <extLst>
        <ext uri="{3e2802c4-a4d2-4d8b-9148-e3be6c30e623}">
          <xlrd:rvb i="3659"/>
        </ext>
      </extLst>
    </bk>
    <bk>
      <extLst>
        <ext uri="{3e2802c4-a4d2-4d8b-9148-e3be6c30e623}">
          <xlrd:rvb i="3660"/>
        </ext>
      </extLst>
    </bk>
    <bk>
      <extLst>
        <ext uri="{3e2802c4-a4d2-4d8b-9148-e3be6c30e623}">
          <xlrd:rvb i="3661"/>
        </ext>
      </extLst>
    </bk>
    <bk>
      <extLst>
        <ext uri="{3e2802c4-a4d2-4d8b-9148-e3be6c30e623}">
          <xlrd:rvb i="3662"/>
        </ext>
      </extLst>
    </bk>
    <bk>
      <extLst>
        <ext uri="{3e2802c4-a4d2-4d8b-9148-e3be6c30e623}">
          <xlrd:rvb i="3663"/>
        </ext>
      </extLst>
    </bk>
    <bk>
      <extLst>
        <ext uri="{3e2802c4-a4d2-4d8b-9148-e3be6c30e623}">
          <xlrd:rvb i="3664"/>
        </ext>
      </extLst>
    </bk>
    <bk>
      <extLst>
        <ext uri="{3e2802c4-a4d2-4d8b-9148-e3be6c30e623}">
          <xlrd:rvb i="3665"/>
        </ext>
      </extLst>
    </bk>
    <bk>
      <extLst>
        <ext uri="{3e2802c4-a4d2-4d8b-9148-e3be6c30e623}">
          <xlrd:rvb i="3666"/>
        </ext>
      </extLst>
    </bk>
    <bk>
      <extLst>
        <ext uri="{3e2802c4-a4d2-4d8b-9148-e3be6c30e623}">
          <xlrd:rvb i="3667"/>
        </ext>
      </extLst>
    </bk>
    <bk>
      <extLst>
        <ext uri="{3e2802c4-a4d2-4d8b-9148-e3be6c30e623}">
          <xlrd:rvb i="3668"/>
        </ext>
      </extLst>
    </bk>
    <bk>
      <extLst>
        <ext uri="{3e2802c4-a4d2-4d8b-9148-e3be6c30e623}">
          <xlrd:rvb i="3669"/>
        </ext>
      </extLst>
    </bk>
    <bk>
      <extLst>
        <ext uri="{3e2802c4-a4d2-4d8b-9148-e3be6c30e623}">
          <xlrd:rvb i="3670"/>
        </ext>
      </extLst>
    </bk>
    <bk>
      <extLst>
        <ext uri="{3e2802c4-a4d2-4d8b-9148-e3be6c30e623}">
          <xlrd:rvb i="3671"/>
        </ext>
      </extLst>
    </bk>
    <bk>
      <extLst>
        <ext uri="{3e2802c4-a4d2-4d8b-9148-e3be6c30e623}">
          <xlrd:rvb i="3672"/>
        </ext>
      </extLst>
    </bk>
    <bk>
      <extLst>
        <ext uri="{3e2802c4-a4d2-4d8b-9148-e3be6c30e623}">
          <xlrd:rvb i="3673"/>
        </ext>
      </extLst>
    </bk>
    <bk>
      <extLst>
        <ext uri="{3e2802c4-a4d2-4d8b-9148-e3be6c30e623}">
          <xlrd:rvb i="3674"/>
        </ext>
      </extLst>
    </bk>
    <bk>
      <extLst>
        <ext uri="{3e2802c4-a4d2-4d8b-9148-e3be6c30e623}">
          <xlrd:rvb i="3675"/>
        </ext>
      </extLst>
    </bk>
    <bk>
      <extLst>
        <ext uri="{3e2802c4-a4d2-4d8b-9148-e3be6c30e623}">
          <xlrd:rvb i="3676"/>
        </ext>
      </extLst>
    </bk>
    <bk>
      <extLst>
        <ext uri="{3e2802c4-a4d2-4d8b-9148-e3be6c30e623}">
          <xlrd:rvb i="3677"/>
        </ext>
      </extLst>
    </bk>
    <bk>
      <extLst>
        <ext uri="{3e2802c4-a4d2-4d8b-9148-e3be6c30e623}">
          <xlrd:rvb i="3678"/>
        </ext>
      </extLst>
    </bk>
    <bk>
      <extLst>
        <ext uri="{3e2802c4-a4d2-4d8b-9148-e3be6c30e623}">
          <xlrd:rvb i="3679"/>
        </ext>
      </extLst>
    </bk>
    <bk>
      <extLst>
        <ext uri="{3e2802c4-a4d2-4d8b-9148-e3be6c30e623}">
          <xlrd:rvb i="3680"/>
        </ext>
      </extLst>
    </bk>
    <bk>
      <extLst>
        <ext uri="{3e2802c4-a4d2-4d8b-9148-e3be6c30e623}">
          <xlrd:rvb i="3681"/>
        </ext>
      </extLst>
    </bk>
    <bk>
      <extLst>
        <ext uri="{3e2802c4-a4d2-4d8b-9148-e3be6c30e623}">
          <xlrd:rvb i="3682"/>
        </ext>
      </extLst>
    </bk>
    <bk>
      <extLst>
        <ext uri="{3e2802c4-a4d2-4d8b-9148-e3be6c30e623}">
          <xlrd:rvb i="3683"/>
        </ext>
      </extLst>
    </bk>
    <bk>
      <extLst>
        <ext uri="{3e2802c4-a4d2-4d8b-9148-e3be6c30e623}">
          <xlrd:rvb i="3684"/>
        </ext>
      </extLst>
    </bk>
    <bk>
      <extLst>
        <ext uri="{3e2802c4-a4d2-4d8b-9148-e3be6c30e623}">
          <xlrd:rvb i="3685"/>
        </ext>
      </extLst>
    </bk>
    <bk>
      <extLst>
        <ext uri="{3e2802c4-a4d2-4d8b-9148-e3be6c30e623}">
          <xlrd:rvb i="3686"/>
        </ext>
      </extLst>
    </bk>
    <bk>
      <extLst>
        <ext uri="{3e2802c4-a4d2-4d8b-9148-e3be6c30e623}">
          <xlrd:rvb i="3687"/>
        </ext>
      </extLst>
    </bk>
    <bk>
      <extLst>
        <ext uri="{3e2802c4-a4d2-4d8b-9148-e3be6c30e623}">
          <xlrd:rvb i="3688"/>
        </ext>
      </extLst>
    </bk>
    <bk>
      <extLst>
        <ext uri="{3e2802c4-a4d2-4d8b-9148-e3be6c30e623}">
          <xlrd:rvb i="3689"/>
        </ext>
      </extLst>
    </bk>
    <bk>
      <extLst>
        <ext uri="{3e2802c4-a4d2-4d8b-9148-e3be6c30e623}">
          <xlrd:rvb i="3690"/>
        </ext>
      </extLst>
    </bk>
    <bk>
      <extLst>
        <ext uri="{3e2802c4-a4d2-4d8b-9148-e3be6c30e623}">
          <xlrd:rvb i="3691"/>
        </ext>
      </extLst>
    </bk>
    <bk>
      <extLst>
        <ext uri="{3e2802c4-a4d2-4d8b-9148-e3be6c30e623}">
          <xlrd:rvb i="3692"/>
        </ext>
      </extLst>
    </bk>
    <bk>
      <extLst>
        <ext uri="{3e2802c4-a4d2-4d8b-9148-e3be6c30e623}">
          <xlrd:rvb i="3693"/>
        </ext>
      </extLst>
    </bk>
    <bk>
      <extLst>
        <ext uri="{3e2802c4-a4d2-4d8b-9148-e3be6c30e623}">
          <xlrd:rvb i="3694"/>
        </ext>
      </extLst>
    </bk>
    <bk>
      <extLst>
        <ext uri="{3e2802c4-a4d2-4d8b-9148-e3be6c30e623}">
          <xlrd:rvb i="3695"/>
        </ext>
      </extLst>
    </bk>
    <bk>
      <extLst>
        <ext uri="{3e2802c4-a4d2-4d8b-9148-e3be6c30e623}">
          <xlrd:rvb i="3696"/>
        </ext>
      </extLst>
    </bk>
    <bk>
      <extLst>
        <ext uri="{3e2802c4-a4d2-4d8b-9148-e3be6c30e623}">
          <xlrd:rvb i="3697"/>
        </ext>
      </extLst>
    </bk>
    <bk>
      <extLst>
        <ext uri="{3e2802c4-a4d2-4d8b-9148-e3be6c30e623}">
          <xlrd:rvb i="3698"/>
        </ext>
      </extLst>
    </bk>
    <bk>
      <extLst>
        <ext uri="{3e2802c4-a4d2-4d8b-9148-e3be6c30e623}">
          <xlrd:rvb i="3699"/>
        </ext>
      </extLst>
    </bk>
    <bk>
      <extLst>
        <ext uri="{3e2802c4-a4d2-4d8b-9148-e3be6c30e623}">
          <xlrd:rvb i="3700"/>
        </ext>
      </extLst>
    </bk>
    <bk>
      <extLst>
        <ext uri="{3e2802c4-a4d2-4d8b-9148-e3be6c30e623}">
          <xlrd:rvb i="3701"/>
        </ext>
      </extLst>
    </bk>
    <bk>
      <extLst>
        <ext uri="{3e2802c4-a4d2-4d8b-9148-e3be6c30e623}">
          <xlrd:rvb i="3702"/>
        </ext>
      </extLst>
    </bk>
    <bk>
      <extLst>
        <ext uri="{3e2802c4-a4d2-4d8b-9148-e3be6c30e623}">
          <xlrd:rvb i="3703"/>
        </ext>
      </extLst>
    </bk>
    <bk>
      <extLst>
        <ext uri="{3e2802c4-a4d2-4d8b-9148-e3be6c30e623}">
          <xlrd:rvb i="3704"/>
        </ext>
      </extLst>
    </bk>
    <bk>
      <extLst>
        <ext uri="{3e2802c4-a4d2-4d8b-9148-e3be6c30e623}">
          <xlrd:rvb i="3705"/>
        </ext>
      </extLst>
    </bk>
    <bk>
      <extLst>
        <ext uri="{3e2802c4-a4d2-4d8b-9148-e3be6c30e623}">
          <xlrd:rvb i="3706"/>
        </ext>
      </extLst>
    </bk>
    <bk>
      <extLst>
        <ext uri="{3e2802c4-a4d2-4d8b-9148-e3be6c30e623}">
          <xlrd:rvb i="3707"/>
        </ext>
      </extLst>
    </bk>
    <bk>
      <extLst>
        <ext uri="{3e2802c4-a4d2-4d8b-9148-e3be6c30e623}">
          <xlrd:rvb i="3708"/>
        </ext>
      </extLst>
    </bk>
    <bk>
      <extLst>
        <ext uri="{3e2802c4-a4d2-4d8b-9148-e3be6c30e623}">
          <xlrd:rvb i="3709"/>
        </ext>
      </extLst>
    </bk>
    <bk>
      <extLst>
        <ext uri="{3e2802c4-a4d2-4d8b-9148-e3be6c30e623}">
          <xlrd:rvb i="3710"/>
        </ext>
      </extLst>
    </bk>
    <bk>
      <extLst>
        <ext uri="{3e2802c4-a4d2-4d8b-9148-e3be6c30e623}">
          <xlrd:rvb i="3711"/>
        </ext>
      </extLst>
    </bk>
    <bk>
      <extLst>
        <ext uri="{3e2802c4-a4d2-4d8b-9148-e3be6c30e623}">
          <xlrd:rvb i="3712"/>
        </ext>
      </extLst>
    </bk>
    <bk>
      <extLst>
        <ext uri="{3e2802c4-a4d2-4d8b-9148-e3be6c30e623}">
          <xlrd:rvb i="3713"/>
        </ext>
      </extLst>
    </bk>
    <bk>
      <extLst>
        <ext uri="{3e2802c4-a4d2-4d8b-9148-e3be6c30e623}">
          <xlrd:rvb i="3714"/>
        </ext>
      </extLst>
    </bk>
    <bk>
      <extLst>
        <ext uri="{3e2802c4-a4d2-4d8b-9148-e3be6c30e623}">
          <xlrd:rvb i="3715"/>
        </ext>
      </extLst>
    </bk>
    <bk>
      <extLst>
        <ext uri="{3e2802c4-a4d2-4d8b-9148-e3be6c30e623}">
          <xlrd:rvb i="3716"/>
        </ext>
      </extLst>
    </bk>
    <bk>
      <extLst>
        <ext uri="{3e2802c4-a4d2-4d8b-9148-e3be6c30e623}">
          <xlrd:rvb i="3717"/>
        </ext>
      </extLst>
    </bk>
    <bk>
      <extLst>
        <ext uri="{3e2802c4-a4d2-4d8b-9148-e3be6c30e623}">
          <xlrd:rvb i="3718"/>
        </ext>
      </extLst>
    </bk>
    <bk>
      <extLst>
        <ext uri="{3e2802c4-a4d2-4d8b-9148-e3be6c30e623}">
          <xlrd:rvb i="3719"/>
        </ext>
      </extLst>
    </bk>
    <bk>
      <extLst>
        <ext uri="{3e2802c4-a4d2-4d8b-9148-e3be6c30e623}">
          <xlrd:rvb i="3720"/>
        </ext>
      </extLst>
    </bk>
    <bk>
      <extLst>
        <ext uri="{3e2802c4-a4d2-4d8b-9148-e3be6c30e623}">
          <xlrd:rvb i="3721"/>
        </ext>
      </extLst>
    </bk>
    <bk>
      <extLst>
        <ext uri="{3e2802c4-a4d2-4d8b-9148-e3be6c30e623}">
          <xlrd:rvb i="3722"/>
        </ext>
      </extLst>
    </bk>
    <bk>
      <extLst>
        <ext uri="{3e2802c4-a4d2-4d8b-9148-e3be6c30e623}">
          <xlrd:rvb i="3723"/>
        </ext>
      </extLst>
    </bk>
    <bk>
      <extLst>
        <ext uri="{3e2802c4-a4d2-4d8b-9148-e3be6c30e623}">
          <xlrd:rvb i="3724"/>
        </ext>
      </extLst>
    </bk>
    <bk>
      <extLst>
        <ext uri="{3e2802c4-a4d2-4d8b-9148-e3be6c30e623}">
          <xlrd:rvb i="3725"/>
        </ext>
      </extLst>
    </bk>
    <bk>
      <extLst>
        <ext uri="{3e2802c4-a4d2-4d8b-9148-e3be6c30e623}">
          <xlrd:rvb i="3726"/>
        </ext>
      </extLst>
    </bk>
    <bk>
      <extLst>
        <ext uri="{3e2802c4-a4d2-4d8b-9148-e3be6c30e623}">
          <xlrd:rvb i="3727"/>
        </ext>
      </extLst>
    </bk>
    <bk>
      <extLst>
        <ext uri="{3e2802c4-a4d2-4d8b-9148-e3be6c30e623}">
          <xlrd:rvb i="3728"/>
        </ext>
      </extLst>
    </bk>
    <bk>
      <extLst>
        <ext uri="{3e2802c4-a4d2-4d8b-9148-e3be6c30e623}">
          <xlrd:rvb i="3729"/>
        </ext>
      </extLst>
    </bk>
    <bk>
      <extLst>
        <ext uri="{3e2802c4-a4d2-4d8b-9148-e3be6c30e623}">
          <xlrd:rvb i="3730"/>
        </ext>
      </extLst>
    </bk>
    <bk>
      <extLst>
        <ext uri="{3e2802c4-a4d2-4d8b-9148-e3be6c30e623}">
          <xlrd:rvb i="3731"/>
        </ext>
      </extLst>
    </bk>
    <bk>
      <extLst>
        <ext uri="{3e2802c4-a4d2-4d8b-9148-e3be6c30e623}">
          <xlrd:rvb i="3732"/>
        </ext>
      </extLst>
    </bk>
    <bk>
      <extLst>
        <ext uri="{3e2802c4-a4d2-4d8b-9148-e3be6c30e623}">
          <xlrd:rvb i="3733"/>
        </ext>
      </extLst>
    </bk>
    <bk>
      <extLst>
        <ext uri="{3e2802c4-a4d2-4d8b-9148-e3be6c30e623}">
          <xlrd:rvb i="3734"/>
        </ext>
      </extLst>
    </bk>
    <bk>
      <extLst>
        <ext uri="{3e2802c4-a4d2-4d8b-9148-e3be6c30e623}">
          <xlrd:rvb i="3735"/>
        </ext>
      </extLst>
    </bk>
    <bk>
      <extLst>
        <ext uri="{3e2802c4-a4d2-4d8b-9148-e3be6c30e623}">
          <xlrd:rvb i="3736"/>
        </ext>
      </extLst>
    </bk>
    <bk>
      <extLst>
        <ext uri="{3e2802c4-a4d2-4d8b-9148-e3be6c30e623}">
          <xlrd:rvb i="3737"/>
        </ext>
      </extLst>
    </bk>
    <bk>
      <extLst>
        <ext uri="{3e2802c4-a4d2-4d8b-9148-e3be6c30e623}">
          <xlrd:rvb i="3738"/>
        </ext>
      </extLst>
    </bk>
    <bk>
      <extLst>
        <ext uri="{3e2802c4-a4d2-4d8b-9148-e3be6c30e623}">
          <xlrd:rvb i="3739"/>
        </ext>
      </extLst>
    </bk>
    <bk>
      <extLst>
        <ext uri="{3e2802c4-a4d2-4d8b-9148-e3be6c30e623}">
          <xlrd:rvb i="3740"/>
        </ext>
      </extLst>
    </bk>
    <bk>
      <extLst>
        <ext uri="{3e2802c4-a4d2-4d8b-9148-e3be6c30e623}">
          <xlrd:rvb i="3741"/>
        </ext>
      </extLst>
    </bk>
    <bk>
      <extLst>
        <ext uri="{3e2802c4-a4d2-4d8b-9148-e3be6c30e623}">
          <xlrd:rvb i="3742"/>
        </ext>
      </extLst>
    </bk>
    <bk>
      <extLst>
        <ext uri="{3e2802c4-a4d2-4d8b-9148-e3be6c30e623}">
          <xlrd:rvb i="3743"/>
        </ext>
      </extLst>
    </bk>
    <bk>
      <extLst>
        <ext uri="{3e2802c4-a4d2-4d8b-9148-e3be6c30e623}">
          <xlrd:rvb i="3744"/>
        </ext>
      </extLst>
    </bk>
    <bk>
      <extLst>
        <ext uri="{3e2802c4-a4d2-4d8b-9148-e3be6c30e623}">
          <xlrd:rvb i="3745"/>
        </ext>
      </extLst>
    </bk>
    <bk>
      <extLst>
        <ext uri="{3e2802c4-a4d2-4d8b-9148-e3be6c30e623}">
          <xlrd:rvb i="3746"/>
        </ext>
      </extLst>
    </bk>
    <bk>
      <extLst>
        <ext uri="{3e2802c4-a4d2-4d8b-9148-e3be6c30e623}">
          <xlrd:rvb i="3747"/>
        </ext>
      </extLst>
    </bk>
    <bk>
      <extLst>
        <ext uri="{3e2802c4-a4d2-4d8b-9148-e3be6c30e623}">
          <xlrd:rvb i="3748"/>
        </ext>
      </extLst>
    </bk>
    <bk>
      <extLst>
        <ext uri="{3e2802c4-a4d2-4d8b-9148-e3be6c30e623}">
          <xlrd:rvb i="3749"/>
        </ext>
      </extLst>
    </bk>
    <bk>
      <extLst>
        <ext uri="{3e2802c4-a4d2-4d8b-9148-e3be6c30e623}">
          <xlrd:rvb i="3750"/>
        </ext>
      </extLst>
    </bk>
    <bk>
      <extLst>
        <ext uri="{3e2802c4-a4d2-4d8b-9148-e3be6c30e623}">
          <xlrd:rvb i="3751"/>
        </ext>
      </extLst>
    </bk>
    <bk>
      <extLst>
        <ext uri="{3e2802c4-a4d2-4d8b-9148-e3be6c30e623}">
          <xlrd:rvb i="3752"/>
        </ext>
      </extLst>
    </bk>
    <bk>
      <extLst>
        <ext uri="{3e2802c4-a4d2-4d8b-9148-e3be6c30e623}">
          <xlrd:rvb i="3753"/>
        </ext>
      </extLst>
    </bk>
    <bk>
      <extLst>
        <ext uri="{3e2802c4-a4d2-4d8b-9148-e3be6c30e623}">
          <xlrd:rvb i="3754"/>
        </ext>
      </extLst>
    </bk>
    <bk>
      <extLst>
        <ext uri="{3e2802c4-a4d2-4d8b-9148-e3be6c30e623}">
          <xlrd:rvb i="3755"/>
        </ext>
      </extLst>
    </bk>
    <bk>
      <extLst>
        <ext uri="{3e2802c4-a4d2-4d8b-9148-e3be6c30e623}">
          <xlrd:rvb i="3756"/>
        </ext>
      </extLst>
    </bk>
    <bk>
      <extLst>
        <ext uri="{3e2802c4-a4d2-4d8b-9148-e3be6c30e623}">
          <xlrd:rvb i="3757"/>
        </ext>
      </extLst>
    </bk>
    <bk>
      <extLst>
        <ext uri="{3e2802c4-a4d2-4d8b-9148-e3be6c30e623}">
          <xlrd:rvb i="3758"/>
        </ext>
      </extLst>
    </bk>
    <bk>
      <extLst>
        <ext uri="{3e2802c4-a4d2-4d8b-9148-e3be6c30e623}">
          <xlrd:rvb i="3759"/>
        </ext>
      </extLst>
    </bk>
    <bk>
      <extLst>
        <ext uri="{3e2802c4-a4d2-4d8b-9148-e3be6c30e623}">
          <xlrd:rvb i="3760"/>
        </ext>
      </extLst>
    </bk>
    <bk>
      <extLst>
        <ext uri="{3e2802c4-a4d2-4d8b-9148-e3be6c30e623}">
          <xlrd:rvb i="3761"/>
        </ext>
      </extLst>
    </bk>
    <bk>
      <extLst>
        <ext uri="{3e2802c4-a4d2-4d8b-9148-e3be6c30e623}">
          <xlrd:rvb i="3762"/>
        </ext>
      </extLst>
    </bk>
    <bk>
      <extLst>
        <ext uri="{3e2802c4-a4d2-4d8b-9148-e3be6c30e623}">
          <xlrd:rvb i="3763"/>
        </ext>
      </extLst>
    </bk>
    <bk>
      <extLst>
        <ext uri="{3e2802c4-a4d2-4d8b-9148-e3be6c30e623}">
          <xlrd:rvb i="3764"/>
        </ext>
      </extLst>
    </bk>
    <bk>
      <extLst>
        <ext uri="{3e2802c4-a4d2-4d8b-9148-e3be6c30e623}">
          <xlrd:rvb i="3765"/>
        </ext>
      </extLst>
    </bk>
    <bk>
      <extLst>
        <ext uri="{3e2802c4-a4d2-4d8b-9148-e3be6c30e623}">
          <xlrd:rvb i="3766"/>
        </ext>
      </extLst>
    </bk>
    <bk>
      <extLst>
        <ext uri="{3e2802c4-a4d2-4d8b-9148-e3be6c30e623}">
          <xlrd:rvb i="3767"/>
        </ext>
      </extLst>
    </bk>
    <bk>
      <extLst>
        <ext uri="{3e2802c4-a4d2-4d8b-9148-e3be6c30e623}">
          <xlrd:rvb i="3768"/>
        </ext>
      </extLst>
    </bk>
    <bk>
      <extLst>
        <ext uri="{3e2802c4-a4d2-4d8b-9148-e3be6c30e623}">
          <xlrd:rvb i="3769"/>
        </ext>
      </extLst>
    </bk>
    <bk>
      <extLst>
        <ext uri="{3e2802c4-a4d2-4d8b-9148-e3be6c30e623}">
          <xlrd:rvb i="3770"/>
        </ext>
      </extLst>
    </bk>
    <bk>
      <extLst>
        <ext uri="{3e2802c4-a4d2-4d8b-9148-e3be6c30e623}">
          <xlrd:rvb i="3771"/>
        </ext>
      </extLst>
    </bk>
    <bk>
      <extLst>
        <ext uri="{3e2802c4-a4d2-4d8b-9148-e3be6c30e623}">
          <xlrd:rvb i="3772"/>
        </ext>
      </extLst>
    </bk>
    <bk>
      <extLst>
        <ext uri="{3e2802c4-a4d2-4d8b-9148-e3be6c30e623}">
          <xlrd:rvb i="3773"/>
        </ext>
      </extLst>
    </bk>
    <bk>
      <extLst>
        <ext uri="{3e2802c4-a4d2-4d8b-9148-e3be6c30e623}">
          <xlrd:rvb i="3774"/>
        </ext>
      </extLst>
    </bk>
    <bk>
      <extLst>
        <ext uri="{3e2802c4-a4d2-4d8b-9148-e3be6c30e623}">
          <xlrd:rvb i="3775"/>
        </ext>
      </extLst>
    </bk>
    <bk>
      <extLst>
        <ext uri="{3e2802c4-a4d2-4d8b-9148-e3be6c30e623}">
          <xlrd:rvb i="3776"/>
        </ext>
      </extLst>
    </bk>
    <bk>
      <extLst>
        <ext uri="{3e2802c4-a4d2-4d8b-9148-e3be6c30e623}">
          <xlrd:rvb i="3777"/>
        </ext>
      </extLst>
    </bk>
    <bk>
      <extLst>
        <ext uri="{3e2802c4-a4d2-4d8b-9148-e3be6c30e623}">
          <xlrd:rvb i="3778"/>
        </ext>
      </extLst>
    </bk>
    <bk>
      <extLst>
        <ext uri="{3e2802c4-a4d2-4d8b-9148-e3be6c30e623}">
          <xlrd:rvb i="3779"/>
        </ext>
      </extLst>
    </bk>
    <bk>
      <extLst>
        <ext uri="{3e2802c4-a4d2-4d8b-9148-e3be6c30e623}">
          <xlrd:rvb i="3780"/>
        </ext>
      </extLst>
    </bk>
    <bk>
      <extLst>
        <ext uri="{3e2802c4-a4d2-4d8b-9148-e3be6c30e623}">
          <xlrd:rvb i="3781"/>
        </ext>
      </extLst>
    </bk>
    <bk>
      <extLst>
        <ext uri="{3e2802c4-a4d2-4d8b-9148-e3be6c30e623}">
          <xlrd:rvb i="3782"/>
        </ext>
      </extLst>
    </bk>
    <bk>
      <extLst>
        <ext uri="{3e2802c4-a4d2-4d8b-9148-e3be6c30e623}">
          <xlrd:rvb i="3783"/>
        </ext>
      </extLst>
    </bk>
    <bk>
      <extLst>
        <ext uri="{3e2802c4-a4d2-4d8b-9148-e3be6c30e623}">
          <xlrd:rvb i="3784"/>
        </ext>
      </extLst>
    </bk>
    <bk>
      <extLst>
        <ext uri="{3e2802c4-a4d2-4d8b-9148-e3be6c30e623}">
          <xlrd:rvb i="3785"/>
        </ext>
      </extLst>
    </bk>
    <bk>
      <extLst>
        <ext uri="{3e2802c4-a4d2-4d8b-9148-e3be6c30e623}">
          <xlrd:rvb i="3786"/>
        </ext>
      </extLst>
    </bk>
    <bk>
      <extLst>
        <ext uri="{3e2802c4-a4d2-4d8b-9148-e3be6c30e623}">
          <xlrd:rvb i="3787"/>
        </ext>
      </extLst>
    </bk>
    <bk>
      <extLst>
        <ext uri="{3e2802c4-a4d2-4d8b-9148-e3be6c30e623}">
          <xlrd:rvb i="3788"/>
        </ext>
      </extLst>
    </bk>
    <bk>
      <extLst>
        <ext uri="{3e2802c4-a4d2-4d8b-9148-e3be6c30e623}">
          <xlrd:rvb i="3789"/>
        </ext>
      </extLst>
    </bk>
    <bk>
      <extLst>
        <ext uri="{3e2802c4-a4d2-4d8b-9148-e3be6c30e623}">
          <xlrd:rvb i="3790"/>
        </ext>
      </extLst>
    </bk>
    <bk>
      <extLst>
        <ext uri="{3e2802c4-a4d2-4d8b-9148-e3be6c30e623}">
          <xlrd:rvb i="3791"/>
        </ext>
      </extLst>
    </bk>
    <bk>
      <extLst>
        <ext uri="{3e2802c4-a4d2-4d8b-9148-e3be6c30e623}">
          <xlrd:rvb i="3792"/>
        </ext>
      </extLst>
    </bk>
    <bk>
      <extLst>
        <ext uri="{3e2802c4-a4d2-4d8b-9148-e3be6c30e623}">
          <xlrd:rvb i="3793"/>
        </ext>
      </extLst>
    </bk>
    <bk>
      <extLst>
        <ext uri="{3e2802c4-a4d2-4d8b-9148-e3be6c30e623}">
          <xlrd:rvb i="3794"/>
        </ext>
      </extLst>
    </bk>
    <bk>
      <extLst>
        <ext uri="{3e2802c4-a4d2-4d8b-9148-e3be6c30e623}">
          <xlrd:rvb i="3795"/>
        </ext>
      </extLst>
    </bk>
    <bk>
      <extLst>
        <ext uri="{3e2802c4-a4d2-4d8b-9148-e3be6c30e623}">
          <xlrd:rvb i="3796"/>
        </ext>
      </extLst>
    </bk>
    <bk>
      <extLst>
        <ext uri="{3e2802c4-a4d2-4d8b-9148-e3be6c30e623}">
          <xlrd:rvb i="3797"/>
        </ext>
      </extLst>
    </bk>
    <bk>
      <extLst>
        <ext uri="{3e2802c4-a4d2-4d8b-9148-e3be6c30e623}">
          <xlrd:rvb i="3798"/>
        </ext>
      </extLst>
    </bk>
    <bk>
      <extLst>
        <ext uri="{3e2802c4-a4d2-4d8b-9148-e3be6c30e623}">
          <xlrd:rvb i="3799"/>
        </ext>
      </extLst>
    </bk>
    <bk>
      <extLst>
        <ext uri="{3e2802c4-a4d2-4d8b-9148-e3be6c30e623}">
          <xlrd:rvb i="3800"/>
        </ext>
      </extLst>
    </bk>
    <bk>
      <extLst>
        <ext uri="{3e2802c4-a4d2-4d8b-9148-e3be6c30e623}">
          <xlrd:rvb i="3801"/>
        </ext>
      </extLst>
    </bk>
    <bk>
      <extLst>
        <ext uri="{3e2802c4-a4d2-4d8b-9148-e3be6c30e623}">
          <xlrd:rvb i="3802"/>
        </ext>
      </extLst>
    </bk>
    <bk>
      <extLst>
        <ext uri="{3e2802c4-a4d2-4d8b-9148-e3be6c30e623}">
          <xlrd:rvb i="3803"/>
        </ext>
      </extLst>
    </bk>
    <bk>
      <extLst>
        <ext uri="{3e2802c4-a4d2-4d8b-9148-e3be6c30e623}">
          <xlrd:rvb i="3804"/>
        </ext>
      </extLst>
    </bk>
    <bk>
      <extLst>
        <ext uri="{3e2802c4-a4d2-4d8b-9148-e3be6c30e623}">
          <xlrd:rvb i="3805"/>
        </ext>
      </extLst>
    </bk>
    <bk>
      <extLst>
        <ext uri="{3e2802c4-a4d2-4d8b-9148-e3be6c30e623}">
          <xlrd:rvb i="3806"/>
        </ext>
      </extLst>
    </bk>
    <bk>
      <extLst>
        <ext uri="{3e2802c4-a4d2-4d8b-9148-e3be6c30e623}">
          <xlrd:rvb i="3807"/>
        </ext>
      </extLst>
    </bk>
    <bk>
      <extLst>
        <ext uri="{3e2802c4-a4d2-4d8b-9148-e3be6c30e623}">
          <xlrd:rvb i="3808"/>
        </ext>
      </extLst>
    </bk>
    <bk>
      <extLst>
        <ext uri="{3e2802c4-a4d2-4d8b-9148-e3be6c30e623}">
          <xlrd:rvb i="3809"/>
        </ext>
      </extLst>
    </bk>
    <bk>
      <extLst>
        <ext uri="{3e2802c4-a4d2-4d8b-9148-e3be6c30e623}">
          <xlrd:rvb i="3810"/>
        </ext>
      </extLst>
    </bk>
    <bk>
      <extLst>
        <ext uri="{3e2802c4-a4d2-4d8b-9148-e3be6c30e623}">
          <xlrd:rvb i="3811"/>
        </ext>
      </extLst>
    </bk>
    <bk>
      <extLst>
        <ext uri="{3e2802c4-a4d2-4d8b-9148-e3be6c30e623}">
          <xlrd:rvb i="3812"/>
        </ext>
      </extLst>
    </bk>
    <bk>
      <extLst>
        <ext uri="{3e2802c4-a4d2-4d8b-9148-e3be6c30e623}">
          <xlrd:rvb i="3813"/>
        </ext>
      </extLst>
    </bk>
    <bk>
      <extLst>
        <ext uri="{3e2802c4-a4d2-4d8b-9148-e3be6c30e623}">
          <xlrd:rvb i="3814"/>
        </ext>
      </extLst>
    </bk>
    <bk>
      <extLst>
        <ext uri="{3e2802c4-a4d2-4d8b-9148-e3be6c30e623}">
          <xlrd:rvb i="3815"/>
        </ext>
      </extLst>
    </bk>
    <bk>
      <extLst>
        <ext uri="{3e2802c4-a4d2-4d8b-9148-e3be6c30e623}">
          <xlrd:rvb i="3816"/>
        </ext>
      </extLst>
    </bk>
    <bk>
      <extLst>
        <ext uri="{3e2802c4-a4d2-4d8b-9148-e3be6c30e623}">
          <xlrd:rvb i="3817"/>
        </ext>
      </extLst>
    </bk>
    <bk>
      <extLst>
        <ext uri="{3e2802c4-a4d2-4d8b-9148-e3be6c30e623}">
          <xlrd:rvb i="3818"/>
        </ext>
      </extLst>
    </bk>
    <bk>
      <extLst>
        <ext uri="{3e2802c4-a4d2-4d8b-9148-e3be6c30e623}">
          <xlrd:rvb i="3819"/>
        </ext>
      </extLst>
    </bk>
    <bk>
      <extLst>
        <ext uri="{3e2802c4-a4d2-4d8b-9148-e3be6c30e623}">
          <xlrd:rvb i="3820"/>
        </ext>
      </extLst>
    </bk>
    <bk>
      <extLst>
        <ext uri="{3e2802c4-a4d2-4d8b-9148-e3be6c30e623}">
          <xlrd:rvb i="3821"/>
        </ext>
      </extLst>
    </bk>
    <bk>
      <extLst>
        <ext uri="{3e2802c4-a4d2-4d8b-9148-e3be6c30e623}">
          <xlrd:rvb i="3822"/>
        </ext>
      </extLst>
    </bk>
    <bk>
      <extLst>
        <ext uri="{3e2802c4-a4d2-4d8b-9148-e3be6c30e623}">
          <xlrd:rvb i="3823"/>
        </ext>
      </extLst>
    </bk>
    <bk>
      <extLst>
        <ext uri="{3e2802c4-a4d2-4d8b-9148-e3be6c30e623}">
          <xlrd:rvb i="3824"/>
        </ext>
      </extLst>
    </bk>
    <bk>
      <extLst>
        <ext uri="{3e2802c4-a4d2-4d8b-9148-e3be6c30e623}">
          <xlrd:rvb i="3825"/>
        </ext>
      </extLst>
    </bk>
    <bk>
      <extLst>
        <ext uri="{3e2802c4-a4d2-4d8b-9148-e3be6c30e623}">
          <xlrd:rvb i="3826"/>
        </ext>
      </extLst>
    </bk>
    <bk>
      <extLst>
        <ext uri="{3e2802c4-a4d2-4d8b-9148-e3be6c30e623}">
          <xlrd:rvb i="3827"/>
        </ext>
      </extLst>
    </bk>
    <bk>
      <extLst>
        <ext uri="{3e2802c4-a4d2-4d8b-9148-e3be6c30e623}">
          <xlrd:rvb i="3828"/>
        </ext>
      </extLst>
    </bk>
    <bk>
      <extLst>
        <ext uri="{3e2802c4-a4d2-4d8b-9148-e3be6c30e623}">
          <xlrd:rvb i="3829"/>
        </ext>
      </extLst>
    </bk>
    <bk>
      <extLst>
        <ext uri="{3e2802c4-a4d2-4d8b-9148-e3be6c30e623}">
          <xlrd:rvb i="3830"/>
        </ext>
      </extLst>
    </bk>
    <bk>
      <extLst>
        <ext uri="{3e2802c4-a4d2-4d8b-9148-e3be6c30e623}">
          <xlrd:rvb i="3831"/>
        </ext>
      </extLst>
    </bk>
    <bk>
      <extLst>
        <ext uri="{3e2802c4-a4d2-4d8b-9148-e3be6c30e623}">
          <xlrd:rvb i="3832"/>
        </ext>
      </extLst>
    </bk>
    <bk>
      <extLst>
        <ext uri="{3e2802c4-a4d2-4d8b-9148-e3be6c30e623}">
          <xlrd:rvb i="3833"/>
        </ext>
      </extLst>
    </bk>
    <bk>
      <extLst>
        <ext uri="{3e2802c4-a4d2-4d8b-9148-e3be6c30e623}">
          <xlrd:rvb i="3834"/>
        </ext>
      </extLst>
    </bk>
    <bk>
      <extLst>
        <ext uri="{3e2802c4-a4d2-4d8b-9148-e3be6c30e623}">
          <xlrd:rvb i="3835"/>
        </ext>
      </extLst>
    </bk>
    <bk>
      <extLst>
        <ext uri="{3e2802c4-a4d2-4d8b-9148-e3be6c30e623}">
          <xlrd:rvb i="3836"/>
        </ext>
      </extLst>
    </bk>
    <bk>
      <extLst>
        <ext uri="{3e2802c4-a4d2-4d8b-9148-e3be6c30e623}">
          <xlrd:rvb i="3837"/>
        </ext>
      </extLst>
    </bk>
    <bk>
      <extLst>
        <ext uri="{3e2802c4-a4d2-4d8b-9148-e3be6c30e623}">
          <xlrd:rvb i="3838"/>
        </ext>
      </extLst>
    </bk>
    <bk>
      <extLst>
        <ext uri="{3e2802c4-a4d2-4d8b-9148-e3be6c30e623}">
          <xlrd:rvb i="3839"/>
        </ext>
      </extLst>
    </bk>
    <bk>
      <extLst>
        <ext uri="{3e2802c4-a4d2-4d8b-9148-e3be6c30e623}">
          <xlrd:rvb i="3840"/>
        </ext>
      </extLst>
    </bk>
    <bk>
      <extLst>
        <ext uri="{3e2802c4-a4d2-4d8b-9148-e3be6c30e623}">
          <xlrd:rvb i="3841"/>
        </ext>
      </extLst>
    </bk>
    <bk>
      <extLst>
        <ext uri="{3e2802c4-a4d2-4d8b-9148-e3be6c30e623}">
          <xlrd:rvb i="3842"/>
        </ext>
      </extLst>
    </bk>
    <bk>
      <extLst>
        <ext uri="{3e2802c4-a4d2-4d8b-9148-e3be6c30e623}">
          <xlrd:rvb i="3843"/>
        </ext>
      </extLst>
    </bk>
    <bk>
      <extLst>
        <ext uri="{3e2802c4-a4d2-4d8b-9148-e3be6c30e623}">
          <xlrd:rvb i="3844"/>
        </ext>
      </extLst>
    </bk>
    <bk>
      <extLst>
        <ext uri="{3e2802c4-a4d2-4d8b-9148-e3be6c30e623}">
          <xlrd:rvb i="3845"/>
        </ext>
      </extLst>
    </bk>
    <bk>
      <extLst>
        <ext uri="{3e2802c4-a4d2-4d8b-9148-e3be6c30e623}">
          <xlrd:rvb i="3846"/>
        </ext>
      </extLst>
    </bk>
    <bk>
      <extLst>
        <ext uri="{3e2802c4-a4d2-4d8b-9148-e3be6c30e623}">
          <xlrd:rvb i="3847"/>
        </ext>
      </extLst>
    </bk>
    <bk>
      <extLst>
        <ext uri="{3e2802c4-a4d2-4d8b-9148-e3be6c30e623}">
          <xlrd:rvb i="3848"/>
        </ext>
      </extLst>
    </bk>
    <bk>
      <extLst>
        <ext uri="{3e2802c4-a4d2-4d8b-9148-e3be6c30e623}">
          <xlrd:rvb i="3849"/>
        </ext>
      </extLst>
    </bk>
    <bk>
      <extLst>
        <ext uri="{3e2802c4-a4d2-4d8b-9148-e3be6c30e623}">
          <xlrd:rvb i="3850"/>
        </ext>
      </extLst>
    </bk>
    <bk>
      <extLst>
        <ext uri="{3e2802c4-a4d2-4d8b-9148-e3be6c30e623}">
          <xlrd:rvb i="3851"/>
        </ext>
      </extLst>
    </bk>
    <bk>
      <extLst>
        <ext uri="{3e2802c4-a4d2-4d8b-9148-e3be6c30e623}">
          <xlrd:rvb i="3852"/>
        </ext>
      </extLst>
    </bk>
    <bk>
      <extLst>
        <ext uri="{3e2802c4-a4d2-4d8b-9148-e3be6c30e623}">
          <xlrd:rvb i="3853"/>
        </ext>
      </extLst>
    </bk>
    <bk>
      <extLst>
        <ext uri="{3e2802c4-a4d2-4d8b-9148-e3be6c30e623}">
          <xlrd:rvb i="3854"/>
        </ext>
      </extLst>
    </bk>
    <bk>
      <extLst>
        <ext uri="{3e2802c4-a4d2-4d8b-9148-e3be6c30e623}">
          <xlrd:rvb i="3855"/>
        </ext>
      </extLst>
    </bk>
    <bk>
      <extLst>
        <ext uri="{3e2802c4-a4d2-4d8b-9148-e3be6c30e623}">
          <xlrd:rvb i="3856"/>
        </ext>
      </extLst>
    </bk>
    <bk>
      <extLst>
        <ext uri="{3e2802c4-a4d2-4d8b-9148-e3be6c30e623}">
          <xlrd:rvb i="3857"/>
        </ext>
      </extLst>
    </bk>
    <bk>
      <extLst>
        <ext uri="{3e2802c4-a4d2-4d8b-9148-e3be6c30e623}">
          <xlrd:rvb i="3858"/>
        </ext>
      </extLst>
    </bk>
    <bk>
      <extLst>
        <ext uri="{3e2802c4-a4d2-4d8b-9148-e3be6c30e623}">
          <xlrd:rvb i="3859"/>
        </ext>
      </extLst>
    </bk>
    <bk>
      <extLst>
        <ext uri="{3e2802c4-a4d2-4d8b-9148-e3be6c30e623}">
          <xlrd:rvb i="3860"/>
        </ext>
      </extLst>
    </bk>
    <bk>
      <extLst>
        <ext uri="{3e2802c4-a4d2-4d8b-9148-e3be6c30e623}">
          <xlrd:rvb i="3861"/>
        </ext>
      </extLst>
    </bk>
    <bk>
      <extLst>
        <ext uri="{3e2802c4-a4d2-4d8b-9148-e3be6c30e623}">
          <xlrd:rvb i="3862"/>
        </ext>
      </extLst>
    </bk>
    <bk>
      <extLst>
        <ext uri="{3e2802c4-a4d2-4d8b-9148-e3be6c30e623}">
          <xlrd:rvb i="3863"/>
        </ext>
      </extLst>
    </bk>
    <bk>
      <extLst>
        <ext uri="{3e2802c4-a4d2-4d8b-9148-e3be6c30e623}">
          <xlrd:rvb i="3864"/>
        </ext>
      </extLst>
    </bk>
    <bk>
      <extLst>
        <ext uri="{3e2802c4-a4d2-4d8b-9148-e3be6c30e623}">
          <xlrd:rvb i="3865"/>
        </ext>
      </extLst>
    </bk>
    <bk>
      <extLst>
        <ext uri="{3e2802c4-a4d2-4d8b-9148-e3be6c30e623}">
          <xlrd:rvb i="3866"/>
        </ext>
      </extLst>
    </bk>
    <bk>
      <extLst>
        <ext uri="{3e2802c4-a4d2-4d8b-9148-e3be6c30e623}">
          <xlrd:rvb i="3867"/>
        </ext>
      </extLst>
    </bk>
    <bk>
      <extLst>
        <ext uri="{3e2802c4-a4d2-4d8b-9148-e3be6c30e623}">
          <xlrd:rvb i="3868"/>
        </ext>
      </extLst>
    </bk>
    <bk>
      <extLst>
        <ext uri="{3e2802c4-a4d2-4d8b-9148-e3be6c30e623}">
          <xlrd:rvb i="3869"/>
        </ext>
      </extLst>
    </bk>
    <bk>
      <extLst>
        <ext uri="{3e2802c4-a4d2-4d8b-9148-e3be6c30e623}">
          <xlrd:rvb i="3870"/>
        </ext>
      </extLst>
    </bk>
    <bk>
      <extLst>
        <ext uri="{3e2802c4-a4d2-4d8b-9148-e3be6c30e623}">
          <xlrd:rvb i="3871"/>
        </ext>
      </extLst>
    </bk>
    <bk>
      <extLst>
        <ext uri="{3e2802c4-a4d2-4d8b-9148-e3be6c30e623}">
          <xlrd:rvb i="3872"/>
        </ext>
      </extLst>
    </bk>
    <bk>
      <extLst>
        <ext uri="{3e2802c4-a4d2-4d8b-9148-e3be6c30e623}">
          <xlrd:rvb i="3873"/>
        </ext>
      </extLst>
    </bk>
    <bk>
      <extLst>
        <ext uri="{3e2802c4-a4d2-4d8b-9148-e3be6c30e623}">
          <xlrd:rvb i="3874"/>
        </ext>
      </extLst>
    </bk>
    <bk>
      <extLst>
        <ext uri="{3e2802c4-a4d2-4d8b-9148-e3be6c30e623}">
          <xlrd:rvb i="3875"/>
        </ext>
      </extLst>
    </bk>
    <bk>
      <extLst>
        <ext uri="{3e2802c4-a4d2-4d8b-9148-e3be6c30e623}">
          <xlrd:rvb i="3876"/>
        </ext>
      </extLst>
    </bk>
    <bk>
      <extLst>
        <ext uri="{3e2802c4-a4d2-4d8b-9148-e3be6c30e623}">
          <xlrd:rvb i="3877"/>
        </ext>
      </extLst>
    </bk>
    <bk>
      <extLst>
        <ext uri="{3e2802c4-a4d2-4d8b-9148-e3be6c30e623}">
          <xlrd:rvb i="3878"/>
        </ext>
      </extLst>
    </bk>
    <bk>
      <extLst>
        <ext uri="{3e2802c4-a4d2-4d8b-9148-e3be6c30e623}">
          <xlrd:rvb i="3879"/>
        </ext>
      </extLst>
    </bk>
    <bk>
      <extLst>
        <ext uri="{3e2802c4-a4d2-4d8b-9148-e3be6c30e623}">
          <xlrd:rvb i="3880"/>
        </ext>
      </extLst>
    </bk>
    <bk>
      <extLst>
        <ext uri="{3e2802c4-a4d2-4d8b-9148-e3be6c30e623}">
          <xlrd:rvb i="3881"/>
        </ext>
      </extLst>
    </bk>
    <bk>
      <extLst>
        <ext uri="{3e2802c4-a4d2-4d8b-9148-e3be6c30e623}">
          <xlrd:rvb i="3882"/>
        </ext>
      </extLst>
    </bk>
    <bk>
      <extLst>
        <ext uri="{3e2802c4-a4d2-4d8b-9148-e3be6c30e623}">
          <xlrd:rvb i="3883"/>
        </ext>
      </extLst>
    </bk>
    <bk>
      <extLst>
        <ext uri="{3e2802c4-a4d2-4d8b-9148-e3be6c30e623}">
          <xlrd:rvb i="3884"/>
        </ext>
      </extLst>
    </bk>
    <bk>
      <extLst>
        <ext uri="{3e2802c4-a4d2-4d8b-9148-e3be6c30e623}">
          <xlrd:rvb i="3885"/>
        </ext>
      </extLst>
    </bk>
    <bk>
      <extLst>
        <ext uri="{3e2802c4-a4d2-4d8b-9148-e3be6c30e623}">
          <xlrd:rvb i="3886"/>
        </ext>
      </extLst>
    </bk>
    <bk>
      <extLst>
        <ext uri="{3e2802c4-a4d2-4d8b-9148-e3be6c30e623}">
          <xlrd:rvb i="3887"/>
        </ext>
      </extLst>
    </bk>
    <bk>
      <extLst>
        <ext uri="{3e2802c4-a4d2-4d8b-9148-e3be6c30e623}">
          <xlrd:rvb i="3888"/>
        </ext>
      </extLst>
    </bk>
    <bk>
      <extLst>
        <ext uri="{3e2802c4-a4d2-4d8b-9148-e3be6c30e623}">
          <xlrd:rvb i="3889"/>
        </ext>
      </extLst>
    </bk>
    <bk>
      <extLst>
        <ext uri="{3e2802c4-a4d2-4d8b-9148-e3be6c30e623}">
          <xlrd:rvb i="3890"/>
        </ext>
      </extLst>
    </bk>
    <bk>
      <extLst>
        <ext uri="{3e2802c4-a4d2-4d8b-9148-e3be6c30e623}">
          <xlrd:rvb i="3891"/>
        </ext>
      </extLst>
    </bk>
    <bk>
      <extLst>
        <ext uri="{3e2802c4-a4d2-4d8b-9148-e3be6c30e623}">
          <xlrd:rvb i="3892"/>
        </ext>
      </extLst>
    </bk>
    <bk>
      <extLst>
        <ext uri="{3e2802c4-a4d2-4d8b-9148-e3be6c30e623}">
          <xlrd:rvb i="3893"/>
        </ext>
      </extLst>
    </bk>
    <bk>
      <extLst>
        <ext uri="{3e2802c4-a4d2-4d8b-9148-e3be6c30e623}">
          <xlrd:rvb i="3894"/>
        </ext>
      </extLst>
    </bk>
    <bk>
      <extLst>
        <ext uri="{3e2802c4-a4d2-4d8b-9148-e3be6c30e623}">
          <xlrd:rvb i="3895"/>
        </ext>
      </extLst>
    </bk>
    <bk>
      <extLst>
        <ext uri="{3e2802c4-a4d2-4d8b-9148-e3be6c30e623}">
          <xlrd:rvb i="3896"/>
        </ext>
      </extLst>
    </bk>
    <bk>
      <extLst>
        <ext uri="{3e2802c4-a4d2-4d8b-9148-e3be6c30e623}">
          <xlrd:rvb i="3897"/>
        </ext>
      </extLst>
    </bk>
    <bk>
      <extLst>
        <ext uri="{3e2802c4-a4d2-4d8b-9148-e3be6c30e623}">
          <xlrd:rvb i="3898"/>
        </ext>
      </extLst>
    </bk>
    <bk>
      <extLst>
        <ext uri="{3e2802c4-a4d2-4d8b-9148-e3be6c30e623}">
          <xlrd:rvb i="3899"/>
        </ext>
      </extLst>
    </bk>
    <bk>
      <extLst>
        <ext uri="{3e2802c4-a4d2-4d8b-9148-e3be6c30e623}">
          <xlrd:rvb i="3900"/>
        </ext>
      </extLst>
    </bk>
    <bk>
      <extLst>
        <ext uri="{3e2802c4-a4d2-4d8b-9148-e3be6c30e623}">
          <xlrd:rvb i="3901"/>
        </ext>
      </extLst>
    </bk>
    <bk>
      <extLst>
        <ext uri="{3e2802c4-a4d2-4d8b-9148-e3be6c30e623}">
          <xlrd:rvb i="3902"/>
        </ext>
      </extLst>
    </bk>
    <bk>
      <extLst>
        <ext uri="{3e2802c4-a4d2-4d8b-9148-e3be6c30e623}">
          <xlrd:rvb i="3903"/>
        </ext>
      </extLst>
    </bk>
    <bk>
      <extLst>
        <ext uri="{3e2802c4-a4d2-4d8b-9148-e3be6c30e623}">
          <xlrd:rvb i="3904"/>
        </ext>
      </extLst>
    </bk>
    <bk>
      <extLst>
        <ext uri="{3e2802c4-a4d2-4d8b-9148-e3be6c30e623}">
          <xlrd:rvb i="3905"/>
        </ext>
      </extLst>
    </bk>
    <bk>
      <extLst>
        <ext uri="{3e2802c4-a4d2-4d8b-9148-e3be6c30e623}">
          <xlrd:rvb i="3906"/>
        </ext>
      </extLst>
    </bk>
    <bk>
      <extLst>
        <ext uri="{3e2802c4-a4d2-4d8b-9148-e3be6c30e623}">
          <xlrd:rvb i="3907"/>
        </ext>
      </extLst>
    </bk>
    <bk>
      <extLst>
        <ext uri="{3e2802c4-a4d2-4d8b-9148-e3be6c30e623}">
          <xlrd:rvb i="3908"/>
        </ext>
      </extLst>
    </bk>
    <bk>
      <extLst>
        <ext uri="{3e2802c4-a4d2-4d8b-9148-e3be6c30e623}">
          <xlrd:rvb i="3909"/>
        </ext>
      </extLst>
    </bk>
    <bk>
      <extLst>
        <ext uri="{3e2802c4-a4d2-4d8b-9148-e3be6c30e623}">
          <xlrd:rvb i="3910"/>
        </ext>
      </extLst>
    </bk>
    <bk>
      <extLst>
        <ext uri="{3e2802c4-a4d2-4d8b-9148-e3be6c30e623}">
          <xlrd:rvb i="3911"/>
        </ext>
      </extLst>
    </bk>
    <bk>
      <extLst>
        <ext uri="{3e2802c4-a4d2-4d8b-9148-e3be6c30e623}">
          <xlrd:rvb i="3912"/>
        </ext>
      </extLst>
    </bk>
    <bk>
      <extLst>
        <ext uri="{3e2802c4-a4d2-4d8b-9148-e3be6c30e623}">
          <xlrd:rvb i="3913"/>
        </ext>
      </extLst>
    </bk>
    <bk>
      <extLst>
        <ext uri="{3e2802c4-a4d2-4d8b-9148-e3be6c30e623}">
          <xlrd:rvb i="3914"/>
        </ext>
      </extLst>
    </bk>
    <bk>
      <extLst>
        <ext uri="{3e2802c4-a4d2-4d8b-9148-e3be6c30e623}">
          <xlrd:rvb i="3915"/>
        </ext>
      </extLst>
    </bk>
    <bk>
      <extLst>
        <ext uri="{3e2802c4-a4d2-4d8b-9148-e3be6c30e623}">
          <xlrd:rvb i="3916"/>
        </ext>
      </extLst>
    </bk>
    <bk>
      <extLst>
        <ext uri="{3e2802c4-a4d2-4d8b-9148-e3be6c30e623}">
          <xlrd:rvb i="3917"/>
        </ext>
      </extLst>
    </bk>
    <bk>
      <extLst>
        <ext uri="{3e2802c4-a4d2-4d8b-9148-e3be6c30e623}">
          <xlrd:rvb i="3918"/>
        </ext>
      </extLst>
    </bk>
    <bk>
      <extLst>
        <ext uri="{3e2802c4-a4d2-4d8b-9148-e3be6c30e623}">
          <xlrd:rvb i="3919"/>
        </ext>
      </extLst>
    </bk>
    <bk>
      <extLst>
        <ext uri="{3e2802c4-a4d2-4d8b-9148-e3be6c30e623}">
          <xlrd:rvb i="3920"/>
        </ext>
      </extLst>
    </bk>
    <bk>
      <extLst>
        <ext uri="{3e2802c4-a4d2-4d8b-9148-e3be6c30e623}">
          <xlrd:rvb i="3921"/>
        </ext>
      </extLst>
    </bk>
    <bk>
      <extLst>
        <ext uri="{3e2802c4-a4d2-4d8b-9148-e3be6c30e623}">
          <xlrd:rvb i="3922"/>
        </ext>
      </extLst>
    </bk>
    <bk>
      <extLst>
        <ext uri="{3e2802c4-a4d2-4d8b-9148-e3be6c30e623}">
          <xlrd:rvb i="3923"/>
        </ext>
      </extLst>
    </bk>
    <bk>
      <extLst>
        <ext uri="{3e2802c4-a4d2-4d8b-9148-e3be6c30e623}">
          <xlrd:rvb i="3924"/>
        </ext>
      </extLst>
    </bk>
    <bk>
      <extLst>
        <ext uri="{3e2802c4-a4d2-4d8b-9148-e3be6c30e623}">
          <xlrd:rvb i="3925"/>
        </ext>
      </extLst>
    </bk>
    <bk>
      <extLst>
        <ext uri="{3e2802c4-a4d2-4d8b-9148-e3be6c30e623}">
          <xlrd:rvb i="3926"/>
        </ext>
      </extLst>
    </bk>
    <bk>
      <extLst>
        <ext uri="{3e2802c4-a4d2-4d8b-9148-e3be6c30e623}">
          <xlrd:rvb i="3927"/>
        </ext>
      </extLst>
    </bk>
    <bk>
      <extLst>
        <ext uri="{3e2802c4-a4d2-4d8b-9148-e3be6c30e623}">
          <xlrd:rvb i="3928"/>
        </ext>
      </extLst>
    </bk>
    <bk>
      <extLst>
        <ext uri="{3e2802c4-a4d2-4d8b-9148-e3be6c30e623}">
          <xlrd:rvb i="3929"/>
        </ext>
      </extLst>
    </bk>
    <bk>
      <extLst>
        <ext uri="{3e2802c4-a4d2-4d8b-9148-e3be6c30e623}">
          <xlrd:rvb i="3930"/>
        </ext>
      </extLst>
    </bk>
    <bk>
      <extLst>
        <ext uri="{3e2802c4-a4d2-4d8b-9148-e3be6c30e623}">
          <xlrd:rvb i="3931"/>
        </ext>
      </extLst>
    </bk>
    <bk>
      <extLst>
        <ext uri="{3e2802c4-a4d2-4d8b-9148-e3be6c30e623}">
          <xlrd:rvb i="3932"/>
        </ext>
      </extLst>
    </bk>
    <bk>
      <extLst>
        <ext uri="{3e2802c4-a4d2-4d8b-9148-e3be6c30e623}">
          <xlrd:rvb i="3933"/>
        </ext>
      </extLst>
    </bk>
    <bk>
      <extLst>
        <ext uri="{3e2802c4-a4d2-4d8b-9148-e3be6c30e623}">
          <xlrd:rvb i="3934"/>
        </ext>
      </extLst>
    </bk>
    <bk>
      <extLst>
        <ext uri="{3e2802c4-a4d2-4d8b-9148-e3be6c30e623}">
          <xlrd:rvb i="3935"/>
        </ext>
      </extLst>
    </bk>
    <bk>
      <extLst>
        <ext uri="{3e2802c4-a4d2-4d8b-9148-e3be6c30e623}">
          <xlrd:rvb i="3936"/>
        </ext>
      </extLst>
    </bk>
    <bk>
      <extLst>
        <ext uri="{3e2802c4-a4d2-4d8b-9148-e3be6c30e623}">
          <xlrd:rvb i="3937"/>
        </ext>
      </extLst>
    </bk>
    <bk>
      <extLst>
        <ext uri="{3e2802c4-a4d2-4d8b-9148-e3be6c30e623}">
          <xlrd:rvb i="3938"/>
        </ext>
      </extLst>
    </bk>
    <bk>
      <extLst>
        <ext uri="{3e2802c4-a4d2-4d8b-9148-e3be6c30e623}">
          <xlrd:rvb i="3939"/>
        </ext>
      </extLst>
    </bk>
    <bk>
      <extLst>
        <ext uri="{3e2802c4-a4d2-4d8b-9148-e3be6c30e623}">
          <xlrd:rvb i="3940"/>
        </ext>
      </extLst>
    </bk>
    <bk>
      <extLst>
        <ext uri="{3e2802c4-a4d2-4d8b-9148-e3be6c30e623}">
          <xlrd:rvb i="3941"/>
        </ext>
      </extLst>
    </bk>
    <bk>
      <extLst>
        <ext uri="{3e2802c4-a4d2-4d8b-9148-e3be6c30e623}">
          <xlrd:rvb i="3942"/>
        </ext>
      </extLst>
    </bk>
    <bk>
      <extLst>
        <ext uri="{3e2802c4-a4d2-4d8b-9148-e3be6c30e623}">
          <xlrd:rvb i="3943"/>
        </ext>
      </extLst>
    </bk>
    <bk>
      <extLst>
        <ext uri="{3e2802c4-a4d2-4d8b-9148-e3be6c30e623}">
          <xlrd:rvb i="3944"/>
        </ext>
      </extLst>
    </bk>
    <bk>
      <extLst>
        <ext uri="{3e2802c4-a4d2-4d8b-9148-e3be6c30e623}">
          <xlrd:rvb i="3945"/>
        </ext>
      </extLst>
    </bk>
    <bk>
      <extLst>
        <ext uri="{3e2802c4-a4d2-4d8b-9148-e3be6c30e623}">
          <xlrd:rvb i="3946"/>
        </ext>
      </extLst>
    </bk>
    <bk>
      <extLst>
        <ext uri="{3e2802c4-a4d2-4d8b-9148-e3be6c30e623}">
          <xlrd:rvb i="3947"/>
        </ext>
      </extLst>
    </bk>
    <bk>
      <extLst>
        <ext uri="{3e2802c4-a4d2-4d8b-9148-e3be6c30e623}">
          <xlrd:rvb i="3948"/>
        </ext>
      </extLst>
    </bk>
    <bk>
      <extLst>
        <ext uri="{3e2802c4-a4d2-4d8b-9148-e3be6c30e623}">
          <xlrd:rvb i="3949"/>
        </ext>
      </extLst>
    </bk>
    <bk>
      <extLst>
        <ext uri="{3e2802c4-a4d2-4d8b-9148-e3be6c30e623}">
          <xlrd:rvb i="3950"/>
        </ext>
      </extLst>
    </bk>
    <bk>
      <extLst>
        <ext uri="{3e2802c4-a4d2-4d8b-9148-e3be6c30e623}">
          <xlrd:rvb i="3951"/>
        </ext>
      </extLst>
    </bk>
    <bk>
      <extLst>
        <ext uri="{3e2802c4-a4d2-4d8b-9148-e3be6c30e623}">
          <xlrd:rvb i="3952"/>
        </ext>
      </extLst>
    </bk>
    <bk>
      <extLst>
        <ext uri="{3e2802c4-a4d2-4d8b-9148-e3be6c30e623}">
          <xlrd:rvb i="3953"/>
        </ext>
      </extLst>
    </bk>
    <bk>
      <extLst>
        <ext uri="{3e2802c4-a4d2-4d8b-9148-e3be6c30e623}">
          <xlrd:rvb i="3954"/>
        </ext>
      </extLst>
    </bk>
    <bk>
      <extLst>
        <ext uri="{3e2802c4-a4d2-4d8b-9148-e3be6c30e623}">
          <xlrd:rvb i="3955"/>
        </ext>
      </extLst>
    </bk>
    <bk>
      <extLst>
        <ext uri="{3e2802c4-a4d2-4d8b-9148-e3be6c30e623}">
          <xlrd:rvb i="3956"/>
        </ext>
      </extLst>
    </bk>
    <bk>
      <extLst>
        <ext uri="{3e2802c4-a4d2-4d8b-9148-e3be6c30e623}">
          <xlrd:rvb i="3957"/>
        </ext>
      </extLst>
    </bk>
    <bk>
      <extLst>
        <ext uri="{3e2802c4-a4d2-4d8b-9148-e3be6c30e623}">
          <xlrd:rvb i="3958"/>
        </ext>
      </extLst>
    </bk>
    <bk>
      <extLst>
        <ext uri="{3e2802c4-a4d2-4d8b-9148-e3be6c30e623}">
          <xlrd:rvb i="3959"/>
        </ext>
      </extLst>
    </bk>
    <bk>
      <extLst>
        <ext uri="{3e2802c4-a4d2-4d8b-9148-e3be6c30e623}">
          <xlrd:rvb i="3960"/>
        </ext>
      </extLst>
    </bk>
    <bk>
      <extLst>
        <ext uri="{3e2802c4-a4d2-4d8b-9148-e3be6c30e623}">
          <xlrd:rvb i="3961"/>
        </ext>
      </extLst>
    </bk>
    <bk>
      <extLst>
        <ext uri="{3e2802c4-a4d2-4d8b-9148-e3be6c30e623}">
          <xlrd:rvb i="3962"/>
        </ext>
      </extLst>
    </bk>
    <bk>
      <extLst>
        <ext uri="{3e2802c4-a4d2-4d8b-9148-e3be6c30e623}">
          <xlrd:rvb i="3963"/>
        </ext>
      </extLst>
    </bk>
    <bk>
      <extLst>
        <ext uri="{3e2802c4-a4d2-4d8b-9148-e3be6c30e623}">
          <xlrd:rvb i="3964"/>
        </ext>
      </extLst>
    </bk>
    <bk>
      <extLst>
        <ext uri="{3e2802c4-a4d2-4d8b-9148-e3be6c30e623}">
          <xlrd:rvb i="3965"/>
        </ext>
      </extLst>
    </bk>
    <bk>
      <extLst>
        <ext uri="{3e2802c4-a4d2-4d8b-9148-e3be6c30e623}">
          <xlrd:rvb i="3966"/>
        </ext>
      </extLst>
    </bk>
    <bk>
      <extLst>
        <ext uri="{3e2802c4-a4d2-4d8b-9148-e3be6c30e623}">
          <xlrd:rvb i="3967"/>
        </ext>
      </extLst>
    </bk>
    <bk>
      <extLst>
        <ext uri="{3e2802c4-a4d2-4d8b-9148-e3be6c30e623}">
          <xlrd:rvb i="3968"/>
        </ext>
      </extLst>
    </bk>
    <bk>
      <extLst>
        <ext uri="{3e2802c4-a4d2-4d8b-9148-e3be6c30e623}">
          <xlrd:rvb i="3969"/>
        </ext>
      </extLst>
    </bk>
    <bk>
      <extLst>
        <ext uri="{3e2802c4-a4d2-4d8b-9148-e3be6c30e623}">
          <xlrd:rvb i="3970"/>
        </ext>
      </extLst>
    </bk>
    <bk>
      <extLst>
        <ext uri="{3e2802c4-a4d2-4d8b-9148-e3be6c30e623}">
          <xlrd:rvb i="3971"/>
        </ext>
      </extLst>
    </bk>
    <bk>
      <extLst>
        <ext uri="{3e2802c4-a4d2-4d8b-9148-e3be6c30e623}">
          <xlrd:rvb i="3972"/>
        </ext>
      </extLst>
    </bk>
    <bk>
      <extLst>
        <ext uri="{3e2802c4-a4d2-4d8b-9148-e3be6c30e623}">
          <xlrd:rvb i="3973"/>
        </ext>
      </extLst>
    </bk>
    <bk>
      <extLst>
        <ext uri="{3e2802c4-a4d2-4d8b-9148-e3be6c30e623}">
          <xlrd:rvb i="3974"/>
        </ext>
      </extLst>
    </bk>
    <bk>
      <extLst>
        <ext uri="{3e2802c4-a4d2-4d8b-9148-e3be6c30e623}">
          <xlrd:rvb i="3975"/>
        </ext>
      </extLst>
    </bk>
    <bk>
      <extLst>
        <ext uri="{3e2802c4-a4d2-4d8b-9148-e3be6c30e623}">
          <xlrd:rvb i="3976"/>
        </ext>
      </extLst>
    </bk>
    <bk>
      <extLst>
        <ext uri="{3e2802c4-a4d2-4d8b-9148-e3be6c30e623}">
          <xlrd:rvb i="3977"/>
        </ext>
      </extLst>
    </bk>
    <bk>
      <extLst>
        <ext uri="{3e2802c4-a4d2-4d8b-9148-e3be6c30e623}">
          <xlrd:rvb i="3978"/>
        </ext>
      </extLst>
    </bk>
    <bk>
      <extLst>
        <ext uri="{3e2802c4-a4d2-4d8b-9148-e3be6c30e623}">
          <xlrd:rvb i="3979"/>
        </ext>
      </extLst>
    </bk>
    <bk>
      <extLst>
        <ext uri="{3e2802c4-a4d2-4d8b-9148-e3be6c30e623}">
          <xlrd:rvb i="3980"/>
        </ext>
      </extLst>
    </bk>
    <bk>
      <extLst>
        <ext uri="{3e2802c4-a4d2-4d8b-9148-e3be6c30e623}">
          <xlrd:rvb i="3981"/>
        </ext>
      </extLst>
    </bk>
    <bk>
      <extLst>
        <ext uri="{3e2802c4-a4d2-4d8b-9148-e3be6c30e623}">
          <xlrd:rvb i="3982"/>
        </ext>
      </extLst>
    </bk>
    <bk>
      <extLst>
        <ext uri="{3e2802c4-a4d2-4d8b-9148-e3be6c30e623}">
          <xlrd:rvb i="3983"/>
        </ext>
      </extLst>
    </bk>
    <bk>
      <extLst>
        <ext uri="{3e2802c4-a4d2-4d8b-9148-e3be6c30e623}">
          <xlrd:rvb i="3984"/>
        </ext>
      </extLst>
    </bk>
    <bk>
      <extLst>
        <ext uri="{3e2802c4-a4d2-4d8b-9148-e3be6c30e623}">
          <xlrd:rvb i="3985"/>
        </ext>
      </extLst>
    </bk>
    <bk>
      <extLst>
        <ext uri="{3e2802c4-a4d2-4d8b-9148-e3be6c30e623}">
          <xlrd:rvb i="3986"/>
        </ext>
      </extLst>
    </bk>
    <bk>
      <extLst>
        <ext uri="{3e2802c4-a4d2-4d8b-9148-e3be6c30e623}">
          <xlrd:rvb i="3987"/>
        </ext>
      </extLst>
    </bk>
    <bk>
      <extLst>
        <ext uri="{3e2802c4-a4d2-4d8b-9148-e3be6c30e623}">
          <xlrd:rvb i="3988"/>
        </ext>
      </extLst>
    </bk>
    <bk>
      <extLst>
        <ext uri="{3e2802c4-a4d2-4d8b-9148-e3be6c30e623}">
          <xlrd:rvb i="3989"/>
        </ext>
      </extLst>
    </bk>
    <bk>
      <extLst>
        <ext uri="{3e2802c4-a4d2-4d8b-9148-e3be6c30e623}">
          <xlrd:rvb i="3990"/>
        </ext>
      </extLst>
    </bk>
    <bk>
      <extLst>
        <ext uri="{3e2802c4-a4d2-4d8b-9148-e3be6c30e623}">
          <xlrd:rvb i="3991"/>
        </ext>
      </extLst>
    </bk>
    <bk>
      <extLst>
        <ext uri="{3e2802c4-a4d2-4d8b-9148-e3be6c30e623}">
          <xlrd:rvb i="3992"/>
        </ext>
      </extLst>
    </bk>
    <bk>
      <extLst>
        <ext uri="{3e2802c4-a4d2-4d8b-9148-e3be6c30e623}">
          <xlrd:rvb i="3993"/>
        </ext>
      </extLst>
    </bk>
    <bk>
      <extLst>
        <ext uri="{3e2802c4-a4d2-4d8b-9148-e3be6c30e623}">
          <xlrd:rvb i="3994"/>
        </ext>
      </extLst>
    </bk>
    <bk>
      <extLst>
        <ext uri="{3e2802c4-a4d2-4d8b-9148-e3be6c30e623}">
          <xlrd:rvb i="3995"/>
        </ext>
      </extLst>
    </bk>
    <bk>
      <extLst>
        <ext uri="{3e2802c4-a4d2-4d8b-9148-e3be6c30e623}">
          <xlrd:rvb i="3996"/>
        </ext>
      </extLst>
    </bk>
    <bk>
      <extLst>
        <ext uri="{3e2802c4-a4d2-4d8b-9148-e3be6c30e623}">
          <xlrd:rvb i="3997"/>
        </ext>
      </extLst>
    </bk>
    <bk>
      <extLst>
        <ext uri="{3e2802c4-a4d2-4d8b-9148-e3be6c30e623}">
          <xlrd:rvb i="3998"/>
        </ext>
      </extLst>
    </bk>
    <bk>
      <extLst>
        <ext uri="{3e2802c4-a4d2-4d8b-9148-e3be6c30e623}">
          <xlrd:rvb i="3999"/>
        </ext>
      </extLst>
    </bk>
    <bk>
      <extLst>
        <ext uri="{3e2802c4-a4d2-4d8b-9148-e3be6c30e623}">
          <xlrd:rvb i="4000"/>
        </ext>
      </extLst>
    </bk>
    <bk>
      <extLst>
        <ext uri="{3e2802c4-a4d2-4d8b-9148-e3be6c30e623}">
          <xlrd:rvb i="4001"/>
        </ext>
      </extLst>
    </bk>
    <bk>
      <extLst>
        <ext uri="{3e2802c4-a4d2-4d8b-9148-e3be6c30e623}">
          <xlrd:rvb i="4002"/>
        </ext>
      </extLst>
    </bk>
    <bk>
      <extLst>
        <ext uri="{3e2802c4-a4d2-4d8b-9148-e3be6c30e623}">
          <xlrd:rvb i="4003"/>
        </ext>
      </extLst>
    </bk>
    <bk>
      <extLst>
        <ext uri="{3e2802c4-a4d2-4d8b-9148-e3be6c30e623}">
          <xlrd:rvb i="4004"/>
        </ext>
      </extLst>
    </bk>
    <bk>
      <extLst>
        <ext uri="{3e2802c4-a4d2-4d8b-9148-e3be6c30e623}">
          <xlrd:rvb i="4005"/>
        </ext>
      </extLst>
    </bk>
    <bk>
      <extLst>
        <ext uri="{3e2802c4-a4d2-4d8b-9148-e3be6c30e623}">
          <xlrd:rvb i="4006"/>
        </ext>
      </extLst>
    </bk>
    <bk>
      <extLst>
        <ext uri="{3e2802c4-a4d2-4d8b-9148-e3be6c30e623}">
          <xlrd:rvb i="4007"/>
        </ext>
      </extLst>
    </bk>
    <bk>
      <extLst>
        <ext uri="{3e2802c4-a4d2-4d8b-9148-e3be6c30e623}">
          <xlrd:rvb i="4008"/>
        </ext>
      </extLst>
    </bk>
    <bk>
      <extLst>
        <ext uri="{3e2802c4-a4d2-4d8b-9148-e3be6c30e623}">
          <xlrd:rvb i="4009"/>
        </ext>
      </extLst>
    </bk>
    <bk>
      <extLst>
        <ext uri="{3e2802c4-a4d2-4d8b-9148-e3be6c30e623}">
          <xlrd:rvb i="4010"/>
        </ext>
      </extLst>
    </bk>
    <bk>
      <extLst>
        <ext uri="{3e2802c4-a4d2-4d8b-9148-e3be6c30e623}">
          <xlrd:rvb i="4011"/>
        </ext>
      </extLst>
    </bk>
    <bk>
      <extLst>
        <ext uri="{3e2802c4-a4d2-4d8b-9148-e3be6c30e623}">
          <xlrd:rvb i="4012"/>
        </ext>
      </extLst>
    </bk>
    <bk>
      <extLst>
        <ext uri="{3e2802c4-a4d2-4d8b-9148-e3be6c30e623}">
          <xlrd:rvb i="4013"/>
        </ext>
      </extLst>
    </bk>
    <bk>
      <extLst>
        <ext uri="{3e2802c4-a4d2-4d8b-9148-e3be6c30e623}">
          <xlrd:rvb i="4014"/>
        </ext>
      </extLst>
    </bk>
    <bk>
      <extLst>
        <ext uri="{3e2802c4-a4d2-4d8b-9148-e3be6c30e623}">
          <xlrd:rvb i="4015"/>
        </ext>
      </extLst>
    </bk>
    <bk>
      <extLst>
        <ext uri="{3e2802c4-a4d2-4d8b-9148-e3be6c30e623}">
          <xlrd:rvb i="4016"/>
        </ext>
      </extLst>
    </bk>
    <bk>
      <extLst>
        <ext uri="{3e2802c4-a4d2-4d8b-9148-e3be6c30e623}">
          <xlrd:rvb i="4017"/>
        </ext>
      </extLst>
    </bk>
    <bk>
      <extLst>
        <ext uri="{3e2802c4-a4d2-4d8b-9148-e3be6c30e623}">
          <xlrd:rvb i="4018"/>
        </ext>
      </extLst>
    </bk>
    <bk>
      <extLst>
        <ext uri="{3e2802c4-a4d2-4d8b-9148-e3be6c30e623}">
          <xlrd:rvb i="4019"/>
        </ext>
      </extLst>
    </bk>
    <bk>
      <extLst>
        <ext uri="{3e2802c4-a4d2-4d8b-9148-e3be6c30e623}">
          <xlrd:rvb i="4020"/>
        </ext>
      </extLst>
    </bk>
    <bk>
      <extLst>
        <ext uri="{3e2802c4-a4d2-4d8b-9148-e3be6c30e623}">
          <xlrd:rvb i="4021"/>
        </ext>
      </extLst>
    </bk>
    <bk>
      <extLst>
        <ext uri="{3e2802c4-a4d2-4d8b-9148-e3be6c30e623}">
          <xlrd:rvb i="4022"/>
        </ext>
      </extLst>
    </bk>
    <bk>
      <extLst>
        <ext uri="{3e2802c4-a4d2-4d8b-9148-e3be6c30e623}">
          <xlrd:rvb i="4023"/>
        </ext>
      </extLst>
    </bk>
    <bk>
      <extLst>
        <ext uri="{3e2802c4-a4d2-4d8b-9148-e3be6c30e623}">
          <xlrd:rvb i="4024"/>
        </ext>
      </extLst>
    </bk>
    <bk>
      <extLst>
        <ext uri="{3e2802c4-a4d2-4d8b-9148-e3be6c30e623}">
          <xlrd:rvb i="4025"/>
        </ext>
      </extLst>
    </bk>
    <bk>
      <extLst>
        <ext uri="{3e2802c4-a4d2-4d8b-9148-e3be6c30e623}">
          <xlrd:rvb i="4026"/>
        </ext>
      </extLst>
    </bk>
    <bk>
      <extLst>
        <ext uri="{3e2802c4-a4d2-4d8b-9148-e3be6c30e623}">
          <xlrd:rvb i="4027"/>
        </ext>
      </extLst>
    </bk>
    <bk>
      <extLst>
        <ext uri="{3e2802c4-a4d2-4d8b-9148-e3be6c30e623}">
          <xlrd:rvb i="4028"/>
        </ext>
      </extLst>
    </bk>
    <bk>
      <extLst>
        <ext uri="{3e2802c4-a4d2-4d8b-9148-e3be6c30e623}">
          <xlrd:rvb i="4029"/>
        </ext>
      </extLst>
    </bk>
    <bk>
      <extLst>
        <ext uri="{3e2802c4-a4d2-4d8b-9148-e3be6c30e623}">
          <xlrd:rvb i="4030"/>
        </ext>
      </extLst>
    </bk>
    <bk>
      <extLst>
        <ext uri="{3e2802c4-a4d2-4d8b-9148-e3be6c30e623}">
          <xlrd:rvb i="4031"/>
        </ext>
      </extLst>
    </bk>
    <bk>
      <extLst>
        <ext uri="{3e2802c4-a4d2-4d8b-9148-e3be6c30e623}">
          <xlrd:rvb i="4032"/>
        </ext>
      </extLst>
    </bk>
    <bk>
      <extLst>
        <ext uri="{3e2802c4-a4d2-4d8b-9148-e3be6c30e623}">
          <xlrd:rvb i="4033"/>
        </ext>
      </extLst>
    </bk>
    <bk>
      <extLst>
        <ext uri="{3e2802c4-a4d2-4d8b-9148-e3be6c30e623}">
          <xlrd:rvb i="4034"/>
        </ext>
      </extLst>
    </bk>
    <bk>
      <extLst>
        <ext uri="{3e2802c4-a4d2-4d8b-9148-e3be6c30e623}">
          <xlrd:rvb i="4035"/>
        </ext>
      </extLst>
    </bk>
    <bk>
      <extLst>
        <ext uri="{3e2802c4-a4d2-4d8b-9148-e3be6c30e623}">
          <xlrd:rvb i="4036"/>
        </ext>
      </extLst>
    </bk>
    <bk>
      <extLst>
        <ext uri="{3e2802c4-a4d2-4d8b-9148-e3be6c30e623}">
          <xlrd:rvb i="4037"/>
        </ext>
      </extLst>
    </bk>
    <bk>
      <extLst>
        <ext uri="{3e2802c4-a4d2-4d8b-9148-e3be6c30e623}">
          <xlrd:rvb i="4038"/>
        </ext>
      </extLst>
    </bk>
    <bk>
      <extLst>
        <ext uri="{3e2802c4-a4d2-4d8b-9148-e3be6c30e623}">
          <xlrd:rvb i="4039"/>
        </ext>
      </extLst>
    </bk>
    <bk>
      <extLst>
        <ext uri="{3e2802c4-a4d2-4d8b-9148-e3be6c30e623}">
          <xlrd:rvb i="4040"/>
        </ext>
      </extLst>
    </bk>
    <bk>
      <extLst>
        <ext uri="{3e2802c4-a4d2-4d8b-9148-e3be6c30e623}">
          <xlrd:rvb i="4041"/>
        </ext>
      </extLst>
    </bk>
    <bk>
      <extLst>
        <ext uri="{3e2802c4-a4d2-4d8b-9148-e3be6c30e623}">
          <xlrd:rvb i="4042"/>
        </ext>
      </extLst>
    </bk>
    <bk>
      <extLst>
        <ext uri="{3e2802c4-a4d2-4d8b-9148-e3be6c30e623}">
          <xlrd:rvb i="4043"/>
        </ext>
      </extLst>
    </bk>
    <bk>
      <extLst>
        <ext uri="{3e2802c4-a4d2-4d8b-9148-e3be6c30e623}">
          <xlrd:rvb i="4044"/>
        </ext>
      </extLst>
    </bk>
    <bk>
      <extLst>
        <ext uri="{3e2802c4-a4d2-4d8b-9148-e3be6c30e623}">
          <xlrd:rvb i="4045"/>
        </ext>
      </extLst>
    </bk>
    <bk>
      <extLst>
        <ext uri="{3e2802c4-a4d2-4d8b-9148-e3be6c30e623}">
          <xlrd:rvb i="4046"/>
        </ext>
      </extLst>
    </bk>
    <bk>
      <extLst>
        <ext uri="{3e2802c4-a4d2-4d8b-9148-e3be6c30e623}">
          <xlrd:rvb i="4047"/>
        </ext>
      </extLst>
    </bk>
    <bk>
      <extLst>
        <ext uri="{3e2802c4-a4d2-4d8b-9148-e3be6c30e623}">
          <xlrd:rvb i="4048"/>
        </ext>
      </extLst>
    </bk>
    <bk>
      <extLst>
        <ext uri="{3e2802c4-a4d2-4d8b-9148-e3be6c30e623}">
          <xlrd:rvb i="4049"/>
        </ext>
      </extLst>
    </bk>
    <bk>
      <extLst>
        <ext uri="{3e2802c4-a4d2-4d8b-9148-e3be6c30e623}">
          <xlrd:rvb i="4050"/>
        </ext>
      </extLst>
    </bk>
    <bk>
      <extLst>
        <ext uri="{3e2802c4-a4d2-4d8b-9148-e3be6c30e623}">
          <xlrd:rvb i="4051"/>
        </ext>
      </extLst>
    </bk>
    <bk>
      <extLst>
        <ext uri="{3e2802c4-a4d2-4d8b-9148-e3be6c30e623}">
          <xlrd:rvb i="4052"/>
        </ext>
      </extLst>
    </bk>
    <bk>
      <extLst>
        <ext uri="{3e2802c4-a4d2-4d8b-9148-e3be6c30e623}">
          <xlrd:rvb i="4053"/>
        </ext>
      </extLst>
    </bk>
    <bk>
      <extLst>
        <ext uri="{3e2802c4-a4d2-4d8b-9148-e3be6c30e623}">
          <xlrd:rvb i="4054"/>
        </ext>
      </extLst>
    </bk>
    <bk>
      <extLst>
        <ext uri="{3e2802c4-a4d2-4d8b-9148-e3be6c30e623}">
          <xlrd:rvb i="4055"/>
        </ext>
      </extLst>
    </bk>
    <bk>
      <extLst>
        <ext uri="{3e2802c4-a4d2-4d8b-9148-e3be6c30e623}">
          <xlrd:rvb i="4056"/>
        </ext>
      </extLst>
    </bk>
    <bk>
      <extLst>
        <ext uri="{3e2802c4-a4d2-4d8b-9148-e3be6c30e623}">
          <xlrd:rvb i="4057"/>
        </ext>
      </extLst>
    </bk>
    <bk>
      <extLst>
        <ext uri="{3e2802c4-a4d2-4d8b-9148-e3be6c30e623}">
          <xlrd:rvb i="4058"/>
        </ext>
      </extLst>
    </bk>
    <bk>
      <extLst>
        <ext uri="{3e2802c4-a4d2-4d8b-9148-e3be6c30e623}">
          <xlrd:rvb i="4059"/>
        </ext>
      </extLst>
    </bk>
    <bk>
      <extLst>
        <ext uri="{3e2802c4-a4d2-4d8b-9148-e3be6c30e623}">
          <xlrd:rvb i="4060"/>
        </ext>
      </extLst>
    </bk>
    <bk>
      <extLst>
        <ext uri="{3e2802c4-a4d2-4d8b-9148-e3be6c30e623}">
          <xlrd:rvb i="4061"/>
        </ext>
      </extLst>
    </bk>
    <bk>
      <extLst>
        <ext uri="{3e2802c4-a4d2-4d8b-9148-e3be6c30e623}">
          <xlrd:rvb i="4062"/>
        </ext>
      </extLst>
    </bk>
    <bk>
      <extLst>
        <ext uri="{3e2802c4-a4d2-4d8b-9148-e3be6c30e623}">
          <xlrd:rvb i="4063"/>
        </ext>
      </extLst>
    </bk>
    <bk>
      <extLst>
        <ext uri="{3e2802c4-a4d2-4d8b-9148-e3be6c30e623}">
          <xlrd:rvb i="4064"/>
        </ext>
      </extLst>
    </bk>
    <bk>
      <extLst>
        <ext uri="{3e2802c4-a4d2-4d8b-9148-e3be6c30e623}">
          <xlrd:rvb i="4065"/>
        </ext>
      </extLst>
    </bk>
    <bk>
      <extLst>
        <ext uri="{3e2802c4-a4d2-4d8b-9148-e3be6c30e623}">
          <xlrd:rvb i="4066"/>
        </ext>
      </extLst>
    </bk>
    <bk>
      <extLst>
        <ext uri="{3e2802c4-a4d2-4d8b-9148-e3be6c30e623}">
          <xlrd:rvb i="4067"/>
        </ext>
      </extLst>
    </bk>
    <bk>
      <extLst>
        <ext uri="{3e2802c4-a4d2-4d8b-9148-e3be6c30e623}">
          <xlrd:rvb i="4068"/>
        </ext>
      </extLst>
    </bk>
    <bk>
      <extLst>
        <ext uri="{3e2802c4-a4d2-4d8b-9148-e3be6c30e623}">
          <xlrd:rvb i="4069"/>
        </ext>
      </extLst>
    </bk>
    <bk>
      <extLst>
        <ext uri="{3e2802c4-a4d2-4d8b-9148-e3be6c30e623}">
          <xlrd:rvb i="4070"/>
        </ext>
      </extLst>
    </bk>
    <bk>
      <extLst>
        <ext uri="{3e2802c4-a4d2-4d8b-9148-e3be6c30e623}">
          <xlrd:rvb i="4071"/>
        </ext>
      </extLst>
    </bk>
    <bk>
      <extLst>
        <ext uri="{3e2802c4-a4d2-4d8b-9148-e3be6c30e623}">
          <xlrd:rvb i="4072"/>
        </ext>
      </extLst>
    </bk>
    <bk>
      <extLst>
        <ext uri="{3e2802c4-a4d2-4d8b-9148-e3be6c30e623}">
          <xlrd:rvb i="4073"/>
        </ext>
      </extLst>
    </bk>
    <bk>
      <extLst>
        <ext uri="{3e2802c4-a4d2-4d8b-9148-e3be6c30e623}">
          <xlrd:rvb i="4074"/>
        </ext>
      </extLst>
    </bk>
    <bk>
      <extLst>
        <ext uri="{3e2802c4-a4d2-4d8b-9148-e3be6c30e623}">
          <xlrd:rvb i="4075"/>
        </ext>
      </extLst>
    </bk>
    <bk>
      <extLst>
        <ext uri="{3e2802c4-a4d2-4d8b-9148-e3be6c30e623}">
          <xlrd:rvb i="4076"/>
        </ext>
      </extLst>
    </bk>
    <bk>
      <extLst>
        <ext uri="{3e2802c4-a4d2-4d8b-9148-e3be6c30e623}">
          <xlrd:rvb i="4077"/>
        </ext>
      </extLst>
    </bk>
    <bk>
      <extLst>
        <ext uri="{3e2802c4-a4d2-4d8b-9148-e3be6c30e623}">
          <xlrd:rvb i="4078"/>
        </ext>
      </extLst>
    </bk>
    <bk>
      <extLst>
        <ext uri="{3e2802c4-a4d2-4d8b-9148-e3be6c30e623}">
          <xlrd:rvb i="4079"/>
        </ext>
      </extLst>
    </bk>
    <bk>
      <extLst>
        <ext uri="{3e2802c4-a4d2-4d8b-9148-e3be6c30e623}">
          <xlrd:rvb i="4080"/>
        </ext>
      </extLst>
    </bk>
    <bk>
      <extLst>
        <ext uri="{3e2802c4-a4d2-4d8b-9148-e3be6c30e623}">
          <xlrd:rvb i="4081"/>
        </ext>
      </extLst>
    </bk>
    <bk>
      <extLst>
        <ext uri="{3e2802c4-a4d2-4d8b-9148-e3be6c30e623}">
          <xlrd:rvb i="4082"/>
        </ext>
      </extLst>
    </bk>
    <bk>
      <extLst>
        <ext uri="{3e2802c4-a4d2-4d8b-9148-e3be6c30e623}">
          <xlrd:rvb i="4083"/>
        </ext>
      </extLst>
    </bk>
    <bk>
      <extLst>
        <ext uri="{3e2802c4-a4d2-4d8b-9148-e3be6c30e623}">
          <xlrd:rvb i="4084"/>
        </ext>
      </extLst>
    </bk>
    <bk>
      <extLst>
        <ext uri="{3e2802c4-a4d2-4d8b-9148-e3be6c30e623}">
          <xlrd:rvb i="4085"/>
        </ext>
      </extLst>
    </bk>
    <bk>
      <extLst>
        <ext uri="{3e2802c4-a4d2-4d8b-9148-e3be6c30e623}">
          <xlrd:rvb i="4086"/>
        </ext>
      </extLst>
    </bk>
    <bk>
      <extLst>
        <ext uri="{3e2802c4-a4d2-4d8b-9148-e3be6c30e623}">
          <xlrd:rvb i="4087"/>
        </ext>
      </extLst>
    </bk>
    <bk>
      <extLst>
        <ext uri="{3e2802c4-a4d2-4d8b-9148-e3be6c30e623}">
          <xlrd:rvb i="4088"/>
        </ext>
      </extLst>
    </bk>
    <bk>
      <extLst>
        <ext uri="{3e2802c4-a4d2-4d8b-9148-e3be6c30e623}">
          <xlrd:rvb i="4089"/>
        </ext>
      </extLst>
    </bk>
    <bk>
      <extLst>
        <ext uri="{3e2802c4-a4d2-4d8b-9148-e3be6c30e623}">
          <xlrd:rvb i="4090"/>
        </ext>
      </extLst>
    </bk>
    <bk>
      <extLst>
        <ext uri="{3e2802c4-a4d2-4d8b-9148-e3be6c30e623}">
          <xlrd:rvb i="4091"/>
        </ext>
      </extLst>
    </bk>
    <bk>
      <extLst>
        <ext uri="{3e2802c4-a4d2-4d8b-9148-e3be6c30e623}">
          <xlrd:rvb i="4092"/>
        </ext>
      </extLst>
    </bk>
    <bk>
      <extLst>
        <ext uri="{3e2802c4-a4d2-4d8b-9148-e3be6c30e623}">
          <xlrd:rvb i="4093"/>
        </ext>
      </extLst>
    </bk>
    <bk>
      <extLst>
        <ext uri="{3e2802c4-a4d2-4d8b-9148-e3be6c30e623}">
          <xlrd:rvb i="4094"/>
        </ext>
      </extLst>
    </bk>
    <bk>
      <extLst>
        <ext uri="{3e2802c4-a4d2-4d8b-9148-e3be6c30e623}">
          <xlrd:rvb i="4095"/>
        </ext>
      </extLst>
    </bk>
    <bk>
      <extLst>
        <ext uri="{3e2802c4-a4d2-4d8b-9148-e3be6c30e623}">
          <xlrd:rvb i="4096"/>
        </ext>
      </extLst>
    </bk>
    <bk>
      <extLst>
        <ext uri="{3e2802c4-a4d2-4d8b-9148-e3be6c30e623}">
          <xlrd:rvb i="4097"/>
        </ext>
      </extLst>
    </bk>
    <bk>
      <extLst>
        <ext uri="{3e2802c4-a4d2-4d8b-9148-e3be6c30e623}">
          <xlrd:rvb i="4098"/>
        </ext>
      </extLst>
    </bk>
    <bk>
      <extLst>
        <ext uri="{3e2802c4-a4d2-4d8b-9148-e3be6c30e623}">
          <xlrd:rvb i="4099"/>
        </ext>
      </extLst>
    </bk>
    <bk>
      <extLst>
        <ext uri="{3e2802c4-a4d2-4d8b-9148-e3be6c30e623}">
          <xlrd:rvb i="4100"/>
        </ext>
      </extLst>
    </bk>
    <bk>
      <extLst>
        <ext uri="{3e2802c4-a4d2-4d8b-9148-e3be6c30e623}">
          <xlrd:rvb i="4101"/>
        </ext>
      </extLst>
    </bk>
    <bk>
      <extLst>
        <ext uri="{3e2802c4-a4d2-4d8b-9148-e3be6c30e623}">
          <xlrd:rvb i="4102"/>
        </ext>
      </extLst>
    </bk>
    <bk>
      <extLst>
        <ext uri="{3e2802c4-a4d2-4d8b-9148-e3be6c30e623}">
          <xlrd:rvb i="4103"/>
        </ext>
      </extLst>
    </bk>
    <bk>
      <extLst>
        <ext uri="{3e2802c4-a4d2-4d8b-9148-e3be6c30e623}">
          <xlrd:rvb i="4104"/>
        </ext>
      </extLst>
    </bk>
    <bk>
      <extLst>
        <ext uri="{3e2802c4-a4d2-4d8b-9148-e3be6c30e623}">
          <xlrd:rvb i="4105"/>
        </ext>
      </extLst>
    </bk>
    <bk>
      <extLst>
        <ext uri="{3e2802c4-a4d2-4d8b-9148-e3be6c30e623}">
          <xlrd:rvb i="4106"/>
        </ext>
      </extLst>
    </bk>
    <bk>
      <extLst>
        <ext uri="{3e2802c4-a4d2-4d8b-9148-e3be6c30e623}">
          <xlrd:rvb i="4107"/>
        </ext>
      </extLst>
    </bk>
    <bk>
      <extLst>
        <ext uri="{3e2802c4-a4d2-4d8b-9148-e3be6c30e623}">
          <xlrd:rvb i="4108"/>
        </ext>
      </extLst>
    </bk>
    <bk>
      <extLst>
        <ext uri="{3e2802c4-a4d2-4d8b-9148-e3be6c30e623}">
          <xlrd:rvb i="4109"/>
        </ext>
      </extLst>
    </bk>
    <bk>
      <extLst>
        <ext uri="{3e2802c4-a4d2-4d8b-9148-e3be6c30e623}">
          <xlrd:rvb i="4110"/>
        </ext>
      </extLst>
    </bk>
    <bk>
      <extLst>
        <ext uri="{3e2802c4-a4d2-4d8b-9148-e3be6c30e623}">
          <xlrd:rvb i="4111"/>
        </ext>
      </extLst>
    </bk>
    <bk>
      <extLst>
        <ext uri="{3e2802c4-a4d2-4d8b-9148-e3be6c30e623}">
          <xlrd:rvb i="4112"/>
        </ext>
      </extLst>
    </bk>
    <bk>
      <extLst>
        <ext uri="{3e2802c4-a4d2-4d8b-9148-e3be6c30e623}">
          <xlrd:rvb i="4113"/>
        </ext>
      </extLst>
    </bk>
    <bk>
      <extLst>
        <ext uri="{3e2802c4-a4d2-4d8b-9148-e3be6c30e623}">
          <xlrd:rvb i="4114"/>
        </ext>
      </extLst>
    </bk>
    <bk>
      <extLst>
        <ext uri="{3e2802c4-a4d2-4d8b-9148-e3be6c30e623}">
          <xlrd:rvb i="4115"/>
        </ext>
      </extLst>
    </bk>
    <bk>
      <extLst>
        <ext uri="{3e2802c4-a4d2-4d8b-9148-e3be6c30e623}">
          <xlrd:rvb i="4116"/>
        </ext>
      </extLst>
    </bk>
    <bk>
      <extLst>
        <ext uri="{3e2802c4-a4d2-4d8b-9148-e3be6c30e623}">
          <xlrd:rvb i="4117"/>
        </ext>
      </extLst>
    </bk>
    <bk>
      <extLst>
        <ext uri="{3e2802c4-a4d2-4d8b-9148-e3be6c30e623}">
          <xlrd:rvb i="4118"/>
        </ext>
      </extLst>
    </bk>
    <bk>
      <extLst>
        <ext uri="{3e2802c4-a4d2-4d8b-9148-e3be6c30e623}">
          <xlrd:rvb i="4119"/>
        </ext>
      </extLst>
    </bk>
    <bk>
      <extLst>
        <ext uri="{3e2802c4-a4d2-4d8b-9148-e3be6c30e623}">
          <xlrd:rvb i="4120"/>
        </ext>
      </extLst>
    </bk>
    <bk>
      <extLst>
        <ext uri="{3e2802c4-a4d2-4d8b-9148-e3be6c30e623}">
          <xlrd:rvb i="4121"/>
        </ext>
      </extLst>
    </bk>
    <bk>
      <extLst>
        <ext uri="{3e2802c4-a4d2-4d8b-9148-e3be6c30e623}">
          <xlrd:rvb i="4122"/>
        </ext>
      </extLst>
    </bk>
    <bk>
      <extLst>
        <ext uri="{3e2802c4-a4d2-4d8b-9148-e3be6c30e623}">
          <xlrd:rvb i="4123"/>
        </ext>
      </extLst>
    </bk>
    <bk>
      <extLst>
        <ext uri="{3e2802c4-a4d2-4d8b-9148-e3be6c30e623}">
          <xlrd:rvb i="4124"/>
        </ext>
      </extLst>
    </bk>
    <bk>
      <extLst>
        <ext uri="{3e2802c4-a4d2-4d8b-9148-e3be6c30e623}">
          <xlrd:rvb i="4125"/>
        </ext>
      </extLst>
    </bk>
    <bk>
      <extLst>
        <ext uri="{3e2802c4-a4d2-4d8b-9148-e3be6c30e623}">
          <xlrd:rvb i="4126"/>
        </ext>
      </extLst>
    </bk>
    <bk>
      <extLst>
        <ext uri="{3e2802c4-a4d2-4d8b-9148-e3be6c30e623}">
          <xlrd:rvb i="4127"/>
        </ext>
      </extLst>
    </bk>
    <bk>
      <extLst>
        <ext uri="{3e2802c4-a4d2-4d8b-9148-e3be6c30e623}">
          <xlrd:rvb i="4128"/>
        </ext>
      </extLst>
    </bk>
    <bk>
      <extLst>
        <ext uri="{3e2802c4-a4d2-4d8b-9148-e3be6c30e623}">
          <xlrd:rvb i="4129"/>
        </ext>
      </extLst>
    </bk>
    <bk>
      <extLst>
        <ext uri="{3e2802c4-a4d2-4d8b-9148-e3be6c30e623}">
          <xlrd:rvb i="4130"/>
        </ext>
      </extLst>
    </bk>
    <bk>
      <extLst>
        <ext uri="{3e2802c4-a4d2-4d8b-9148-e3be6c30e623}">
          <xlrd:rvb i="4131"/>
        </ext>
      </extLst>
    </bk>
    <bk>
      <extLst>
        <ext uri="{3e2802c4-a4d2-4d8b-9148-e3be6c30e623}">
          <xlrd:rvb i="4132"/>
        </ext>
      </extLst>
    </bk>
    <bk>
      <extLst>
        <ext uri="{3e2802c4-a4d2-4d8b-9148-e3be6c30e623}">
          <xlrd:rvb i="4133"/>
        </ext>
      </extLst>
    </bk>
    <bk>
      <extLst>
        <ext uri="{3e2802c4-a4d2-4d8b-9148-e3be6c30e623}">
          <xlrd:rvb i="4134"/>
        </ext>
      </extLst>
    </bk>
    <bk>
      <extLst>
        <ext uri="{3e2802c4-a4d2-4d8b-9148-e3be6c30e623}">
          <xlrd:rvb i="4135"/>
        </ext>
      </extLst>
    </bk>
    <bk>
      <extLst>
        <ext uri="{3e2802c4-a4d2-4d8b-9148-e3be6c30e623}">
          <xlrd:rvb i="4136"/>
        </ext>
      </extLst>
    </bk>
    <bk>
      <extLst>
        <ext uri="{3e2802c4-a4d2-4d8b-9148-e3be6c30e623}">
          <xlrd:rvb i="4137"/>
        </ext>
      </extLst>
    </bk>
    <bk>
      <extLst>
        <ext uri="{3e2802c4-a4d2-4d8b-9148-e3be6c30e623}">
          <xlrd:rvb i="4138"/>
        </ext>
      </extLst>
    </bk>
    <bk>
      <extLst>
        <ext uri="{3e2802c4-a4d2-4d8b-9148-e3be6c30e623}">
          <xlrd:rvb i="4139"/>
        </ext>
      </extLst>
    </bk>
    <bk>
      <extLst>
        <ext uri="{3e2802c4-a4d2-4d8b-9148-e3be6c30e623}">
          <xlrd:rvb i="4140"/>
        </ext>
      </extLst>
    </bk>
    <bk>
      <extLst>
        <ext uri="{3e2802c4-a4d2-4d8b-9148-e3be6c30e623}">
          <xlrd:rvb i="4141"/>
        </ext>
      </extLst>
    </bk>
    <bk>
      <extLst>
        <ext uri="{3e2802c4-a4d2-4d8b-9148-e3be6c30e623}">
          <xlrd:rvb i="4142"/>
        </ext>
      </extLst>
    </bk>
    <bk>
      <extLst>
        <ext uri="{3e2802c4-a4d2-4d8b-9148-e3be6c30e623}">
          <xlrd:rvb i="4143"/>
        </ext>
      </extLst>
    </bk>
    <bk>
      <extLst>
        <ext uri="{3e2802c4-a4d2-4d8b-9148-e3be6c30e623}">
          <xlrd:rvb i="4144"/>
        </ext>
      </extLst>
    </bk>
    <bk>
      <extLst>
        <ext uri="{3e2802c4-a4d2-4d8b-9148-e3be6c30e623}">
          <xlrd:rvb i="4145"/>
        </ext>
      </extLst>
    </bk>
    <bk>
      <extLst>
        <ext uri="{3e2802c4-a4d2-4d8b-9148-e3be6c30e623}">
          <xlrd:rvb i="4146"/>
        </ext>
      </extLst>
    </bk>
    <bk>
      <extLst>
        <ext uri="{3e2802c4-a4d2-4d8b-9148-e3be6c30e623}">
          <xlrd:rvb i="4147"/>
        </ext>
      </extLst>
    </bk>
    <bk>
      <extLst>
        <ext uri="{3e2802c4-a4d2-4d8b-9148-e3be6c30e623}">
          <xlrd:rvb i="4148"/>
        </ext>
      </extLst>
    </bk>
    <bk>
      <extLst>
        <ext uri="{3e2802c4-a4d2-4d8b-9148-e3be6c30e623}">
          <xlrd:rvb i="4149"/>
        </ext>
      </extLst>
    </bk>
    <bk>
      <extLst>
        <ext uri="{3e2802c4-a4d2-4d8b-9148-e3be6c30e623}">
          <xlrd:rvb i="4150"/>
        </ext>
      </extLst>
    </bk>
    <bk>
      <extLst>
        <ext uri="{3e2802c4-a4d2-4d8b-9148-e3be6c30e623}">
          <xlrd:rvb i="4151"/>
        </ext>
      </extLst>
    </bk>
    <bk>
      <extLst>
        <ext uri="{3e2802c4-a4d2-4d8b-9148-e3be6c30e623}">
          <xlrd:rvb i="4152"/>
        </ext>
      </extLst>
    </bk>
    <bk>
      <extLst>
        <ext uri="{3e2802c4-a4d2-4d8b-9148-e3be6c30e623}">
          <xlrd:rvb i="4153"/>
        </ext>
      </extLst>
    </bk>
    <bk>
      <extLst>
        <ext uri="{3e2802c4-a4d2-4d8b-9148-e3be6c30e623}">
          <xlrd:rvb i="4154"/>
        </ext>
      </extLst>
    </bk>
    <bk>
      <extLst>
        <ext uri="{3e2802c4-a4d2-4d8b-9148-e3be6c30e623}">
          <xlrd:rvb i="4155"/>
        </ext>
      </extLst>
    </bk>
    <bk>
      <extLst>
        <ext uri="{3e2802c4-a4d2-4d8b-9148-e3be6c30e623}">
          <xlrd:rvb i="4156"/>
        </ext>
      </extLst>
    </bk>
    <bk>
      <extLst>
        <ext uri="{3e2802c4-a4d2-4d8b-9148-e3be6c30e623}">
          <xlrd:rvb i="4157"/>
        </ext>
      </extLst>
    </bk>
    <bk>
      <extLst>
        <ext uri="{3e2802c4-a4d2-4d8b-9148-e3be6c30e623}">
          <xlrd:rvb i="4158"/>
        </ext>
      </extLst>
    </bk>
    <bk>
      <extLst>
        <ext uri="{3e2802c4-a4d2-4d8b-9148-e3be6c30e623}">
          <xlrd:rvb i="4159"/>
        </ext>
      </extLst>
    </bk>
    <bk>
      <extLst>
        <ext uri="{3e2802c4-a4d2-4d8b-9148-e3be6c30e623}">
          <xlrd:rvb i="4160"/>
        </ext>
      </extLst>
    </bk>
    <bk>
      <extLst>
        <ext uri="{3e2802c4-a4d2-4d8b-9148-e3be6c30e623}">
          <xlrd:rvb i="4161"/>
        </ext>
      </extLst>
    </bk>
    <bk>
      <extLst>
        <ext uri="{3e2802c4-a4d2-4d8b-9148-e3be6c30e623}">
          <xlrd:rvb i="4162"/>
        </ext>
      </extLst>
    </bk>
    <bk>
      <extLst>
        <ext uri="{3e2802c4-a4d2-4d8b-9148-e3be6c30e623}">
          <xlrd:rvb i="4163"/>
        </ext>
      </extLst>
    </bk>
    <bk>
      <extLst>
        <ext uri="{3e2802c4-a4d2-4d8b-9148-e3be6c30e623}">
          <xlrd:rvb i="4164"/>
        </ext>
      </extLst>
    </bk>
    <bk>
      <extLst>
        <ext uri="{3e2802c4-a4d2-4d8b-9148-e3be6c30e623}">
          <xlrd:rvb i="4165"/>
        </ext>
      </extLst>
    </bk>
    <bk>
      <extLst>
        <ext uri="{3e2802c4-a4d2-4d8b-9148-e3be6c30e623}">
          <xlrd:rvb i="4166"/>
        </ext>
      </extLst>
    </bk>
    <bk>
      <extLst>
        <ext uri="{3e2802c4-a4d2-4d8b-9148-e3be6c30e623}">
          <xlrd:rvb i="4167"/>
        </ext>
      </extLst>
    </bk>
    <bk>
      <extLst>
        <ext uri="{3e2802c4-a4d2-4d8b-9148-e3be6c30e623}">
          <xlrd:rvb i="4168"/>
        </ext>
      </extLst>
    </bk>
    <bk>
      <extLst>
        <ext uri="{3e2802c4-a4d2-4d8b-9148-e3be6c30e623}">
          <xlrd:rvb i="4169"/>
        </ext>
      </extLst>
    </bk>
    <bk>
      <extLst>
        <ext uri="{3e2802c4-a4d2-4d8b-9148-e3be6c30e623}">
          <xlrd:rvb i="4170"/>
        </ext>
      </extLst>
    </bk>
    <bk>
      <extLst>
        <ext uri="{3e2802c4-a4d2-4d8b-9148-e3be6c30e623}">
          <xlrd:rvb i="4171"/>
        </ext>
      </extLst>
    </bk>
    <bk>
      <extLst>
        <ext uri="{3e2802c4-a4d2-4d8b-9148-e3be6c30e623}">
          <xlrd:rvb i="4172"/>
        </ext>
      </extLst>
    </bk>
    <bk>
      <extLst>
        <ext uri="{3e2802c4-a4d2-4d8b-9148-e3be6c30e623}">
          <xlrd:rvb i="4173"/>
        </ext>
      </extLst>
    </bk>
    <bk>
      <extLst>
        <ext uri="{3e2802c4-a4d2-4d8b-9148-e3be6c30e623}">
          <xlrd:rvb i="4174"/>
        </ext>
      </extLst>
    </bk>
    <bk>
      <extLst>
        <ext uri="{3e2802c4-a4d2-4d8b-9148-e3be6c30e623}">
          <xlrd:rvb i="4175"/>
        </ext>
      </extLst>
    </bk>
    <bk>
      <extLst>
        <ext uri="{3e2802c4-a4d2-4d8b-9148-e3be6c30e623}">
          <xlrd:rvb i="4176"/>
        </ext>
      </extLst>
    </bk>
    <bk>
      <extLst>
        <ext uri="{3e2802c4-a4d2-4d8b-9148-e3be6c30e623}">
          <xlrd:rvb i="4177"/>
        </ext>
      </extLst>
    </bk>
    <bk>
      <extLst>
        <ext uri="{3e2802c4-a4d2-4d8b-9148-e3be6c30e623}">
          <xlrd:rvb i="4178"/>
        </ext>
      </extLst>
    </bk>
    <bk>
      <extLst>
        <ext uri="{3e2802c4-a4d2-4d8b-9148-e3be6c30e623}">
          <xlrd:rvb i="4179"/>
        </ext>
      </extLst>
    </bk>
    <bk>
      <extLst>
        <ext uri="{3e2802c4-a4d2-4d8b-9148-e3be6c30e623}">
          <xlrd:rvb i="4180"/>
        </ext>
      </extLst>
    </bk>
    <bk>
      <extLst>
        <ext uri="{3e2802c4-a4d2-4d8b-9148-e3be6c30e623}">
          <xlrd:rvb i="4181"/>
        </ext>
      </extLst>
    </bk>
    <bk>
      <extLst>
        <ext uri="{3e2802c4-a4d2-4d8b-9148-e3be6c30e623}">
          <xlrd:rvb i="4182"/>
        </ext>
      </extLst>
    </bk>
    <bk>
      <extLst>
        <ext uri="{3e2802c4-a4d2-4d8b-9148-e3be6c30e623}">
          <xlrd:rvb i="4183"/>
        </ext>
      </extLst>
    </bk>
    <bk>
      <extLst>
        <ext uri="{3e2802c4-a4d2-4d8b-9148-e3be6c30e623}">
          <xlrd:rvb i="4184"/>
        </ext>
      </extLst>
    </bk>
    <bk>
      <extLst>
        <ext uri="{3e2802c4-a4d2-4d8b-9148-e3be6c30e623}">
          <xlrd:rvb i="4185"/>
        </ext>
      </extLst>
    </bk>
    <bk>
      <extLst>
        <ext uri="{3e2802c4-a4d2-4d8b-9148-e3be6c30e623}">
          <xlrd:rvb i="4186"/>
        </ext>
      </extLst>
    </bk>
    <bk>
      <extLst>
        <ext uri="{3e2802c4-a4d2-4d8b-9148-e3be6c30e623}">
          <xlrd:rvb i="4187"/>
        </ext>
      </extLst>
    </bk>
    <bk>
      <extLst>
        <ext uri="{3e2802c4-a4d2-4d8b-9148-e3be6c30e623}">
          <xlrd:rvb i="4188"/>
        </ext>
      </extLst>
    </bk>
    <bk>
      <extLst>
        <ext uri="{3e2802c4-a4d2-4d8b-9148-e3be6c30e623}">
          <xlrd:rvb i="4189"/>
        </ext>
      </extLst>
    </bk>
    <bk>
      <extLst>
        <ext uri="{3e2802c4-a4d2-4d8b-9148-e3be6c30e623}">
          <xlrd:rvb i="4190"/>
        </ext>
      </extLst>
    </bk>
    <bk>
      <extLst>
        <ext uri="{3e2802c4-a4d2-4d8b-9148-e3be6c30e623}">
          <xlrd:rvb i="4191"/>
        </ext>
      </extLst>
    </bk>
    <bk>
      <extLst>
        <ext uri="{3e2802c4-a4d2-4d8b-9148-e3be6c30e623}">
          <xlrd:rvb i="4192"/>
        </ext>
      </extLst>
    </bk>
    <bk>
      <extLst>
        <ext uri="{3e2802c4-a4d2-4d8b-9148-e3be6c30e623}">
          <xlrd:rvb i="4193"/>
        </ext>
      </extLst>
    </bk>
    <bk>
      <extLst>
        <ext uri="{3e2802c4-a4d2-4d8b-9148-e3be6c30e623}">
          <xlrd:rvb i="4194"/>
        </ext>
      </extLst>
    </bk>
    <bk>
      <extLst>
        <ext uri="{3e2802c4-a4d2-4d8b-9148-e3be6c30e623}">
          <xlrd:rvb i="4195"/>
        </ext>
      </extLst>
    </bk>
    <bk>
      <extLst>
        <ext uri="{3e2802c4-a4d2-4d8b-9148-e3be6c30e623}">
          <xlrd:rvb i="4196"/>
        </ext>
      </extLst>
    </bk>
    <bk>
      <extLst>
        <ext uri="{3e2802c4-a4d2-4d8b-9148-e3be6c30e623}">
          <xlrd:rvb i="4197"/>
        </ext>
      </extLst>
    </bk>
    <bk>
      <extLst>
        <ext uri="{3e2802c4-a4d2-4d8b-9148-e3be6c30e623}">
          <xlrd:rvb i="4198"/>
        </ext>
      </extLst>
    </bk>
    <bk>
      <extLst>
        <ext uri="{3e2802c4-a4d2-4d8b-9148-e3be6c30e623}">
          <xlrd:rvb i="4199"/>
        </ext>
      </extLst>
    </bk>
    <bk>
      <extLst>
        <ext uri="{3e2802c4-a4d2-4d8b-9148-e3be6c30e623}">
          <xlrd:rvb i="4200"/>
        </ext>
      </extLst>
    </bk>
    <bk>
      <extLst>
        <ext uri="{3e2802c4-a4d2-4d8b-9148-e3be6c30e623}">
          <xlrd:rvb i="4201"/>
        </ext>
      </extLst>
    </bk>
    <bk>
      <extLst>
        <ext uri="{3e2802c4-a4d2-4d8b-9148-e3be6c30e623}">
          <xlrd:rvb i="4202"/>
        </ext>
      </extLst>
    </bk>
    <bk>
      <extLst>
        <ext uri="{3e2802c4-a4d2-4d8b-9148-e3be6c30e623}">
          <xlrd:rvb i="4203"/>
        </ext>
      </extLst>
    </bk>
    <bk>
      <extLst>
        <ext uri="{3e2802c4-a4d2-4d8b-9148-e3be6c30e623}">
          <xlrd:rvb i="4204"/>
        </ext>
      </extLst>
    </bk>
    <bk>
      <extLst>
        <ext uri="{3e2802c4-a4d2-4d8b-9148-e3be6c30e623}">
          <xlrd:rvb i="4205"/>
        </ext>
      </extLst>
    </bk>
    <bk>
      <extLst>
        <ext uri="{3e2802c4-a4d2-4d8b-9148-e3be6c30e623}">
          <xlrd:rvb i="4206"/>
        </ext>
      </extLst>
    </bk>
    <bk>
      <extLst>
        <ext uri="{3e2802c4-a4d2-4d8b-9148-e3be6c30e623}">
          <xlrd:rvb i="4207"/>
        </ext>
      </extLst>
    </bk>
    <bk>
      <extLst>
        <ext uri="{3e2802c4-a4d2-4d8b-9148-e3be6c30e623}">
          <xlrd:rvb i="4208"/>
        </ext>
      </extLst>
    </bk>
    <bk>
      <extLst>
        <ext uri="{3e2802c4-a4d2-4d8b-9148-e3be6c30e623}">
          <xlrd:rvb i="4209"/>
        </ext>
      </extLst>
    </bk>
    <bk>
      <extLst>
        <ext uri="{3e2802c4-a4d2-4d8b-9148-e3be6c30e623}">
          <xlrd:rvb i="4210"/>
        </ext>
      </extLst>
    </bk>
    <bk>
      <extLst>
        <ext uri="{3e2802c4-a4d2-4d8b-9148-e3be6c30e623}">
          <xlrd:rvb i="4211"/>
        </ext>
      </extLst>
    </bk>
    <bk>
      <extLst>
        <ext uri="{3e2802c4-a4d2-4d8b-9148-e3be6c30e623}">
          <xlrd:rvb i="4212"/>
        </ext>
      </extLst>
    </bk>
    <bk>
      <extLst>
        <ext uri="{3e2802c4-a4d2-4d8b-9148-e3be6c30e623}">
          <xlrd:rvb i="4213"/>
        </ext>
      </extLst>
    </bk>
    <bk>
      <extLst>
        <ext uri="{3e2802c4-a4d2-4d8b-9148-e3be6c30e623}">
          <xlrd:rvb i="4214"/>
        </ext>
      </extLst>
    </bk>
    <bk>
      <extLst>
        <ext uri="{3e2802c4-a4d2-4d8b-9148-e3be6c30e623}">
          <xlrd:rvb i="4215"/>
        </ext>
      </extLst>
    </bk>
    <bk>
      <extLst>
        <ext uri="{3e2802c4-a4d2-4d8b-9148-e3be6c30e623}">
          <xlrd:rvb i="4216"/>
        </ext>
      </extLst>
    </bk>
    <bk>
      <extLst>
        <ext uri="{3e2802c4-a4d2-4d8b-9148-e3be6c30e623}">
          <xlrd:rvb i="4217"/>
        </ext>
      </extLst>
    </bk>
    <bk>
      <extLst>
        <ext uri="{3e2802c4-a4d2-4d8b-9148-e3be6c30e623}">
          <xlrd:rvb i="4218"/>
        </ext>
      </extLst>
    </bk>
    <bk>
      <extLst>
        <ext uri="{3e2802c4-a4d2-4d8b-9148-e3be6c30e623}">
          <xlrd:rvb i="4219"/>
        </ext>
      </extLst>
    </bk>
    <bk>
      <extLst>
        <ext uri="{3e2802c4-a4d2-4d8b-9148-e3be6c30e623}">
          <xlrd:rvb i="4220"/>
        </ext>
      </extLst>
    </bk>
    <bk>
      <extLst>
        <ext uri="{3e2802c4-a4d2-4d8b-9148-e3be6c30e623}">
          <xlrd:rvb i="4221"/>
        </ext>
      </extLst>
    </bk>
    <bk>
      <extLst>
        <ext uri="{3e2802c4-a4d2-4d8b-9148-e3be6c30e623}">
          <xlrd:rvb i="4222"/>
        </ext>
      </extLst>
    </bk>
    <bk>
      <extLst>
        <ext uri="{3e2802c4-a4d2-4d8b-9148-e3be6c30e623}">
          <xlrd:rvb i="4223"/>
        </ext>
      </extLst>
    </bk>
    <bk>
      <extLst>
        <ext uri="{3e2802c4-a4d2-4d8b-9148-e3be6c30e623}">
          <xlrd:rvb i="4224"/>
        </ext>
      </extLst>
    </bk>
    <bk>
      <extLst>
        <ext uri="{3e2802c4-a4d2-4d8b-9148-e3be6c30e623}">
          <xlrd:rvb i="4225"/>
        </ext>
      </extLst>
    </bk>
    <bk>
      <extLst>
        <ext uri="{3e2802c4-a4d2-4d8b-9148-e3be6c30e623}">
          <xlrd:rvb i="4226"/>
        </ext>
      </extLst>
    </bk>
    <bk>
      <extLst>
        <ext uri="{3e2802c4-a4d2-4d8b-9148-e3be6c30e623}">
          <xlrd:rvb i="4227"/>
        </ext>
      </extLst>
    </bk>
    <bk>
      <extLst>
        <ext uri="{3e2802c4-a4d2-4d8b-9148-e3be6c30e623}">
          <xlrd:rvb i="4228"/>
        </ext>
      </extLst>
    </bk>
    <bk>
      <extLst>
        <ext uri="{3e2802c4-a4d2-4d8b-9148-e3be6c30e623}">
          <xlrd:rvb i="4229"/>
        </ext>
      </extLst>
    </bk>
    <bk>
      <extLst>
        <ext uri="{3e2802c4-a4d2-4d8b-9148-e3be6c30e623}">
          <xlrd:rvb i="4230"/>
        </ext>
      </extLst>
    </bk>
    <bk>
      <extLst>
        <ext uri="{3e2802c4-a4d2-4d8b-9148-e3be6c30e623}">
          <xlrd:rvb i="4231"/>
        </ext>
      </extLst>
    </bk>
    <bk>
      <extLst>
        <ext uri="{3e2802c4-a4d2-4d8b-9148-e3be6c30e623}">
          <xlrd:rvb i="4232"/>
        </ext>
      </extLst>
    </bk>
    <bk>
      <extLst>
        <ext uri="{3e2802c4-a4d2-4d8b-9148-e3be6c30e623}">
          <xlrd:rvb i="4233"/>
        </ext>
      </extLst>
    </bk>
    <bk>
      <extLst>
        <ext uri="{3e2802c4-a4d2-4d8b-9148-e3be6c30e623}">
          <xlrd:rvb i="4234"/>
        </ext>
      </extLst>
    </bk>
    <bk>
      <extLst>
        <ext uri="{3e2802c4-a4d2-4d8b-9148-e3be6c30e623}">
          <xlrd:rvb i="4235"/>
        </ext>
      </extLst>
    </bk>
    <bk>
      <extLst>
        <ext uri="{3e2802c4-a4d2-4d8b-9148-e3be6c30e623}">
          <xlrd:rvb i="4236"/>
        </ext>
      </extLst>
    </bk>
    <bk>
      <extLst>
        <ext uri="{3e2802c4-a4d2-4d8b-9148-e3be6c30e623}">
          <xlrd:rvb i="4237"/>
        </ext>
      </extLst>
    </bk>
    <bk>
      <extLst>
        <ext uri="{3e2802c4-a4d2-4d8b-9148-e3be6c30e623}">
          <xlrd:rvb i="4238"/>
        </ext>
      </extLst>
    </bk>
    <bk>
      <extLst>
        <ext uri="{3e2802c4-a4d2-4d8b-9148-e3be6c30e623}">
          <xlrd:rvb i="4239"/>
        </ext>
      </extLst>
    </bk>
    <bk>
      <extLst>
        <ext uri="{3e2802c4-a4d2-4d8b-9148-e3be6c30e623}">
          <xlrd:rvb i="4240"/>
        </ext>
      </extLst>
    </bk>
    <bk>
      <extLst>
        <ext uri="{3e2802c4-a4d2-4d8b-9148-e3be6c30e623}">
          <xlrd:rvb i="4241"/>
        </ext>
      </extLst>
    </bk>
    <bk>
      <extLst>
        <ext uri="{3e2802c4-a4d2-4d8b-9148-e3be6c30e623}">
          <xlrd:rvb i="4242"/>
        </ext>
      </extLst>
    </bk>
    <bk>
      <extLst>
        <ext uri="{3e2802c4-a4d2-4d8b-9148-e3be6c30e623}">
          <xlrd:rvb i="4243"/>
        </ext>
      </extLst>
    </bk>
    <bk>
      <extLst>
        <ext uri="{3e2802c4-a4d2-4d8b-9148-e3be6c30e623}">
          <xlrd:rvb i="4244"/>
        </ext>
      </extLst>
    </bk>
    <bk>
      <extLst>
        <ext uri="{3e2802c4-a4d2-4d8b-9148-e3be6c30e623}">
          <xlrd:rvb i="4245"/>
        </ext>
      </extLst>
    </bk>
    <bk>
      <extLst>
        <ext uri="{3e2802c4-a4d2-4d8b-9148-e3be6c30e623}">
          <xlrd:rvb i="4246"/>
        </ext>
      </extLst>
    </bk>
    <bk>
      <extLst>
        <ext uri="{3e2802c4-a4d2-4d8b-9148-e3be6c30e623}">
          <xlrd:rvb i="4247"/>
        </ext>
      </extLst>
    </bk>
    <bk>
      <extLst>
        <ext uri="{3e2802c4-a4d2-4d8b-9148-e3be6c30e623}">
          <xlrd:rvb i="4248"/>
        </ext>
      </extLst>
    </bk>
    <bk>
      <extLst>
        <ext uri="{3e2802c4-a4d2-4d8b-9148-e3be6c30e623}">
          <xlrd:rvb i="4249"/>
        </ext>
      </extLst>
    </bk>
    <bk>
      <extLst>
        <ext uri="{3e2802c4-a4d2-4d8b-9148-e3be6c30e623}">
          <xlrd:rvb i="4250"/>
        </ext>
      </extLst>
    </bk>
    <bk>
      <extLst>
        <ext uri="{3e2802c4-a4d2-4d8b-9148-e3be6c30e623}">
          <xlrd:rvb i="4251"/>
        </ext>
      </extLst>
    </bk>
    <bk>
      <extLst>
        <ext uri="{3e2802c4-a4d2-4d8b-9148-e3be6c30e623}">
          <xlrd:rvb i="4252"/>
        </ext>
      </extLst>
    </bk>
    <bk>
      <extLst>
        <ext uri="{3e2802c4-a4d2-4d8b-9148-e3be6c30e623}">
          <xlrd:rvb i="4253"/>
        </ext>
      </extLst>
    </bk>
    <bk>
      <extLst>
        <ext uri="{3e2802c4-a4d2-4d8b-9148-e3be6c30e623}">
          <xlrd:rvb i="4254"/>
        </ext>
      </extLst>
    </bk>
    <bk>
      <extLst>
        <ext uri="{3e2802c4-a4d2-4d8b-9148-e3be6c30e623}">
          <xlrd:rvb i="4255"/>
        </ext>
      </extLst>
    </bk>
    <bk>
      <extLst>
        <ext uri="{3e2802c4-a4d2-4d8b-9148-e3be6c30e623}">
          <xlrd:rvb i="4256"/>
        </ext>
      </extLst>
    </bk>
    <bk>
      <extLst>
        <ext uri="{3e2802c4-a4d2-4d8b-9148-e3be6c30e623}">
          <xlrd:rvb i="4257"/>
        </ext>
      </extLst>
    </bk>
    <bk>
      <extLst>
        <ext uri="{3e2802c4-a4d2-4d8b-9148-e3be6c30e623}">
          <xlrd:rvb i="4258"/>
        </ext>
      </extLst>
    </bk>
    <bk>
      <extLst>
        <ext uri="{3e2802c4-a4d2-4d8b-9148-e3be6c30e623}">
          <xlrd:rvb i="4259"/>
        </ext>
      </extLst>
    </bk>
    <bk>
      <extLst>
        <ext uri="{3e2802c4-a4d2-4d8b-9148-e3be6c30e623}">
          <xlrd:rvb i="4260"/>
        </ext>
      </extLst>
    </bk>
    <bk>
      <extLst>
        <ext uri="{3e2802c4-a4d2-4d8b-9148-e3be6c30e623}">
          <xlrd:rvb i="4261"/>
        </ext>
      </extLst>
    </bk>
    <bk>
      <extLst>
        <ext uri="{3e2802c4-a4d2-4d8b-9148-e3be6c30e623}">
          <xlrd:rvb i="4262"/>
        </ext>
      </extLst>
    </bk>
    <bk>
      <extLst>
        <ext uri="{3e2802c4-a4d2-4d8b-9148-e3be6c30e623}">
          <xlrd:rvb i="4263"/>
        </ext>
      </extLst>
    </bk>
    <bk>
      <extLst>
        <ext uri="{3e2802c4-a4d2-4d8b-9148-e3be6c30e623}">
          <xlrd:rvb i="4264"/>
        </ext>
      </extLst>
    </bk>
    <bk>
      <extLst>
        <ext uri="{3e2802c4-a4d2-4d8b-9148-e3be6c30e623}">
          <xlrd:rvb i="4265"/>
        </ext>
      </extLst>
    </bk>
    <bk>
      <extLst>
        <ext uri="{3e2802c4-a4d2-4d8b-9148-e3be6c30e623}">
          <xlrd:rvb i="4266"/>
        </ext>
      </extLst>
    </bk>
    <bk>
      <extLst>
        <ext uri="{3e2802c4-a4d2-4d8b-9148-e3be6c30e623}">
          <xlrd:rvb i="4267"/>
        </ext>
      </extLst>
    </bk>
    <bk>
      <extLst>
        <ext uri="{3e2802c4-a4d2-4d8b-9148-e3be6c30e623}">
          <xlrd:rvb i="4268"/>
        </ext>
      </extLst>
    </bk>
    <bk>
      <extLst>
        <ext uri="{3e2802c4-a4d2-4d8b-9148-e3be6c30e623}">
          <xlrd:rvb i="4269"/>
        </ext>
      </extLst>
    </bk>
    <bk>
      <extLst>
        <ext uri="{3e2802c4-a4d2-4d8b-9148-e3be6c30e623}">
          <xlrd:rvb i="4270"/>
        </ext>
      </extLst>
    </bk>
    <bk>
      <extLst>
        <ext uri="{3e2802c4-a4d2-4d8b-9148-e3be6c30e623}">
          <xlrd:rvb i="4271"/>
        </ext>
      </extLst>
    </bk>
    <bk>
      <extLst>
        <ext uri="{3e2802c4-a4d2-4d8b-9148-e3be6c30e623}">
          <xlrd:rvb i="4272"/>
        </ext>
      </extLst>
    </bk>
    <bk>
      <extLst>
        <ext uri="{3e2802c4-a4d2-4d8b-9148-e3be6c30e623}">
          <xlrd:rvb i="4273"/>
        </ext>
      </extLst>
    </bk>
    <bk>
      <extLst>
        <ext uri="{3e2802c4-a4d2-4d8b-9148-e3be6c30e623}">
          <xlrd:rvb i="4274"/>
        </ext>
      </extLst>
    </bk>
    <bk>
      <extLst>
        <ext uri="{3e2802c4-a4d2-4d8b-9148-e3be6c30e623}">
          <xlrd:rvb i="4275"/>
        </ext>
      </extLst>
    </bk>
    <bk>
      <extLst>
        <ext uri="{3e2802c4-a4d2-4d8b-9148-e3be6c30e623}">
          <xlrd:rvb i="4276"/>
        </ext>
      </extLst>
    </bk>
    <bk>
      <extLst>
        <ext uri="{3e2802c4-a4d2-4d8b-9148-e3be6c30e623}">
          <xlrd:rvb i="4277"/>
        </ext>
      </extLst>
    </bk>
    <bk>
      <extLst>
        <ext uri="{3e2802c4-a4d2-4d8b-9148-e3be6c30e623}">
          <xlrd:rvb i="4278"/>
        </ext>
      </extLst>
    </bk>
    <bk>
      <extLst>
        <ext uri="{3e2802c4-a4d2-4d8b-9148-e3be6c30e623}">
          <xlrd:rvb i="4279"/>
        </ext>
      </extLst>
    </bk>
    <bk>
      <extLst>
        <ext uri="{3e2802c4-a4d2-4d8b-9148-e3be6c30e623}">
          <xlrd:rvb i="4280"/>
        </ext>
      </extLst>
    </bk>
    <bk>
      <extLst>
        <ext uri="{3e2802c4-a4d2-4d8b-9148-e3be6c30e623}">
          <xlrd:rvb i="4281"/>
        </ext>
      </extLst>
    </bk>
    <bk>
      <extLst>
        <ext uri="{3e2802c4-a4d2-4d8b-9148-e3be6c30e623}">
          <xlrd:rvb i="4282"/>
        </ext>
      </extLst>
    </bk>
    <bk>
      <extLst>
        <ext uri="{3e2802c4-a4d2-4d8b-9148-e3be6c30e623}">
          <xlrd:rvb i="4283"/>
        </ext>
      </extLst>
    </bk>
    <bk>
      <extLst>
        <ext uri="{3e2802c4-a4d2-4d8b-9148-e3be6c30e623}">
          <xlrd:rvb i="4284"/>
        </ext>
      </extLst>
    </bk>
    <bk>
      <extLst>
        <ext uri="{3e2802c4-a4d2-4d8b-9148-e3be6c30e623}">
          <xlrd:rvb i="4285"/>
        </ext>
      </extLst>
    </bk>
    <bk>
      <extLst>
        <ext uri="{3e2802c4-a4d2-4d8b-9148-e3be6c30e623}">
          <xlrd:rvb i="4286"/>
        </ext>
      </extLst>
    </bk>
    <bk>
      <extLst>
        <ext uri="{3e2802c4-a4d2-4d8b-9148-e3be6c30e623}">
          <xlrd:rvb i="4287"/>
        </ext>
      </extLst>
    </bk>
    <bk>
      <extLst>
        <ext uri="{3e2802c4-a4d2-4d8b-9148-e3be6c30e623}">
          <xlrd:rvb i="4288"/>
        </ext>
      </extLst>
    </bk>
    <bk>
      <extLst>
        <ext uri="{3e2802c4-a4d2-4d8b-9148-e3be6c30e623}">
          <xlrd:rvb i="4289"/>
        </ext>
      </extLst>
    </bk>
    <bk>
      <extLst>
        <ext uri="{3e2802c4-a4d2-4d8b-9148-e3be6c30e623}">
          <xlrd:rvb i="4290"/>
        </ext>
      </extLst>
    </bk>
    <bk>
      <extLst>
        <ext uri="{3e2802c4-a4d2-4d8b-9148-e3be6c30e623}">
          <xlrd:rvb i="4291"/>
        </ext>
      </extLst>
    </bk>
    <bk>
      <extLst>
        <ext uri="{3e2802c4-a4d2-4d8b-9148-e3be6c30e623}">
          <xlrd:rvb i="4292"/>
        </ext>
      </extLst>
    </bk>
    <bk>
      <extLst>
        <ext uri="{3e2802c4-a4d2-4d8b-9148-e3be6c30e623}">
          <xlrd:rvb i="4293"/>
        </ext>
      </extLst>
    </bk>
    <bk>
      <extLst>
        <ext uri="{3e2802c4-a4d2-4d8b-9148-e3be6c30e623}">
          <xlrd:rvb i="4294"/>
        </ext>
      </extLst>
    </bk>
    <bk>
      <extLst>
        <ext uri="{3e2802c4-a4d2-4d8b-9148-e3be6c30e623}">
          <xlrd:rvb i="4295"/>
        </ext>
      </extLst>
    </bk>
    <bk>
      <extLst>
        <ext uri="{3e2802c4-a4d2-4d8b-9148-e3be6c30e623}">
          <xlrd:rvb i="4296"/>
        </ext>
      </extLst>
    </bk>
    <bk>
      <extLst>
        <ext uri="{3e2802c4-a4d2-4d8b-9148-e3be6c30e623}">
          <xlrd:rvb i="4297"/>
        </ext>
      </extLst>
    </bk>
    <bk>
      <extLst>
        <ext uri="{3e2802c4-a4d2-4d8b-9148-e3be6c30e623}">
          <xlrd:rvb i="4298"/>
        </ext>
      </extLst>
    </bk>
    <bk>
      <extLst>
        <ext uri="{3e2802c4-a4d2-4d8b-9148-e3be6c30e623}">
          <xlrd:rvb i="4299"/>
        </ext>
      </extLst>
    </bk>
    <bk>
      <extLst>
        <ext uri="{3e2802c4-a4d2-4d8b-9148-e3be6c30e623}">
          <xlrd:rvb i="4300"/>
        </ext>
      </extLst>
    </bk>
    <bk>
      <extLst>
        <ext uri="{3e2802c4-a4d2-4d8b-9148-e3be6c30e623}">
          <xlrd:rvb i="4301"/>
        </ext>
      </extLst>
    </bk>
    <bk>
      <extLst>
        <ext uri="{3e2802c4-a4d2-4d8b-9148-e3be6c30e623}">
          <xlrd:rvb i="4302"/>
        </ext>
      </extLst>
    </bk>
    <bk>
      <extLst>
        <ext uri="{3e2802c4-a4d2-4d8b-9148-e3be6c30e623}">
          <xlrd:rvb i="4303"/>
        </ext>
      </extLst>
    </bk>
    <bk>
      <extLst>
        <ext uri="{3e2802c4-a4d2-4d8b-9148-e3be6c30e623}">
          <xlrd:rvb i="4304"/>
        </ext>
      </extLst>
    </bk>
    <bk>
      <extLst>
        <ext uri="{3e2802c4-a4d2-4d8b-9148-e3be6c30e623}">
          <xlrd:rvb i="4305"/>
        </ext>
      </extLst>
    </bk>
    <bk>
      <extLst>
        <ext uri="{3e2802c4-a4d2-4d8b-9148-e3be6c30e623}">
          <xlrd:rvb i="4306"/>
        </ext>
      </extLst>
    </bk>
    <bk>
      <extLst>
        <ext uri="{3e2802c4-a4d2-4d8b-9148-e3be6c30e623}">
          <xlrd:rvb i="4307"/>
        </ext>
      </extLst>
    </bk>
    <bk>
      <extLst>
        <ext uri="{3e2802c4-a4d2-4d8b-9148-e3be6c30e623}">
          <xlrd:rvb i="4308"/>
        </ext>
      </extLst>
    </bk>
    <bk>
      <extLst>
        <ext uri="{3e2802c4-a4d2-4d8b-9148-e3be6c30e623}">
          <xlrd:rvb i="4309"/>
        </ext>
      </extLst>
    </bk>
    <bk>
      <extLst>
        <ext uri="{3e2802c4-a4d2-4d8b-9148-e3be6c30e623}">
          <xlrd:rvb i="4310"/>
        </ext>
      </extLst>
    </bk>
    <bk>
      <extLst>
        <ext uri="{3e2802c4-a4d2-4d8b-9148-e3be6c30e623}">
          <xlrd:rvb i="4311"/>
        </ext>
      </extLst>
    </bk>
    <bk>
      <extLst>
        <ext uri="{3e2802c4-a4d2-4d8b-9148-e3be6c30e623}">
          <xlrd:rvb i="4312"/>
        </ext>
      </extLst>
    </bk>
    <bk>
      <extLst>
        <ext uri="{3e2802c4-a4d2-4d8b-9148-e3be6c30e623}">
          <xlrd:rvb i="4313"/>
        </ext>
      </extLst>
    </bk>
    <bk>
      <extLst>
        <ext uri="{3e2802c4-a4d2-4d8b-9148-e3be6c30e623}">
          <xlrd:rvb i="4314"/>
        </ext>
      </extLst>
    </bk>
    <bk>
      <extLst>
        <ext uri="{3e2802c4-a4d2-4d8b-9148-e3be6c30e623}">
          <xlrd:rvb i="4315"/>
        </ext>
      </extLst>
    </bk>
    <bk>
      <extLst>
        <ext uri="{3e2802c4-a4d2-4d8b-9148-e3be6c30e623}">
          <xlrd:rvb i="4316"/>
        </ext>
      </extLst>
    </bk>
    <bk>
      <extLst>
        <ext uri="{3e2802c4-a4d2-4d8b-9148-e3be6c30e623}">
          <xlrd:rvb i="4317"/>
        </ext>
      </extLst>
    </bk>
    <bk>
      <extLst>
        <ext uri="{3e2802c4-a4d2-4d8b-9148-e3be6c30e623}">
          <xlrd:rvb i="4318"/>
        </ext>
      </extLst>
    </bk>
    <bk>
      <extLst>
        <ext uri="{3e2802c4-a4d2-4d8b-9148-e3be6c30e623}">
          <xlrd:rvb i="4319"/>
        </ext>
      </extLst>
    </bk>
    <bk>
      <extLst>
        <ext uri="{3e2802c4-a4d2-4d8b-9148-e3be6c30e623}">
          <xlrd:rvb i="4320"/>
        </ext>
      </extLst>
    </bk>
    <bk>
      <extLst>
        <ext uri="{3e2802c4-a4d2-4d8b-9148-e3be6c30e623}">
          <xlrd:rvb i="4321"/>
        </ext>
      </extLst>
    </bk>
    <bk>
      <extLst>
        <ext uri="{3e2802c4-a4d2-4d8b-9148-e3be6c30e623}">
          <xlrd:rvb i="4322"/>
        </ext>
      </extLst>
    </bk>
    <bk>
      <extLst>
        <ext uri="{3e2802c4-a4d2-4d8b-9148-e3be6c30e623}">
          <xlrd:rvb i="4323"/>
        </ext>
      </extLst>
    </bk>
    <bk>
      <extLst>
        <ext uri="{3e2802c4-a4d2-4d8b-9148-e3be6c30e623}">
          <xlrd:rvb i="4324"/>
        </ext>
      </extLst>
    </bk>
    <bk>
      <extLst>
        <ext uri="{3e2802c4-a4d2-4d8b-9148-e3be6c30e623}">
          <xlrd:rvb i="4325"/>
        </ext>
      </extLst>
    </bk>
    <bk>
      <extLst>
        <ext uri="{3e2802c4-a4d2-4d8b-9148-e3be6c30e623}">
          <xlrd:rvb i="4326"/>
        </ext>
      </extLst>
    </bk>
    <bk>
      <extLst>
        <ext uri="{3e2802c4-a4d2-4d8b-9148-e3be6c30e623}">
          <xlrd:rvb i="4327"/>
        </ext>
      </extLst>
    </bk>
    <bk>
      <extLst>
        <ext uri="{3e2802c4-a4d2-4d8b-9148-e3be6c30e623}">
          <xlrd:rvb i="4328"/>
        </ext>
      </extLst>
    </bk>
    <bk>
      <extLst>
        <ext uri="{3e2802c4-a4d2-4d8b-9148-e3be6c30e623}">
          <xlrd:rvb i="4329"/>
        </ext>
      </extLst>
    </bk>
    <bk>
      <extLst>
        <ext uri="{3e2802c4-a4d2-4d8b-9148-e3be6c30e623}">
          <xlrd:rvb i="4330"/>
        </ext>
      </extLst>
    </bk>
    <bk>
      <extLst>
        <ext uri="{3e2802c4-a4d2-4d8b-9148-e3be6c30e623}">
          <xlrd:rvb i="4331"/>
        </ext>
      </extLst>
    </bk>
    <bk>
      <extLst>
        <ext uri="{3e2802c4-a4d2-4d8b-9148-e3be6c30e623}">
          <xlrd:rvb i="4332"/>
        </ext>
      </extLst>
    </bk>
    <bk>
      <extLst>
        <ext uri="{3e2802c4-a4d2-4d8b-9148-e3be6c30e623}">
          <xlrd:rvb i="4333"/>
        </ext>
      </extLst>
    </bk>
    <bk>
      <extLst>
        <ext uri="{3e2802c4-a4d2-4d8b-9148-e3be6c30e623}">
          <xlrd:rvb i="4334"/>
        </ext>
      </extLst>
    </bk>
    <bk>
      <extLst>
        <ext uri="{3e2802c4-a4d2-4d8b-9148-e3be6c30e623}">
          <xlrd:rvb i="4335"/>
        </ext>
      </extLst>
    </bk>
    <bk>
      <extLst>
        <ext uri="{3e2802c4-a4d2-4d8b-9148-e3be6c30e623}">
          <xlrd:rvb i="4336"/>
        </ext>
      </extLst>
    </bk>
    <bk>
      <extLst>
        <ext uri="{3e2802c4-a4d2-4d8b-9148-e3be6c30e623}">
          <xlrd:rvb i="4337"/>
        </ext>
      </extLst>
    </bk>
    <bk>
      <extLst>
        <ext uri="{3e2802c4-a4d2-4d8b-9148-e3be6c30e623}">
          <xlrd:rvb i="4338"/>
        </ext>
      </extLst>
    </bk>
    <bk>
      <extLst>
        <ext uri="{3e2802c4-a4d2-4d8b-9148-e3be6c30e623}">
          <xlrd:rvb i="4339"/>
        </ext>
      </extLst>
    </bk>
    <bk>
      <extLst>
        <ext uri="{3e2802c4-a4d2-4d8b-9148-e3be6c30e623}">
          <xlrd:rvb i="4340"/>
        </ext>
      </extLst>
    </bk>
    <bk>
      <extLst>
        <ext uri="{3e2802c4-a4d2-4d8b-9148-e3be6c30e623}">
          <xlrd:rvb i="4341"/>
        </ext>
      </extLst>
    </bk>
    <bk>
      <extLst>
        <ext uri="{3e2802c4-a4d2-4d8b-9148-e3be6c30e623}">
          <xlrd:rvb i="4342"/>
        </ext>
      </extLst>
    </bk>
    <bk>
      <extLst>
        <ext uri="{3e2802c4-a4d2-4d8b-9148-e3be6c30e623}">
          <xlrd:rvb i="4343"/>
        </ext>
      </extLst>
    </bk>
    <bk>
      <extLst>
        <ext uri="{3e2802c4-a4d2-4d8b-9148-e3be6c30e623}">
          <xlrd:rvb i="4344"/>
        </ext>
      </extLst>
    </bk>
    <bk>
      <extLst>
        <ext uri="{3e2802c4-a4d2-4d8b-9148-e3be6c30e623}">
          <xlrd:rvb i="4345"/>
        </ext>
      </extLst>
    </bk>
    <bk>
      <extLst>
        <ext uri="{3e2802c4-a4d2-4d8b-9148-e3be6c30e623}">
          <xlrd:rvb i="4346"/>
        </ext>
      </extLst>
    </bk>
    <bk>
      <extLst>
        <ext uri="{3e2802c4-a4d2-4d8b-9148-e3be6c30e623}">
          <xlrd:rvb i="4347"/>
        </ext>
      </extLst>
    </bk>
    <bk>
      <extLst>
        <ext uri="{3e2802c4-a4d2-4d8b-9148-e3be6c30e623}">
          <xlrd:rvb i="4348"/>
        </ext>
      </extLst>
    </bk>
    <bk>
      <extLst>
        <ext uri="{3e2802c4-a4d2-4d8b-9148-e3be6c30e623}">
          <xlrd:rvb i="4349"/>
        </ext>
      </extLst>
    </bk>
    <bk>
      <extLst>
        <ext uri="{3e2802c4-a4d2-4d8b-9148-e3be6c30e623}">
          <xlrd:rvb i="4350"/>
        </ext>
      </extLst>
    </bk>
    <bk>
      <extLst>
        <ext uri="{3e2802c4-a4d2-4d8b-9148-e3be6c30e623}">
          <xlrd:rvb i="4351"/>
        </ext>
      </extLst>
    </bk>
    <bk>
      <extLst>
        <ext uri="{3e2802c4-a4d2-4d8b-9148-e3be6c30e623}">
          <xlrd:rvb i="4352"/>
        </ext>
      </extLst>
    </bk>
    <bk>
      <extLst>
        <ext uri="{3e2802c4-a4d2-4d8b-9148-e3be6c30e623}">
          <xlrd:rvb i="4353"/>
        </ext>
      </extLst>
    </bk>
    <bk>
      <extLst>
        <ext uri="{3e2802c4-a4d2-4d8b-9148-e3be6c30e623}">
          <xlrd:rvb i="4354"/>
        </ext>
      </extLst>
    </bk>
    <bk>
      <extLst>
        <ext uri="{3e2802c4-a4d2-4d8b-9148-e3be6c30e623}">
          <xlrd:rvb i="4355"/>
        </ext>
      </extLst>
    </bk>
    <bk>
      <extLst>
        <ext uri="{3e2802c4-a4d2-4d8b-9148-e3be6c30e623}">
          <xlrd:rvb i="4356"/>
        </ext>
      </extLst>
    </bk>
    <bk>
      <extLst>
        <ext uri="{3e2802c4-a4d2-4d8b-9148-e3be6c30e623}">
          <xlrd:rvb i="4357"/>
        </ext>
      </extLst>
    </bk>
    <bk>
      <extLst>
        <ext uri="{3e2802c4-a4d2-4d8b-9148-e3be6c30e623}">
          <xlrd:rvb i="4358"/>
        </ext>
      </extLst>
    </bk>
    <bk>
      <extLst>
        <ext uri="{3e2802c4-a4d2-4d8b-9148-e3be6c30e623}">
          <xlrd:rvb i="4359"/>
        </ext>
      </extLst>
    </bk>
    <bk>
      <extLst>
        <ext uri="{3e2802c4-a4d2-4d8b-9148-e3be6c30e623}">
          <xlrd:rvb i="4360"/>
        </ext>
      </extLst>
    </bk>
    <bk>
      <extLst>
        <ext uri="{3e2802c4-a4d2-4d8b-9148-e3be6c30e623}">
          <xlrd:rvb i="4361"/>
        </ext>
      </extLst>
    </bk>
    <bk>
      <extLst>
        <ext uri="{3e2802c4-a4d2-4d8b-9148-e3be6c30e623}">
          <xlrd:rvb i="4362"/>
        </ext>
      </extLst>
    </bk>
    <bk>
      <extLst>
        <ext uri="{3e2802c4-a4d2-4d8b-9148-e3be6c30e623}">
          <xlrd:rvb i="4363"/>
        </ext>
      </extLst>
    </bk>
    <bk>
      <extLst>
        <ext uri="{3e2802c4-a4d2-4d8b-9148-e3be6c30e623}">
          <xlrd:rvb i="4364"/>
        </ext>
      </extLst>
    </bk>
    <bk>
      <extLst>
        <ext uri="{3e2802c4-a4d2-4d8b-9148-e3be6c30e623}">
          <xlrd:rvb i="4365"/>
        </ext>
      </extLst>
    </bk>
    <bk>
      <extLst>
        <ext uri="{3e2802c4-a4d2-4d8b-9148-e3be6c30e623}">
          <xlrd:rvb i="4366"/>
        </ext>
      </extLst>
    </bk>
    <bk>
      <extLst>
        <ext uri="{3e2802c4-a4d2-4d8b-9148-e3be6c30e623}">
          <xlrd:rvb i="4367"/>
        </ext>
      </extLst>
    </bk>
    <bk>
      <extLst>
        <ext uri="{3e2802c4-a4d2-4d8b-9148-e3be6c30e623}">
          <xlrd:rvb i="4368"/>
        </ext>
      </extLst>
    </bk>
    <bk>
      <extLst>
        <ext uri="{3e2802c4-a4d2-4d8b-9148-e3be6c30e623}">
          <xlrd:rvb i="4369"/>
        </ext>
      </extLst>
    </bk>
    <bk>
      <extLst>
        <ext uri="{3e2802c4-a4d2-4d8b-9148-e3be6c30e623}">
          <xlrd:rvb i="4370"/>
        </ext>
      </extLst>
    </bk>
    <bk>
      <extLst>
        <ext uri="{3e2802c4-a4d2-4d8b-9148-e3be6c30e623}">
          <xlrd:rvb i="4371"/>
        </ext>
      </extLst>
    </bk>
    <bk>
      <extLst>
        <ext uri="{3e2802c4-a4d2-4d8b-9148-e3be6c30e623}">
          <xlrd:rvb i="4372"/>
        </ext>
      </extLst>
    </bk>
    <bk>
      <extLst>
        <ext uri="{3e2802c4-a4d2-4d8b-9148-e3be6c30e623}">
          <xlrd:rvb i="4373"/>
        </ext>
      </extLst>
    </bk>
    <bk>
      <extLst>
        <ext uri="{3e2802c4-a4d2-4d8b-9148-e3be6c30e623}">
          <xlrd:rvb i="4374"/>
        </ext>
      </extLst>
    </bk>
    <bk>
      <extLst>
        <ext uri="{3e2802c4-a4d2-4d8b-9148-e3be6c30e623}">
          <xlrd:rvb i="4375"/>
        </ext>
      </extLst>
    </bk>
    <bk>
      <extLst>
        <ext uri="{3e2802c4-a4d2-4d8b-9148-e3be6c30e623}">
          <xlrd:rvb i="4376"/>
        </ext>
      </extLst>
    </bk>
    <bk>
      <extLst>
        <ext uri="{3e2802c4-a4d2-4d8b-9148-e3be6c30e623}">
          <xlrd:rvb i="4377"/>
        </ext>
      </extLst>
    </bk>
    <bk>
      <extLst>
        <ext uri="{3e2802c4-a4d2-4d8b-9148-e3be6c30e623}">
          <xlrd:rvb i="4378"/>
        </ext>
      </extLst>
    </bk>
    <bk>
      <extLst>
        <ext uri="{3e2802c4-a4d2-4d8b-9148-e3be6c30e623}">
          <xlrd:rvb i="4379"/>
        </ext>
      </extLst>
    </bk>
    <bk>
      <extLst>
        <ext uri="{3e2802c4-a4d2-4d8b-9148-e3be6c30e623}">
          <xlrd:rvb i="4380"/>
        </ext>
      </extLst>
    </bk>
    <bk>
      <extLst>
        <ext uri="{3e2802c4-a4d2-4d8b-9148-e3be6c30e623}">
          <xlrd:rvb i="4381"/>
        </ext>
      </extLst>
    </bk>
    <bk>
      <extLst>
        <ext uri="{3e2802c4-a4d2-4d8b-9148-e3be6c30e623}">
          <xlrd:rvb i="4382"/>
        </ext>
      </extLst>
    </bk>
    <bk>
      <extLst>
        <ext uri="{3e2802c4-a4d2-4d8b-9148-e3be6c30e623}">
          <xlrd:rvb i="4383"/>
        </ext>
      </extLst>
    </bk>
    <bk>
      <extLst>
        <ext uri="{3e2802c4-a4d2-4d8b-9148-e3be6c30e623}">
          <xlrd:rvb i="4384"/>
        </ext>
      </extLst>
    </bk>
    <bk>
      <extLst>
        <ext uri="{3e2802c4-a4d2-4d8b-9148-e3be6c30e623}">
          <xlrd:rvb i="4385"/>
        </ext>
      </extLst>
    </bk>
    <bk>
      <extLst>
        <ext uri="{3e2802c4-a4d2-4d8b-9148-e3be6c30e623}">
          <xlrd:rvb i="4386"/>
        </ext>
      </extLst>
    </bk>
    <bk>
      <extLst>
        <ext uri="{3e2802c4-a4d2-4d8b-9148-e3be6c30e623}">
          <xlrd:rvb i="4387"/>
        </ext>
      </extLst>
    </bk>
    <bk>
      <extLst>
        <ext uri="{3e2802c4-a4d2-4d8b-9148-e3be6c30e623}">
          <xlrd:rvb i="4388"/>
        </ext>
      </extLst>
    </bk>
    <bk>
      <extLst>
        <ext uri="{3e2802c4-a4d2-4d8b-9148-e3be6c30e623}">
          <xlrd:rvb i="4389"/>
        </ext>
      </extLst>
    </bk>
    <bk>
      <extLst>
        <ext uri="{3e2802c4-a4d2-4d8b-9148-e3be6c30e623}">
          <xlrd:rvb i="4390"/>
        </ext>
      </extLst>
    </bk>
    <bk>
      <extLst>
        <ext uri="{3e2802c4-a4d2-4d8b-9148-e3be6c30e623}">
          <xlrd:rvb i="4391"/>
        </ext>
      </extLst>
    </bk>
    <bk>
      <extLst>
        <ext uri="{3e2802c4-a4d2-4d8b-9148-e3be6c30e623}">
          <xlrd:rvb i="4392"/>
        </ext>
      </extLst>
    </bk>
    <bk>
      <extLst>
        <ext uri="{3e2802c4-a4d2-4d8b-9148-e3be6c30e623}">
          <xlrd:rvb i="4393"/>
        </ext>
      </extLst>
    </bk>
    <bk>
      <extLst>
        <ext uri="{3e2802c4-a4d2-4d8b-9148-e3be6c30e623}">
          <xlrd:rvb i="4394"/>
        </ext>
      </extLst>
    </bk>
    <bk>
      <extLst>
        <ext uri="{3e2802c4-a4d2-4d8b-9148-e3be6c30e623}">
          <xlrd:rvb i="4395"/>
        </ext>
      </extLst>
    </bk>
    <bk>
      <extLst>
        <ext uri="{3e2802c4-a4d2-4d8b-9148-e3be6c30e623}">
          <xlrd:rvb i="4396"/>
        </ext>
      </extLst>
    </bk>
    <bk>
      <extLst>
        <ext uri="{3e2802c4-a4d2-4d8b-9148-e3be6c30e623}">
          <xlrd:rvb i="4397"/>
        </ext>
      </extLst>
    </bk>
    <bk>
      <extLst>
        <ext uri="{3e2802c4-a4d2-4d8b-9148-e3be6c30e623}">
          <xlrd:rvb i="4398"/>
        </ext>
      </extLst>
    </bk>
    <bk>
      <extLst>
        <ext uri="{3e2802c4-a4d2-4d8b-9148-e3be6c30e623}">
          <xlrd:rvb i="4399"/>
        </ext>
      </extLst>
    </bk>
    <bk>
      <extLst>
        <ext uri="{3e2802c4-a4d2-4d8b-9148-e3be6c30e623}">
          <xlrd:rvb i="4400"/>
        </ext>
      </extLst>
    </bk>
    <bk>
      <extLst>
        <ext uri="{3e2802c4-a4d2-4d8b-9148-e3be6c30e623}">
          <xlrd:rvb i="4401"/>
        </ext>
      </extLst>
    </bk>
    <bk>
      <extLst>
        <ext uri="{3e2802c4-a4d2-4d8b-9148-e3be6c30e623}">
          <xlrd:rvb i="4402"/>
        </ext>
      </extLst>
    </bk>
    <bk>
      <extLst>
        <ext uri="{3e2802c4-a4d2-4d8b-9148-e3be6c30e623}">
          <xlrd:rvb i="4403"/>
        </ext>
      </extLst>
    </bk>
    <bk>
      <extLst>
        <ext uri="{3e2802c4-a4d2-4d8b-9148-e3be6c30e623}">
          <xlrd:rvb i="4404"/>
        </ext>
      </extLst>
    </bk>
    <bk>
      <extLst>
        <ext uri="{3e2802c4-a4d2-4d8b-9148-e3be6c30e623}">
          <xlrd:rvb i="4405"/>
        </ext>
      </extLst>
    </bk>
    <bk>
      <extLst>
        <ext uri="{3e2802c4-a4d2-4d8b-9148-e3be6c30e623}">
          <xlrd:rvb i="4406"/>
        </ext>
      </extLst>
    </bk>
    <bk>
      <extLst>
        <ext uri="{3e2802c4-a4d2-4d8b-9148-e3be6c30e623}">
          <xlrd:rvb i="4407"/>
        </ext>
      </extLst>
    </bk>
    <bk>
      <extLst>
        <ext uri="{3e2802c4-a4d2-4d8b-9148-e3be6c30e623}">
          <xlrd:rvb i="4408"/>
        </ext>
      </extLst>
    </bk>
    <bk>
      <extLst>
        <ext uri="{3e2802c4-a4d2-4d8b-9148-e3be6c30e623}">
          <xlrd:rvb i="4409"/>
        </ext>
      </extLst>
    </bk>
    <bk>
      <extLst>
        <ext uri="{3e2802c4-a4d2-4d8b-9148-e3be6c30e623}">
          <xlrd:rvb i="4410"/>
        </ext>
      </extLst>
    </bk>
    <bk>
      <extLst>
        <ext uri="{3e2802c4-a4d2-4d8b-9148-e3be6c30e623}">
          <xlrd:rvb i="4411"/>
        </ext>
      </extLst>
    </bk>
    <bk>
      <extLst>
        <ext uri="{3e2802c4-a4d2-4d8b-9148-e3be6c30e623}">
          <xlrd:rvb i="4412"/>
        </ext>
      </extLst>
    </bk>
    <bk>
      <extLst>
        <ext uri="{3e2802c4-a4d2-4d8b-9148-e3be6c30e623}">
          <xlrd:rvb i="4413"/>
        </ext>
      </extLst>
    </bk>
    <bk>
      <extLst>
        <ext uri="{3e2802c4-a4d2-4d8b-9148-e3be6c30e623}">
          <xlrd:rvb i="4414"/>
        </ext>
      </extLst>
    </bk>
    <bk>
      <extLst>
        <ext uri="{3e2802c4-a4d2-4d8b-9148-e3be6c30e623}">
          <xlrd:rvb i="4415"/>
        </ext>
      </extLst>
    </bk>
    <bk>
      <extLst>
        <ext uri="{3e2802c4-a4d2-4d8b-9148-e3be6c30e623}">
          <xlrd:rvb i="4416"/>
        </ext>
      </extLst>
    </bk>
    <bk>
      <extLst>
        <ext uri="{3e2802c4-a4d2-4d8b-9148-e3be6c30e623}">
          <xlrd:rvb i="4417"/>
        </ext>
      </extLst>
    </bk>
    <bk>
      <extLst>
        <ext uri="{3e2802c4-a4d2-4d8b-9148-e3be6c30e623}">
          <xlrd:rvb i="4418"/>
        </ext>
      </extLst>
    </bk>
    <bk>
      <extLst>
        <ext uri="{3e2802c4-a4d2-4d8b-9148-e3be6c30e623}">
          <xlrd:rvb i="4419"/>
        </ext>
      </extLst>
    </bk>
    <bk>
      <extLst>
        <ext uri="{3e2802c4-a4d2-4d8b-9148-e3be6c30e623}">
          <xlrd:rvb i="4420"/>
        </ext>
      </extLst>
    </bk>
    <bk>
      <extLst>
        <ext uri="{3e2802c4-a4d2-4d8b-9148-e3be6c30e623}">
          <xlrd:rvb i="4421"/>
        </ext>
      </extLst>
    </bk>
    <bk>
      <extLst>
        <ext uri="{3e2802c4-a4d2-4d8b-9148-e3be6c30e623}">
          <xlrd:rvb i="4422"/>
        </ext>
      </extLst>
    </bk>
    <bk>
      <extLst>
        <ext uri="{3e2802c4-a4d2-4d8b-9148-e3be6c30e623}">
          <xlrd:rvb i="4423"/>
        </ext>
      </extLst>
    </bk>
    <bk>
      <extLst>
        <ext uri="{3e2802c4-a4d2-4d8b-9148-e3be6c30e623}">
          <xlrd:rvb i="4424"/>
        </ext>
      </extLst>
    </bk>
    <bk>
      <extLst>
        <ext uri="{3e2802c4-a4d2-4d8b-9148-e3be6c30e623}">
          <xlrd:rvb i="4425"/>
        </ext>
      </extLst>
    </bk>
    <bk>
      <extLst>
        <ext uri="{3e2802c4-a4d2-4d8b-9148-e3be6c30e623}">
          <xlrd:rvb i="4426"/>
        </ext>
      </extLst>
    </bk>
    <bk>
      <extLst>
        <ext uri="{3e2802c4-a4d2-4d8b-9148-e3be6c30e623}">
          <xlrd:rvb i="4427"/>
        </ext>
      </extLst>
    </bk>
    <bk>
      <extLst>
        <ext uri="{3e2802c4-a4d2-4d8b-9148-e3be6c30e623}">
          <xlrd:rvb i="4428"/>
        </ext>
      </extLst>
    </bk>
    <bk>
      <extLst>
        <ext uri="{3e2802c4-a4d2-4d8b-9148-e3be6c30e623}">
          <xlrd:rvb i="4429"/>
        </ext>
      </extLst>
    </bk>
    <bk>
      <extLst>
        <ext uri="{3e2802c4-a4d2-4d8b-9148-e3be6c30e623}">
          <xlrd:rvb i="4430"/>
        </ext>
      </extLst>
    </bk>
    <bk>
      <extLst>
        <ext uri="{3e2802c4-a4d2-4d8b-9148-e3be6c30e623}">
          <xlrd:rvb i="4431"/>
        </ext>
      </extLst>
    </bk>
    <bk>
      <extLst>
        <ext uri="{3e2802c4-a4d2-4d8b-9148-e3be6c30e623}">
          <xlrd:rvb i="4432"/>
        </ext>
      </extLst>
    </bk>
    <bk>
      <extLst>
        <ext uri="{3e2802c4-a4d2-4d8b-9148-e3be6c30e623}">
          <xlrd:rvb i="4433"/>
        </ext>
      </extLst>
    </bk>
    <bk>
      <extLst>
        <ext uri="{3e2802c4-a4d2-4d8b-9148-e3be6c30e623}">
          <xlrd:rvb i="4434"/>
        </ext>
      </extLst>
    </bk>
    <bk>
      <extLst>
        <ext uri="{3e2802c4-a4d2-4d8b-9148-e3be6c30e623}">
          <xlrd:rvb i="4435"/>
        </ext>
      </extLst>
    </bk>
    <bk>
      <extLst>
        <ext uri="{3e2802c4-a4d2-4d8b-9148-e3be6c30e623}">
          <xlrd:rvb i="4436"/>
        </ext>
      </extLst>
    </bk>
    <bk>
      <extLst>
        <ext uri="{3e2802c4-a4d2-4d8b-9148-e3be6c30e623}">
          <xlrd:rvb i="4437"/>
        </ext>
      </extLst>
    </bk>
    <bk>
      <extLst>
        <ext uri="{3e2802c4-a4d2-4d8b-9148-e3be6c30e623}">
          <xlrd:rvb i="4438"/>
        </ext>
      </extLst>
    </bk>
    <bk>
      <extLst>
        <ext uri="{3e2802c4-a4d2-4d8b-9148-e3be6c30e623}">
          <xlrd:rvb i="4439"/>
        </ext>
      </extLst>
    </bk>
    <bk>
      <extLst>
        <ext uri="{3e2802c4-a4d2-4d8b-9148-e3be6c30e623}">
          <xlrd:rvb i="4440"/>
        </ext>
      </extLst>
    </bk>
    <bk>
      <extLst>
        <ext uri="{3e2802c4-a4d2-4d8b-9148-e3be6c30e623}">
          <xlrd:rvb i="4441"/>
        </ext>
      </extLst>
    </bk>
    <bk>
      <extLst>
        <ext uri="{3e2802c4-a4d2-4d8b-9148-e3be6c30e623}">
          <xlrd:rvb i="4442"/>
        </ext>
      </extLst>
    </bk>
    <bk>
      <extLst>
        <ext uri="{3e2802c4-a4d2-4d8b-9148-e3be6c30e623}">
          <xlrd:rvb i="4443"/>
        </ext>
      </extLst>
    </bk>
    <bk>
      <extLst>
        <ext uri="{3e2802c4-a4d2-4d8b-9148-e3be6c30e623}">
          <xlrd:rvb i="4444"/>
        </ext>
      </extLst>
    </bk>
    <bk>
      <extLst>
        <ext uri="{3e2802c4-a4d2-4d8b-9148-e3be6c30e623}">
          <xlrd:rvb i="4445"/>
        </ext>
      </extLst>
    </bk>
    <bk>
      <extLst>
        <ext uri="{3e2802c4-a4d2-4d8b-9148-e3be6c30e623}">
          <xlrd:rvb i="4446"/>
        </ext>
      </extLst>
    </bk>
    <bk>
      <extLst>
        <ext uri="{3e2802c4-a4d2-4d8b-9148-e3be6c30e623}">
          <xlrd:rvb i="4447"/>
        </ext>
      </extLst>
    </bk>
    <bk>
      <extLst>
        <ext uri="{3e2802c4-a4d2-4d8b-9148-e3be6c30e623}">
          <xlrd:rvb i="4448"/>
        </ext>
      </extLst>
    </bk>
    <bk>
      <extLst>
        <ext uri="{3e2802c4-a4d2-4d8b-9148-e3be6c30e623}">
          <xlrd:rvb i="4449"/>
        </ext>
      </extLst>
    </bk>
    <bk>
      <extLst>
        <ext uri="{3e2802c4-a4d2-4d8b-9148-e3be6c30e623}">
          <xlrd:rvb i="4450"/>
        </ext>
      </extLst>
    </bk>
    <bk>
      <extLst>
        <ext uri="{3e2802c4-a4d2-4d8b-9148-e3be6c30e623}">
          <xlrd:rvb i="4451"/>
        </ext>
      </extLst>
    </bk>
    <bk>
      <extLst>
        <ext uri="{3e2802c4-a4d2-4d8b-9148-e3be6c30e623}">
          <xlrd:rvb i="4452"/>
        </ext>
      </extLst>
    </bk>
    <bk>
      <extLst>
        <ext uri="{3e2802c4-a4d2-4d8b-9148-e3be6c30e623}">
          <xlrd:rvb i="4453"/>
        </ext>
      </extLst>
    </bk>
    <bk>
      <extLst>
        <ext uri="{3e2802c4-a4d2-4d8b-9148-e3be6c30e623}">
          <xlrd:rvb i="4454"/>
        </ext>
      </extLst>
    </bk>
    <bk>
      <extLst>
        <ext uri="{3e2802c4-a4d2-4d8b-9148-e3be6c30e623}">
          <xlrd:rvb i="4455"/>
        </ext>
      </extLst>
    </bk>
    <bk>
      <extLst>
        <ext uri="{3e2802c4-a4d2-4d8b-9148-e3be6c30e623}">
          <xlrd:rvb i="4456"/>
        </ext>
      </extLst>
    </bk>
    <bk>
      <extLst>
        <ext uri="{3e2802c4-a4d2-4d8b-9148-e3be6c30e623}">
          <xlrd:rvb i="4457"/>
        </ext>
      </extLst>
    </bk>
    <bk>
      <extLst>
        <ext uri="{3e2802c4-a4d2-4d8b-9148-e3be6c30e623}">
          <xlrd:rvb i="4458"/>
        </ext>
      </extLst>
    </bk>
    <bk>
      <extLst>
        <ext uri="{3e2802c4-a4d2-4d8b-9148-e3be6c30e623}">
          <xlrd:rvb i="4459"/>
        </ext>
      </extLst>
    </bk>
    <bk>
      <extLst>
        <ext uri="{3e2802c4-a4d2-4d8b-9148-e3be6c30e623}">
          <xlrd:rvb i="4460"/>
        </ext>
      </extLst>
    </bk>
    <bk>
      <extLst>
        <ext uri="{3e2802c4-a4d2-4d8b-9148-e3be6c30e623}">
          <xlrd:rvb i="4461"/>
        </ext>
      </extLst>
    </bk>
    <bk>
      <extLst>
        <ext uri="{3e2802c4-a4d2-4d8b-9148-e3be6c30e623}">
          <xlrd:rvb i="4462"/>
        </ext>
      </extLst>
    </bk>
    <bk>
      <extLst>
        <ext uri="{3e2802c4-a4d2-4d8b-9148-e3be6c30e623}">
          <xlrd:rvb i="4463"/>
        </ext>
      </extLst>
    </bk>
    <bk>
      <extLst>
        <ext uri="{3e2802c4-a4d2-4d8b-9148-e3be6c30e623}">
          <xlrd:rvb i="4464"/>
        </ext>
      </extLst>
    </bk>
    <bk>
      <extLst>
        <ext uri="{3e2802c4-a4d2-4d8b-9148-e3be6c30e623}">
          <xlrd:rvb i="4465"/>
        </ext>
      </extLst>
    </bk>
    <bk>
      <extLst>
        <ext uri="{3e2802c4-a4d2-4d8b-9148-e3be6c30e623}">
          <xlrd:rvb i="4466"/>
        </ext>
      </extLst>
    </bk>
    <bk>
      <extLst>
        <ext uri="{3e2802c4-a4d2-4d8b-9148-e3be6c30e623}">
          <xlrd:rvb i="4467"/>
        </ext>
      </extLst>
    </bk>
    <bk>
      <extLst>
        <ext uri="{3e2802c4-a4d2-4d8b-9148-e3be6c30e623}">
          <xlrd:rvb i="4468"/>
        </ext>
      </extLst>
    </bk>
    <bk>
      <extLst>
        <ext uri="{3e2802c4-a4d2-4d8b-9148-e3be6c30e623}">
          <xlrd:rvb i="4469"/>
        </ext>
      </extLst>
    </bk>
    <bk>
      <extLst>
        <ext uri="{3e2802c4-a4d2-4d8b-9148-e3be6c30e623}">
          <xlrd:rvb i="4470"/>
        </ext>
      </extLst>
    </bk>
    <bk>
      <extLst>
        <ext uri="{3e2802c4-a4d2-4d8b-9148-e3be6c30e623}">
          <xlrd:rvb i="4471"/>
        </ext>
      </extLst>
    </bk>
    <bk>
      <extLst>
        <ext uri="{3e2802c4-a4d2-4d8b-9148-e3be6c30e623}">
          <xlrd:rvb i="4472"/>
        </ext>
      </extLst>
    </bk>
    <bk>
      <extLst>
        <ext uri="{3e2802c4-a4d2-4d8b-9148-e3be6c30e623}">
          <xlrd:rvb i="4473"/>
        </ext>
      </extLst>
    </bk>
    <bk>
      <extLst>
        <ext uri="{3e2802c4-a4d2-4d8b-9148-e3be6c30e623}">
          <xlrd:rvb i="4474"/>
        </ext>
      </extLst>
    </bk>
    <bk>
      <extLst>
        <ext uri="{3e2802c4-a4d2-4d8b-9148-e3be6c30e623}">
          <xlrd:rvb i="4475"/>
        </ext>
      </extLst>
    </bk>
    <bk>
      <extLst>
        <ext uri="{3e2802c4-a4d2-4d8b-9148-e3be6c30e623}">
          <xlrd:rvb i="4476"/>
        </ext>
      </extLst>
    </bk>
    <bk>
      <extLst>
        <ext uri="{3e2802c4-a4d2-4d8b-9148-e3be6c30e623}">
          <xlrd:rvb i="4477"/>
        </ext>
      </extLst>
    </bk>
    <bk>
      <extLst>
        <ext uri="{3e2802c4-a4d2-4d8b-9148-e3be6c30e623}">
          <xlrd:rvb i="4478"/>
        </ext>
      </extLst>
    </bk>
    <bk>
      <extLst>
        <ext uri="{3e2802c4-a4d2-4d8b-9148-e3be6c30e623}">
          <xlrd:rvb i="4479"/>
        </ext>
      </extLst>
    </bk>
    <bk>
      <extLst>
        <ext uri="{3e2802c4-a4d2-4d8b-9148-e3be6c30e623}">
          <xlrd:rvb i="4480"/>
        </ext>
      </extLst>
    </bk>
    <bk>
      <extLst>
        <ext uri="{3e2802c4-a4d2-4d8b-9148-e3be6c30e623}">
          <xlrd:rvb i="4481"/>
        </ext>
      </extLst>
    </bk>
    <bk>
      <extLst>
        <ext uri="{3e2802c4-a4d2-4d8b-9148-e3be6c30e623}">
          <xlrd:rvb i="4482"/>
        </ext>
      </extLst>
    </bk>
    <bk>
      <extLst>
        <ext uri="{3e2802c4-a4d2-4d8b-9148-e3be6c30e623}">
          <xlrd:rvb i="4483"/>
        </ext>
      </extLst>
    </bk>
    <bk>
      <extLst>
        <ext uri="{3e2802c4-a4d2-4d8b-9148-e3be6c30e623}">
          <xlrd:rvb i="4484"/>
        </ext>
      </extLst>
    </bk>
    <bk>
      <extLst>
        <ext uri="{3e2802c4-a4d2-4d8b-9148-e3be6c30e623}">
          <xlrd:rvb i="4485"/>
        </ext>
      </extLst>
    </bk>
    <bk>
      <extLst>
        <ext uri="{3e2802c4-a4d2-4d8b-9148-e3be6c30e623}">
          <xlrd:rvb i="4486"/>
        </ext>
      </extLst>
    </bk>
    <bk>
      <extLst>
        <ext uri="{3e2802c4-a4d2-4d8b-9148-e3be6c30e623}">
          <xlrd:rvb i="4487"/>
        </ext>
      </extLst>
    </bk>
    <bk>
      <extLst>
        <ext uri="{3e2802c4-a4d2-4d8b-9148-e3be6c30e623}">
          <xlrd:rvb i="4488"/>
        </ext>
      </extLst>
    </bk>
    <bk>
      <extLst>
        <ext uri="{3e2802c4-a4d2-4d8b-9148-e3be6c30e623}">
          <xlrd:rvb i="4489"/>
        </ext>
      </extLst>
    </bk>
    <bk>
      <extLst>
        <ext uri="{3e2802c4-a4d2-4d8b-9148-e3be6c30e623}">
          <xlrd:rvb i="4490"/>
        </ext>
      </extLst>
    </bk>
    <bk>
      <extLst>
        <ext uri="{3e2802c4-a4d2-4d8b-9148-e3be6c30e623}">
          <xlrd:rvb i="4491"/>
        </ext>
      </extLst>
    </bk>
    <bk>
      <extLst>
        <ext uri="{3e2802c4-a4d2-4d8b-9148-e3be6c30e623}">
          <xlrd:rvb i="4492"/>
        </ext>
      </extLst>
    </bk>
    <bk>
      <extLst>
        <ext uri="{3e2802c4-a4d2-4d8b-9148-e3be6c30e623}">
          <xlrd:rvb i="4493"/>
        </ext>
      </extLst>
    </bk>
    <bk>
      <extLst>
        <ext uri="{3e2802c4-a4d2-4d8b-9148-e3be6c30e623}">
          <xlrd:rvb i="4494"/>
        </ext>
      </extLst>
    </bk>
    <bk>
      <extLst>
        <ext uri="{3e2802c4-a4d2-4d8b-9148-e3be6c30e623}">
          <xlrd:rvb i="4495"/>
        </ext>
      </extLst>
    </bk>
    <bk>
      <extLst>
        <ext uri="{3e2802c4-a4d2-4d8b-9148-e3be6c30e623}">
          <xlrd:rvb i="4496"/>
        </ext>
      </extLst>
    </bk>
    <bk>
      <extLst>
        <ext uri="{3e2802c4-a4d2-4d8b-9148-e3be6c30e623}">
          <xlrd:rvb i="4497"/>
        </ext>
      </extLst>
    </bk>
    <bk>
      <extLst>
        <ext uri="{3e2802c4-a4d2-4d8b-9148-e3be6c30e623}">
          <xlrd:rvb i="4498"/>
        </ext>
      </extLst>
    </bk>
    <bk>
      <extLst>
        <ext uri="{3e2802c4-a4d2-4d8b-9148-e3be6c30e623}">
          <xlrd:rvb i="4499"/>
        </ext>
      </extLst>
    </bk>
    <bk>
      <extLst>
        <ext uri="{3e2802c4-a4d2-4d8b-9148-e3be6c30e623}">
          <xlrd:rvb i="4500"/>
        </ext>
      </extLst>
    </bk>
    <bk>
      <extLst>
        <ext uri="{3e2802c4-a4d2-4d8b-9148-e3be6c30e623}">
          <xlrd:rvb i="4501"/>
        </ext>
      </extLst>
    </bk>
    <bk>
      <extLst>
        <ext uri="{3e2802c4-a4d2-4d8b-9148-e3be6c30e623}">
          <xlrd:rvb i="4502"/>
        </ext>
      </extLst>
    </bk>
    <bk>
      <extLst>
        <ext uri="{3e2802c4-a4d2-4d8b-9148-e3be6c30e623}">
          <xlrd:rvb i="4503"/>
        </ext>
      </extLst>
    </bk>
    <bk>
      <extLst>
        <ext uri="{3e2802c4-a4d2-4d8b-9148-e3be6c30e623}">
          <xlrd:rvb i="4504"/>
        </ext>
      </extLst>
    </bk>
    <bk>
      <extLst>
        <ext uri="{3e2802c4-a4d2-4d8b-9148-e3be6c30e623}">
          <xlrd:rvb i="4505"/>
        </ext>
      </extLst>
    </bk>
    <bk>
      <extLst>
        <ext uri="{3e2802c4-a4d2-4d8b-9148-e3be6c30e623}">
          <xlrd:rvb i="4506"/>
        </ext>
      </extLst>
    </bk>
    <bk>
      <extLst>
        <ext uri="{3e2802c4-a4d2-4d8b-9148-e3be6c30e623}">
          <xlrd:rvb i="4507"/>
        </ext>
      </extLst>
    </bk>
    <bk>
      <extLst>
        <ext uri="{3e2802c4-a4d2-4d8b-9148-e3be6c30e623}">
          <xlrd:rvb i="4508"/>
        </ext>
      </extLst>
    </bk>
    <bk>
      <extLst>
        <ext uri="{3e2802c4-a4d2-4d8b-9148-e3be6c30e623}">
          <xlrd:rvb i="4509"/>
        </ext>
      </extLst>
    </bk>
    <bk>
      <extLst>
        <ext uri="{3e2802c4-a4d2-4d8b-9148-e3be6c30e623}">
          <xlrd:rvb i="4510"/>
        </ext>
      </extLst>
    </bk>
    <bk>
      <extLst>
        <ext uri="{3e2802c4-a4d2-4d8b-9148-e3be6c30e623}">
          <xlrd:rvb i="4511"/>
        </ext>
      </extLst>
    </bk>
    <bk>
      <extLst>
        <ext uri="{3e2802c4-a4d2-4d8b-9148-e3be6c30e623}">
          <xlrd:rvb i="4512"/>
        </ext>
      </extLst>
    </bk>
    <bk>
      <extLst>
        <ext uri="{3e2802c4-a4d2-4d8b-9148-e3be6c30e623}">
          <xlrd:rvb i="4513"/>
        </ext>
      </extLst>
    </bk>
    <bk>
      <extLst>
        <ext uri="{3e2802c4-a4d2-4d8b-9148-e3be6c30e623}">
          <xlrd:rvb i="4514"/>
        </ext>
      </extLst>
    </bk>
    <bk>
      <extLst>
        <ext uri="{3e2802c4-a4d2-4d8b-9148-e3be6c30e623}">
          <xlrd:rvb i="4515"/>
        </ext>
      </extLst>
    </bk>
    <bk>
      <extLst>
        <ext uri="{3e2802c4-a4d2-4d8b-9148-e3be6c30e623}">
          <xlrd:rvb i="4516"/>
        </ext>
      </extLst>
    </bk>
    <bk>
      <extLst>
        <ext uri="{3e2802c4-a4d2-4d8b-9148-e3be6c30e623}">
          <xlrd:rvb i="4517"/>
        </ext>
      </extLst>
    </bk>
    <bk>
      <extLst>
        <ext uri="{3e2802c4-a4d2-4d8b-9148-e3be6c30e623}">
          <xlrd:rvb i="4518"/>
        </ext>
      </extLst>
    </bk>
    <bk>
      <extLst>
        <ext uri="{3e2802c4-a4d2-4d8b-9148-e3be6c30e623}">
          <xlrd:rvb i="4519"/>
        </ext>
      </extLst>
    </bk>
    <bk>
      <extLst>
        <ext uri="{3e2802c4-a4d2-4d8b-9148-e3be6c30e623}">
          <xlrd:rvb i="4520"/>
        </ext>
      </extLst>
    </bk>
    <bk>
      <extLst>
        <ext uri="{3e2802c4-a4d2-4d8b-9148-e3be6c30e623}">
          <xlrd:rvb i="4521"/>
        </ext>
      </extLst>
    </bk>
    <bk>
      <extLst>
        <ext uri="{3e2802c4-a4d2-4d8b-9148-e3be6c30e623}">
          <xlrd:rvb i="4522"/>
        </ext>
      </extLst>
    </bk>
    <bk>
      <extLst>
        <ext uri="{3e2802c4-a4d2-4d8b-9148-e3be6c30e623}">
          <xlrd:rvb i="4523"/>
        </ext>
      </extLst>
    </bk>
    <bk>
      <extLst>
        <ext uri="{3e2802c4-a4d2-4d8b-9148-e3be6c30e623}">
          <xlrd:rvb i="4524"/>
        </ext>
      </extLst>
    </bk>
    <bk>
      <extLst>
        <ext uri="{3e2802c4-a4d2-4d8b-9148-e3be6c30e623}">
          <xlrd:rvb i="4525"/>
        </ext>
      </extLst>
    </bk>
    <bk>
      <extLst>
        <ext uri="{3e2802c4-a4d2-4d8b-9148-e3be6c30e623}">
          <xlrd:rvb i="4526"/>
        </ext>
      </extLst>
    </bk>
    <bk>
      <extLst>
        <ext uri="{3e2802c4-a4d2-4d8b-9148-e3be6c30e623}">
          <xlrd:rvb i="4527"/>
        </ext>
      </extLst>
    </bk>
    <bk>
      <extLst>
        <ext uri="{3e2802c4-a4d2-4d8b-9148-e3be6c30e623}">
          <xlrd:rvb i="4528"/>
        </ext>
      </extLst>
    </bk>
    <bk>
      <extLst>
        <ext uri="{3e2802c4-a4d2-4d8b-9148-e3be6c30e623}">
          <xlrd:rvb i="4529"/>
        </ext>
      </extLst>
    </bk>
    <bk>
      <extLst>
        <ext uri="{3e2802c4-a4d2-4d8b-9148-e3be6c30e623}">
          <xlrd:rvb i="4530"/>
        </ext>
      </extLst>
    </bk>
    <bk>
      <extLst>
        <ext uri="{3e2802c4-a4d2-4d8b-9148-e3be6c30e623}">
          <xlrd:rvb i="4531"/>
        </ext>
      </extLst>
    </bk>
    <bk>
      <extLst>
        <ext uri="{3e2802c4-a4d2-4d8b-9148-e3be6c30e623}">
          <xlrd:rvb i="4532"/>
        </ext>
      </extLst>
    </bk>
    <bk>
      <extLst>
        <ext uri="{3e2802c4-a4d2-4d8b-9148-e3be6c30e623}">
          <xlrd:rvb i="4533"/>
        </ext>
      </extLst>
    </bk>
    <bk>
      <extLst>
        <ext uri="{3e2802c4-a4d2-4d8b-9148-e3be6c30e623}">
          <xlrd:rvb i="4534"/>
        </ext>
      </extLst>
    </bk>
    <bk>
      <extLst>
        <ext uri="{3e2802c4-a4d2-4d8b-9148-e3be6c30e623}">
          <xlrd:rvb i="4535"/>
        </ext>
      </extLst>
    </bk>
    <bk>
      <extLst>
        <ext uri="{3e2802c4-a4d2-4d8b-9148-e3be6c30e623}">
          <xlrd:rvb i="4536"/>
        </ext>
      </extLst>
    </bk>
    <bk>
      <extLst>
        <ext uri="{3e2802c4-a4d2-4d8b-9148-e3be6c30e623}">
          <xlrd:rvb i="4537"/>
        </ext>
      </extLst>
    </bk>
    <bk>
      <extLst>
        <ext uri="{3e2802c4-a4d2-4d8b-9148-e3be6c30e623}">
          <xlrd:rvb i="4538"/>
        </ext>
      </extLst>
    </bk>
    <bk>
      <extLst>
        <ext uri="{3e2802c4-a4d2-4d8b-9148-e3be6c30e623}">
          <xlrd:rvb i="4539"/>
        </ext>
      </extLst>
    </bk>
    <bk>
      <extLst>
        <ext uri="{3e2802c4-a4d2-4d8b-9148-e3be6c30e623}">
          <xlrd:rvb i="4540"/>
        </ext>
      </extLst>
    </bk>
    <bk>
      <extLst>
        <ext uri="{3e2802c4-a4d2-4d8b-9148-e3be6c30e623}">
          <xlrd:rvb i="4541"/>
        </ext>
      </extLst>
    </bk>
    <bk>
      <extLst>
        <ext uri="{3e2802c4-a4d2-4d8b-9148-e3be6c30e623}">
          <xlrd:rvb i="4542"/>
        </ext>
      </extLst>
    </bk>
    <bk>
      <extLst>
        <ext uri="{3e2802c4-a4d2-4d8b-9148-e3be6c30e623}">
          <xlrd:rvb i="4543"/>
        </ext>
      </extLst>
    </bk>
    <bk>
      <extLst>
        <ext uri="{3e2802c4-a4d2-4d8b-9148-e3be6c30e623}">
          <xlrd:rvb i="4544"/>
        </ext>
      </extLst>
    </bk>
    <bk>
      <extLst>
        <ext uri="{3e2802c4-a4d2-4d8b-9148-e3be6c30e623}">
          <xlrd:rvb i="4545"/>
        </ext>
      </extLst>
    </bk>
    <bk>
      <extLst>
        <ext uri="{3e2802c4-a4d2-4d8b-9148-e3be6c30e623}">
          <xlrd:rvb i="4546"/>
        </ext>
      </extLst>
    </bk>
    <bk>
      <extLst>
        <ext uri="{3e2802c4-a4d2-4d8b-9148-e3be6c30e623}">
          <xlrd:rvb i="4547"/>
        </ext>
      </extLst>
    </bk>
    <bk>
      <extLst>
        <ext uri="{3e2802c4-a4d2-4d8b-9148-e3be6c30e623}">
          <xlrd:rvb i="4548"/>
        </ext>
      </extLst>
    </bk>
    <bk>
      <extLst>
        <ext uri="{3e2802c4-a4d2-4d8b-9148-e3be6c30e623}">
          <xlrd:rvb i="4549"/>
        </ext>
      </extLst>
    </bk>
    <bk>
      <extLst>
        <ext uri="{3e2802c4-a4d2-4d8b-9148-e3be6c30e623}">
          <xlrd:rvb i="4550"/>
        </ext>
      </extLst>
    </bk>
    <bk>
      <extLst>
        <ext uri="{3e2802c4-a4d2-4d8b-9148-e3be6c30e623}">
          <xlrd:rvb i="4551"/>
        </ext>
      </extLst>
    </bk>
    <bk>
      <extLst>
        <ext uri="{3e2802c4-a4d2-4d8b-9148-e3be6c30e623}">
          <xlrd:rvb i="4552"/>
        </ext>
      </extLst>
    </bk>
    <bk>
      <extLst>
        <ext uri="{3e2802c4-a4d2-4d8b-9148-e3be6c30e623}">
          <xlrd:rvb i="4553"/>
        </ext>
      </extLst>
    </bk>
    <bk>
      <extLst>
        <ext uri="{3e2802c4-a4d2-4d8b-9148-e3be6c30e623}">
          <xlrd:rvb i="4554"/>
        </ext>
      </extLst>
    </bk>
    <bk>
      <extLst>
        <ext uri="{3e2802c4-a4d2-4d8b-9148-e3be6c30e623}">
          <xlrd:rvb i="4555"/>
        </ext>
      </extLst>
    </bk>
    <bk>
      <extLst>
        <ext uri="{3e2802c4-a4d2-4d8b-9148-e3be6c30e623}">
          <xlrd:rvb i="4556"/>
        </ext>
      </extLst>
    </bk>
    <bk>
      <extLst>
        <ext uri="{3e2802c4-a4d2-4d8b-9148-e3be6c30e623}">
          <xlrd:rvb i="4557"/>
        </ext>
      </extLst>
    </bk>
    <bk>
      <extLst>
        <ext uri="{3e2802c4-a4d2-4d8b-9148-e3be6c30e623}">
          <xlrd:rvb i="4558"/>
        </ext>
      </extLst>
    </bk>
    <bk>
      <extLst>
        <ext uri="{3e2802c4-a4d2-4d8b-9148-e3be6c30e623}">
          <xlrd:rvb i="4559"/>
        </ext>
      </extLst>
    </bk>
    <bk>
      <extLst>
        <ext uri="{3e2802c4-a4d2-4d8b-9148-e3be6c30e623}">
          <xlrd:rvb i="4560"/>
        </ext>
      </extLst>
    </bk>
    <bk>
      <extLst>
        <ext uri="{3e2802c4-a4d2-4d8b-9148-e3be6c30e623}">
          <xlrd:rvb i="4561"/>
        </ext>
      </extLst>
    </bk>
    <bk>
      <extLst>
        <ext uri="{3e2802c4-a4d2-4d8b-9148-e3be6c30e623}">
          <xlrd:rvb i="4562"/>
        </ext>
      </extLst>
    </bk>
    <bk>
      <extLst>
        <ext uri="{3e2802c4-a4d2-4d8b-9148-e3be6c30e623}">
          <xlrd:rvb i="4563"/>
        </ext>
      </extLst>
    </bk>
    <bk>
      <extLst>
        <ext uri="{3e2802c4-a4d2-4d8b-9148-e3be6c30e623}">
          <xlrd:rvb i="4564"/>
        </ext>
      </extLst>
    </bk>
    <bk>
      <extLst>
        <ext uri="{3e2802c4-a4d2-4d8b-9148-e3be6c30e623}">
          <xlrd:rvb i="4565"/>
        </ext>
      </extLst>
    </bk>
    <bk>
      <extLst>
        <ext uri="{3e2802c4-a4d2-4d8b-9148-e3be6c30e623}">
          <xlrd:rvb i="4566"/>
        </ext>
      </extLst>
    </bk>
    <bk>
      <extLst>
        <ext uri="{3e2802c4-a4d2-4d8b-9148-e3be6c30e623}">
          <xlrd:rvb i="4567"/>
        </ext>
      </extLst>
    </bk>
    <bk>
      <extLst>
        <ext uri="{3e2802c4-a4d2-4d8b-9148-e3be6c30e623}">
          <xlrd:rvb i="4568"/>
        </ext>
      </extLst>
    </bk>
    <bk>
      <extLst>
        <ext uri="{3e2802c4-a4d2-4d8b-9148-e3be6c30e623}">
          <xlrd:rvb i="4569"/>
        </ext>
      </extLst>
    </bk>
    <bk>
      <extLst>
        <ext uri="{3e2802c4-a4d2-4d8b-9148-e3be6c30e623}">
          <xlrd:rvb i="4570"/>
        </ext>
      </extLst>
    </bk>
    <bk>
      <extLst>
        <ext uri="{3e2802c4-a4d2-4d8b-9148-e3be6c30e623}">
          <xlrd:rvb i="4571"/>
        </ext>
      </extLst>
    </bk>
    <bk>
      <extLst>
        <ext uri="{3e2802c4-a4d2-4d8b-9148-e3be6c30e623}">
          <xlrd:rvb i="4572"/>
        </ext>
      </extLst>
    </bk>
    <bk>
      <extLst>
        <ext uri="{3e2802c4-a4d2-4d8b-9148-e3be6c30e623}">
          <xlrd:rvb i="4573"/>
        </ext>
      </extLst>
    </bk>
    <bk>
      <extLst>
        <ext uri="{3e2802c4-a4d2-4d8b-9148-e3be6c30e623}">
          <xlrd:rvb i="4574"/>
        </ext>
      </extLst>
    </bk>
    <bk>
      <extLst>
        <ext uri="{3e2802c4-a4d2-4d8b-9148-e3be6c30e623}">
          <xlrd:rvb i="4575"/>
        </ext>
      </extLst>
    </bk>
    <bk>
      <extLst>
        <ext uri="{3e2802c4-a4d2-4d8b-9148-e3be6c30e623}">
          <xlrd:rvb i="4576"/>
        </ext>
      </extLst>
    </bk>
    <bk>
      <extLst>
        <ext uri="{3e2802c4-a4d2-4d8b-9148-e3be6c30e623}">
          <xlrd:rvb i="4577"/>
        </ext>
      </extLst>
    </bk>
    <bk>
      <extLst>
        <ext uri="{3e2802c4-a4d2-4d8b-9148-e3be6c30e623}">
          <xlrd:rvb i="4578"/>
        </ext>
      </extLst>
    </bk>
    <bk>
      <extLst>
        <ext uri="{3e2802c4-a4d2-4d8b-9148-e3be6c30e623}">
          <xlrd:rvb i="4579"/>
        </ext>
      </extLst>
    </bk>
    <bk>
      <extLst>
        <ext uri="{3e2802c4-a4d2-4d8b-9148-e3be6c30e623}">
          <xlrd:rvb i="4580"/>
        </ext>
      </extLst>
    </bk>
    <bk>
      <extLst>
        <ext uri="{3e2802c4-a4d2-4d8b-9148-e3be6c30e623}">
          <xlrd:rvb i="4581"/>
        </ext>
      </extLst>
    </bk>
    <bk>
      <extLst>
        <ext uri="{3e2802c4-a4d2-4d8b-9148-e3be6c30e623}">
          <xlrd:rvb i="4582"/>
        </ext>
      </extLst>
    </bk>
    <bk>
      <extLst>
        <ext uri="{3e2802c4-a4d2-4d8b-9148-e3be6c30e623}">
          <xlrd:rvb i="4583"/>
        </ext>
      </extLst>
    </bk>
    <bk>
      <extLst>
        <ext uri="{3e2802c4-a4d2-4d8b-9148-e3be6c30e623}">
          <xlrd:rvb i="4584"/>
        </ext>
      </extLst>
    </bk>
    <bk>
      <extLst>
        <ext uri="{3e2802c4-a4d2-4d8b-9148-e3be6c30e623}">
          <xlrd:rvb i="4585"/>
        </ext>
      </extLst>
    </bk>
    <bk>
      <extLst>
        <ext uri="{3e2802c4-a4d2-4d8b-9148-e3be6c30e623}">
          <xlrd:rvb i="4586"/>
        </ext>
      </extLst>
    </bk>
    <bk>
      <extLst>
        <ext uri="{3e2802c4-a4d2-4d8b-9148-e3be6c30e623}">
          <xlrd:rvb i="4587"/>
        </ext>
      </extLst>
    </bk>
    <bk>
      <extLst>
        <ext uri="{3e2802c4-a4d2-4d8b-9148-e3be6c30e623}">
          <xlrd:rvb i="4588"/>
        </ext>
      </extLst>
    </bk>
    <bk>
      <extLst>
        <ext uri="{3e2802c4-a4d2-4d8b-9148-e3be6c30e623}">
          <xlrd:rvb i="4589"/>
        </ext>
      </extLst>
    </bk>
    <bk>
      <extLst>
        <ext uri="{3e2802c4-a4d2-4d8b-9148-e3be6c30e623}">
          <xlrd:rvb i="4590"/>
        </ext>
      </extLst>
    </bk>
    <bk>
      <extLst>
        <ext uri="{3e2802c4-a4d2-4d8b-9148-e3be6c30e623}">
          <xlrd:rvb i="4591"/>
        </ext>
      </extLst>
    </bk>
    <bk>
      <extLst>
        <ext uri="{3e2802c4-a4d2-4d8b-9148-e3be6c30e623}">
          <xlrd:rvb i="4592"/>
        </ext>
      </extLst>
    </bk>
    <bk>
      <extLst>
        <ext uri="{3e2802c4-a4d2-4d8b-9148-e3be6c30e623}">
          <xlrd:rvb i="4593"/>
        </ext>
      </extLst>
    </bk>
    <bk>
      <extLst>
        <ext uri="{3e2802c4-a4d2-4d8b-9148-e3be6c30e623}">
          <xlrd:rvb i="4594"/>
        </ext>
      </extLst>
    </bk>
    <bk>
      <extLst>
        <ext uri="{3e2802c4-a4d2-4d8b-9148-e3be6c30e623}">
          <xlrd:rvb i="4595"/>
        </ext>
      </extLst>
    </bk>
    <bk>
      <extLst>
        <ext uri="{3e2802c4-a4d2-4d8b-9148-e3be6c30e623}">
          <xlrd:rvb i="4596"/>
        </ext>
      </extLst>
    </bk>
    <bk>
      <extLst>
        <ext uri="{3e2802c4-a4d2-4d8b-9148-e3be6c30e623}">
          <xlrd:rvb i="4597"/>
        </ext>
      </extLst>
    </bk>
    <bk>
      <extLst>
        <ext uri="{3e2802c4-a4d2-4d8b-9148-e3be6c30e623}">
          <xlrd:rvb i="4598"/>
        </ext>
      </extLst>
    </bk>
    <bk>
      <extLst>
        <ext uri="{3e2802c4-a4d2-4d8b-9148-e3be6c30e623}">
          <xlrd:rvb i="4599"/>
        </ext>
      </extLst>
    </bk>
    <bk>
      <extLst>
        <ext uri="{3e2802c4-a4d2-4d8b-9148-e3be6c30e623}">
          <xlrd:rvb i="4600"/>
        </ext>
      </extLst>
    </bk>
    <bk>
      <extLst>
        <ext uri="{3e2802c4-a4d2-4d8b-9148-e3be6c30e623}">
          <xlrd:rvb i="4601"/>
        </ext>
      </extLst>
    </bk>
    <bk>
      <extLst>
        <ext uri="{3e2802c4-a4d2-4d8b-9148-e3be6c30e623}">
          <xlrd:rvb i="4602"/>
        </ext>
      </extLst>
    </bk>
    <bk>
      <extLst>
        <ext uri="{3e2802c4-a4d2-4d8b-9148-e3be6c30e623}">
          <xlrd:rvb i="4603"/>
        </ext>
      </extLst>
    </bk>
    <bk>
      <extLst>
        <ext uri="{3e2802c4-a4d2-4d8b-9148-e3be6c30e623}">
          <xlrd:rvb i="4604"/>
        </ext>
      </extLst>
    </bk>
    <bk>
      <extLst>
        <ext uri="{3e2802c4-a4d2-4d8b-9148-e3be6c30e623}">
          <xlrd:rvb i="4605"/>
        </ext>
      </extLst>
    </bk>
    <bk>
      <extLst>
        <ext uri="{3e2802c4-a4d2-4d8b-9148-e3be6c30e623}">
          <xlrd:rvb i="4606"/>
        </ext>
      </extLst>
    </bk>
    <bk>
      <extLst>
        <ext uri="{3e2802c4-a4d2-4d8b-9148-e3be6c30e623}">
          <xlrd:rvb i="4607"/>
        </ext>
      </extLst>
    </bk>
    <bk>
      <extLst>
        <ext uri="{3e2802c4-a4d2-4d8b-9148-e3be6c30e623}">
          <xlrd:rvb i="4608"/>
        </ext>
      </extLst>
    </bk>
    <bk>
      <extLst>
        <ext uri="{3e2802c4-a4d2-4d8b-9148-e3be6c30e623}">
          <xlrd:rvb i="4609"/>
        </ext>
      </extLst>
    </bk>
    <bk>
      <extLst>
        <ext uri="{3e2802c4-a4d2-4d8b-9148-e3be6c30e623}">
          <xlrd:rvb i="4610"/>
        </ext>
      </extLst>
    </bk>
    <bk>
      <extLst>
        <ext uri="{3e2802c4-a4d2-4d8b-9148-e3be6c30e623}">
          <xlrd:rvb i="4611"/>
        </ext>
      </extLst>
    </bk>
    <bk>
      <extLst>
        <ext uri="{3e2802c4-a4d2-4d8b-9148-e3be6c30e623}">
          <xlrd:rvb i="4612"/>
        </ext>
      </extLst>
    </bk>
    <bk>
      <extLst>
        <ext uri="{3e2802c4-a4d2-4d8b-9148-e3be6c30e623}">
          <xlrd:rvb i="4613"/>
        </ext>
      </extLst>
    </bk>
    <bk>
      <extLst>
        <ext uri="{3e2802c4-a4d2-4d8b-9148-e3be6c30e623}">
          <xlrd:rvb i="4614"/>
        </ext>
      </extLst>
    </bk>
    <bk>
      <extLst>
        <ext uri="{3e2802c4-a4d2-4d8b-9148-e3be6c30e623}">
          <xlrd:rvb i="4615"/>
        </ext>
      </extLst>
    </bk>
    <bk>
      <extLst>
        <ext uri="{3e2802c4-a4d2-4d8b-9148-e3be6c30e623}">
          <xlrd:rvb i="4616"/>
        </ext>
      </extLst>
    </bk>
    <bk>
      <extLst>
        <ext uri="{3e2802c4-a4d2-4d8b-9148-e3be6c30e623}">
          <xlrd:rvb i="4617"/>
        </ext>
      </extLst>
    </bk>
    <bk>
      <extLst>
        <ext uri="{3e2802c4-a4d2-4d8b-9148-e3be6c30e623}">
          <xlrd:rvb i="4618"/>
        </ext>
      </extLst>
    </bk>
    <bk>
      <extLst>
        <ext uri="{3e2802c4-a4d2-4d8b-9148-e3be6c30e623}">
          <xlrd:rvb i="4619"/>
        </ext>
      </extLst>
    </bk>
    <bk>
      <extLst>
        <ext uri="{3e2802c4-a4d2-4d8b-9148-e3be6c30e623}">
          <xlrd:rvb i="4620"/>
        </ext>
      </extLst>
    </bk>
    <bk>
      <extLst>
        <ext uri="{3e2802c4-a4d2-4d8b-9148-e3be6c30e623}">
          <xlrd:rvb i="4621"/>
        </ext>
      </extLst>
    </bk>
    <bk>
      <extLst>
        <ext uri="{3e2802c4-a4d2-4d8b-9148-e3be6c30e623}">
          <xlrd:rvb i="4622"/>
        </ext>
      </extLst>
    </bk>
    <bk>
      <extLst>
        <ext uri="{3e2802c4-a4d2-4d8b-9148-e3be6c30e623}">
          <xlrd:rvb i="4623"/>
        </ext>
      </extLst>
    </bk>
    <bk>
      <extLst>
        <ext uri="{3e2802c4-a4d2-4d8b-9148-e3be6c30e623}">
          <xlrd:rvb i="4624"/>
        </ext>
      </extLst>
    </bk>
    <bk>
      <extLst>
        <ext uri="{3e2802c4-a4d2-4d8b-9148-e3be6c30e623}">
          <xlrd:rvb i="4625"/>
        </ext>
      </extLst>
    </bk>
    <bk>
      <extLst>
        <ext uri="{3e2802c4-a4d2-4d8b-9148-e3be6c30e623}">
          <xlrd:rvb i="4626"/>
        </ext>
      </extLst>
    </bk>
    <bk>
      <extLst>
        <ext uri="{3e2802c4-a4d2-4d8b-9148-e3be6c30e623}">
          <xlrd:rvb i="4627"/>
        </ext>
      </extLst>
    </bk>
    <bk>
      <extLst>
        <ext uri="{3e2802c4-a4d2-4d8b-9148-e3be6c30e623}">
          <xlrd:rvb i="4628"/>
        </ext>
      </extLst>
    </bk>
    <bk>
      <extLst>
        <ext uri="{3e2802c4-a4d2-4d8b-9148-e3be6c30e623}">
          <xlrd:rvb i="4629"/>
        </ext>
      </extLst>
    </bk>
    <bk>
      <extLst>
        <ext uri="{3e2802c4-a4d2-4d8b-9148-e3be6c30e623}">
          <xlrd:rvb i="4630"/>
        </ext>
      </extLst>
    </bk>
    <bk>
      <extLst>
        <ext uri="{3e2802c4-a4d2-4d8b-9148-e3be6c30e623}">
          <xlrd:rvb i="4631"/>
        </ext>
      </extLst>
    </bk>
    <bk>
      <extLst>
        <ext uri="{3e2802c4-a4d2-4d8b-9148-e3be6c30e623}">
          <xlrd:rvb i="4632"/>
        </ext>
      </extLst>
    </bk>
    <bk>
      <extLst>
        <ext uri="{3e2802c4-a4d2-4d8b-9148-e3be6c30e623}">
          <xlrd:rvb i="4633"/>
        </ext>
      </extLst>
    </bk>
    <bk>
      <extLst>
        <ext uri="{3e2802c4-a4d2-4d8b-9148-e3be6c30e623}">
          <xlrd:rvb i="4634"/>
        </ext>
      </extLst>
    </bk>
    <bk>
      <extLst>
        <ext uri="{3e2802c4-a4d2-4d8b-9148-e3be6c30e623}">
          <xlrd:rvb i="4635"/>
        </ext>
      </extLst>
    </bk>
    <bk>
      <extLst>
        <ext uri="{3e2802c4-a4d2-4d8b-9148-e3be6c30e623}">
          <xlrd:rvb i="4636"/>
        </ext>
      </extLst>
    </bk>
    <bk>
      <extLst>
        <ext uri="{3e2802c4-a4d2-4d8b-9148-e3be6c30e623}">
          <xlrd:rvb i="4637"/>
        </ext>
      </extLst>
    </bk>
    <bk>
      <extLst>
        <ext uri="{3e2802c4-a4d2-4d8b-9148-e3be6c30e623}">
          <xlrd:rvb i="4638"/>
        </ext>
      </extLst>
    </bk>
    <bk>
      <extLst>
        <ext uri="{3e2802c4-a4d2-4d8b-9148-e3be6c30e623}">
          <xlrd:rvb i="4639"/>
        </ext>
      </extLst>
    </bk>
    <bk>
      <extLst>
        <ext uri="{3e2802c4-a4d2-4d8b-9148-e3be6c30e623}">
          <xlrd:rvb i="4640"/>
        </ext>
      </extLst>
    </bk>
    <bk>
      <extLst>
        <ext uri="{3e2802c4-a4d2-4d8b-9148-e3be6c30e623}">
          <xlrd:rvb i="4641"/>
        </ext>
      </extLst>
    </bk>
    <bk>
      <extLst>
        <ext uri="{3e2802c4-a4d2-4d8b-9148-e3be6c30e623}">
          <xlrd:rvb i="4642"/>
        </ext>
      </extLst>
    </bk>
    <bk>
      <extLst>
        <ext uri="{3e2802c4-a4d2-4d8b-9148-e3be6c30e623}">
          <xlrd:rvb i="4643"/>
        </ext>
      </extLst>
    </bk>
    <bk>
      <extLst>
        <ext uri="{3e2802c4-a4d2-4d8b-9148-e3be6c30e623}">
          <xlrd:rvb i="4644"/>
        </ext>
      </extLst>
    </bk>
    <bk>
      <extLst>
        <ext uri="{3e2802c4-a4d2-4d8b-9148-e3be6c30e623}">
          <xlrd:rvb i="4645"/>
        </ext>
      </extLst>
    </bk>
    <bk>
      <extLst>
        <ext uri="{3e2802c4-a4d2-4d8b-9148-e3be6c30e623}">
          <xlrd:rvb i="4646"/>
        </ext>
      </extLst>
    </bk>
    <bk>
      <extLst>
        <ext uri="{3e2802c4-a4d2-4d8b-9148-e3be6c30e623}">
          <xlrd:rvb i="4647"/>
        </ext>
      </extLst>
    </bk>
    <bk>
      <extLst>
        <ext uri="{3e2802c4-a4d2-4d8b-9148-e3be6c30e623}">
          <xlrd:rvb i="4648"/>
        </ext>
      </extLst>
    </bk>
    <bk>
      <extLst>
        <ext uri="{3e2802c4-a4d2-4d8b-9148-e3be6c30e623}">
          <xlrd:rvb i="4649"/>
        </ext>
      </extLst>
    </bk>
    <bk>
      <extLst>
        <ext uri="{3e2802c4-a4d2-4d8b-9148-e3be6c30e623}">
          <xlrd:rvb i="4650"/>
        </ext>
      </extLst>
    </bk>
    <bk>
      <extLst>
        <ext uri="{3e2802c4-a4d2-4d8b-9148-e3be6c30e623}">
          <xlrd:rvb i="4651"/>
        </ext>
      </extLst>
    </bk>
    <bk>
      <extLst>
        <ext uri="{3e2802c4-a4d2-4d8b-9148-e3be6c30e623}">
          <xlrd:rvb i="4652"/>
        </ext>
      </extLst>
    </bk>
    <bk>
      <extLst>
        <ext uri="{3e2802c4-a4d2-4d8b-9148-e3be6c30e623}">
          <xlrd:rvb i="4653"/>
        </ext>
      </extLst>
    </bk>
    <bk>
      <extLst>
        <ext uri="{3e2802c4-a4d2-4d8b-9148-e3be6c30e623}">
          <xlrd:rvb i="4654"/>
        </ext>
      </extLst>
    </bk>
    <bk>
      <extLst>
        <ext uri="{3e2802c4-a4d2-4d8b-9148-e3be6c30e623}">
          <xlrd:rvb i="4655"/>
        </ext>
      </extLst>
    </bk>
    <bk>
      <extLst>
        <ext uri="{3e2802c4-a4d2-4d8b-9148-e3be6c30e623}">
          <xlrd:rvb i="4656"/>
        </ext>
      </extLst>
    </bk>
    <bk>
      <extLst>
        <ext uri="{3e2802c4-a4d2-4d8b-9148-e3be6c30e623}">
          <xlrd:rvb i="4657"/>
        </ext>
      </extLst>
    </bk>
    <bk>
      <extLst>
        <ext uri="{3e2802c4-a4d2-4d8b-9148-e3be6c30e623}">
          <xlrd:rvb i="4658"/>
        </ext>
      </extLst>
    </bk>
    <bk>
      <extLst>
        <ext uri="{3e2802c4-a4d2-4d8b-9148-e3be6c30e623}">
          <xlrd:rvb i="4659"/>
        </ext>
      </extLst>
    </bk>
    <bk>
      <extLst>
        <ext uri="{3e2802c4-a4d2-4d8b-9148-e3be6c30e623}">
          <xlrd:rvb i="4660"/>
        </ext>
      </extLst>
    </bk>
    <bk>
      <extLst>
        <ext uri="{3e2802c4-a4d2-4d8b-9148-e3be6c30e623}">
          <xlrd:rvb i="4661"/>
        </ext>
      </extLst>
    </bk>
    <bk>
      <extLst>
        <ext uri="{3e2802c4-a4d2-4d8b-9148-e3be6c30e623}">
          <xlrd:rvb i="4662"/>
        </ext>
      </extLst>
    </bk>
    <bk>
      <extLst>
        <ext uri="{3e2802c4-a4d2-4d8b-9148-e3be6c30e623}">
          <xlrd:rvb i="4663"/>
        </ext>
      </extLst>
    </bk>
    <bk>
      <extLst>
        <ext uri="{3e2802c4-a4d2-4d8b-9148-e3be6c30e623}">
          <xlrd:rvb i="4664"/>
        </ext>
      </extLst>
    </bk>
    <bk>
      <extLst>
        <ext uri="{3e2802c4-a4d2-4d8b-9148-e3be6c30e623}">
          <xlrd:rvb i="4665"/>
        </ext>
      </extLst>
    </bk>
    <bk>
      <extLst>
        <ext uri="{3e2802c4-a4d2-4d8b-9148-e3be6c30e623}">
          <xlrd:rvb i="4666"/>
        </ext>
      </extLst>
    </bk>
    <bk>
      <extLst>
        <ext uri="{3e2802c4-a4d2-4d8b-9148-e3be6c30e623}">
          <xlrd:rvb i="4667"/>
        </ext>
      </extLst>
    </bk>
    <bk>
      <extLst>
        <ext uri="{3e2802c4-a4d2-4d8b-9148-e3be6c30e623}">
          <xlrd:rvb i="4668"/>
        </ext>
      </extLst>
    </bk>
    <bk>
      <extLst>
        <ext uri="{3e2802c4-a4d2-4d8b-9148-e3be6c30e623}">
          <xlrd:rvb i="4669"/>
        </ext>
      </extLst>
    </bk>
    <bk>
      <extLst>
        <ext uri="{3e2802c4-a4d2-4d8b-9148-e3be6c30e623}">
          <xlrd:rvb i="4670"/>
        </ext>
      </extLst>
    </bk>
    <bk>
      <extLst>
        <ext uri="{3e2802c4-a4d2-4d8b-9148-e3be6c30e623}">
          <xlrd:rvb i="4671"/>
        </ext>
      </extLst>
    </bk>
    <bk>
      <extLst>
        <ext uri="{3e2802c4-a4d2-4d8b-9148-e3be6c30e623}">
          <xlrd:rvb i="4672"/>
        </ext>
      </extLst>
    </bk>
    <bk>
      <extLst>
        <ext uri="{3e2802c4-a4d2-4d8b-9148-e3be6c30e623}">
          <xlrd:rvb i="4673"/>
        </ext>
      </extLst>
    </bk>
    <bk>
      <extLst>
        <ext uri="{3e2802c4-a4d2-4d8b-9148-e3be6c30e623}">
          <xlrd:rvb i="4674"/>
        </ext>
      </extLst>
    </bk>
    <bk>
      <extLst>
        <ext uri="{3e2802c4-a4d2-4d8b-9148-e3be6c30e623}">
          <xlrd:rvb i="4675"/>
        </ext>
      </extLst>
    </bk>
    <bk>
      <extLst>
        <ext uri="{3e2802c4-a4d2-4d8b-9148-e3be6c30e623}">
          <xlrd:rvb i="4676"/>
        </ext>
      </extLst>
    </bk>
    <bk>
      <extLst>
        <ext uri="{3e2802c4-a4d2-4d8b-9148-e3be6c30e623}">
          <xlrd:rvb i="4677"/>
        </ext>
      </extLst>
    </bk>
    <bk>
      <extLst>
        <ext uri="{3e2802c4-a4d2-4d8b-9148-e3be6c30e623}">
          <xlrd:rvb i="4678"/>
        </ext>
      </extLst>
    </bk>
    <bk>
      <extLst>
        <ext uri="{3e2802c4-a4d2-4d8b-9148-e3be6c30e623}">
          <xlrd:rvb i="4679"/>
        </ext>
      </extLst>
    </bk>
    <bk>
      <extLst>
        <ext uri="{3e2802c4-a4d2-4d8b-9148-e3be6c30e623}">
          <xlrd:rvb i="4680"/>
        </ext>
      </extLst>
    </bk>
    <bk>
      <extLst>
        <ext uri="{3e2802c4-a4d2-4d8b-9148-e3be6c30e623}">
          <xlrd:rvb i="4681"/>
        </ext>
      </extLst>
    </bk>
    <bk>
      <extLst>
        <ext uri="{3e2802c4-a4d2-4d8b-9148-e3be6c30e623}">
          <xlrd:rvb i="4682"/>
        </ext>
      </extLst>
    </bk>
    <bk>
      <extLst>
        <ext uri="{3e2802c4-a4d2-4d8b-9148-e3be6c30e623}">
          <xlrd:rvb i="4683"/>
        </ext>
      </extLst>
    </bk>
    <bk>
      <extLst>
        <ext uri="{3e2802c4-a4d2-4d8b-9148-e3be6c30e623}">
          <xlrd:rvb i="4684"/>
        </ext>
      </extLst>
    </bk>
    <bk>
      <extLst>
        <ext uri="{3e2802c4-a4d2-4d8b-9148-e3be6c30e623}">
          <xlrd:rvb i="4685"/>
        </ext>
      </extLst>
    </bk>
    <bk>
      <extLst>
        <ext uri="{3e2802c4-a4d2-4d8b-9148-e3be6c30e623}">
          <xlrd:rvb i="4686"/>
        </ext>
      </extLst>
    </bk>
    <bk>
      <extLst>
        <ext uri="{3e2802c4-a4d2-4d8b-9148-e3be6c30e623}">
          <xlrd:rvb i="4687"/>
        </ext>
      </extLst>
    </bk>
    <bk>
      <extLst>
        <ext uri="{3e2802c4-a4d2-4d8b-9148-e3be6c30e623}">
          <xlrd:rvb i="4688"/>
        </ext>
      </extLst>
    </bk>
    <bk>
      <extLst>
        <ext uri="{3e2802c4-a4d2-4d8b-9148-e3be6c30e623}">
          <xlrd:rvb i="4689"/>
        </ext>
      </extLst>
    </bk>
    <bk>
      <extLst>
        <ext uri="{3e2802c4-a4d2-4d8b-9148-e3be6c30e623}">
          <xlrd:rvb i="4690"/>
        </ext>
      </extLst>
    </bk>
    <bk>
      <extLst>
        <ext uri="{3e2802c4-a4d2-4d8b-9148-e3be6c30e623}">
          <xlrd:rvb i="4691"/>
        </ext>
      </extLst>
    </bk>
    <bk>
      <extLst>
        <ext uri="{3e2802c4-a4d2-4d8b-9148-e3be6c30e623}">
          <xlrd:rvb i="4692"/>
        </ext>
      </extLst>
    </bk>
    <bk>
      <extLst>
        <ext uri="{3e2802c4-a4d2-4d8b-9148-e3be6c30e623}">
          <xlrd:rvb i="4693"/>
        </ext>
      </extLst>
    </bk>
    <bk>
      <extLst>
        <ext uri="{3e2802c4-a4d2-4d8b-9148-e3be6c30e623}">
          <xlrd:rvb i="4694"/>
        </ext>
      </extLst>
    </bk>
    <bk>
      <extLst>
        <ext uri="{3e2802c4-a4d2-4d8b-9148-e3be6c30e623}">
          <xlrd:rvb i="4695"/>
        </ext>
      </extLst>
    </bk>
    <bk>
      <extLst>
        <ext uri="{3e2802c4-a4d2-4d8b-9148-e3be6c30e623}">
          <xlrd:rvb i="4696"/>
        </ext>
      </extLst>
    </bk>
    <bk>
      <extLst>
        <ext uri="{3e2802c4-a4d2-4d8b-9148-e3be6c30e623}">
          <xlrd:rvb i="4697"/>
        </ext>
      </extLst>
    </bk>
    <bk>
      <extLst>
        <ext uri="{3e2802c4-a4d2-4d8b-9148-e3be6c30e623}">
          <xlrd:rvb i="4698"/>
        </ext>
      </extLst>
    </bk>
    <bk>
      <extLst>
        <ext uri="{3e2802c4-a4d2-4d8b-9148-e3be6c30e623}">
          <xlrd:rvb i="4699"/>
        </ext>
      </extLst>
    </bk>
    <bk>
      <extLst>
        <ext uri="{3e2802c4-a4d2-4d8b-9148-e3be6c30e623}">
          <xlrd:rvb i="4700"/>
        </ext>
      </extLst>
    </bk>
    <bk>
      <extLst>
        <ext uri="{3e2802c4-a4d2-4d8b-9148-e3be6c30e623}">
          <xlrd:rvb i="4701"/>
        </ext>
      </extLst>
    </bk>
    <bk>
      <extLst>
        <ext uri="{3e2802c4-a4d2-4d8b-9148-e3be6c30e623}">
          <xlrd:rvb i="4702"/>
        </ext>
      </extLst>
    </bk>
    <bk>
      <extLst>
        <ext uri="{3e2802c4-a4d2-4d8b-9148-e3be6c30e623}">
          <xlrd:rvb i="4703"/>
        </ext>
      </extLst>
    </bk>
    <bk>
      <extLst>
        <ext uri="{3e2802c4-a4d2-4d8b-9148-e3be6c30e623}">
          <xlrd:rvb i="4704"/>
        </ext>
      </extLst>
    </bk>
    <bk>
      <extLst>
        <ext uri="{3e2802c4-a4d2-4d8b-9148-e3be6c30e623}">
          <xlrd:rvb i="4705"/>
        </ext>
      </extLst>
    </bk>
    <bk>
      <extLst>
        <ext uri="{3e2802c4-a4d2-4d8b-9148-e3be6c30e623}">
          <xlrd:rvb i="4706"/>
        </ext>
      </extLst>
    </bk>
    <bk>
      <extLst>
        <ext uri="{3e2802c4-a4d2-4d8b-9148-e3be6c30e623}">
          <xlrd:rvb i="4707"/>
        </ext>
      </extLst>
    </bk>
    <bk>
      <extLst>
        <ext uri="{3e2802c4-a4d2-4d8b-9148-e3be6c30e623}">
          <xlrd:rvb i="4708"/>
        </ext>
      </extLst>
    </bk>
    <bk>
      <extLst>
        <ext uri="{3e2802c4-a4d2-4d8b-9148-e3be6c30e623}">
          <xlrd:rvb i="4709"/>
        </ext>
      </extLst>
    </bk>
    <bk>
      <extLst>
        <ext uri="{3e2802c4-a4d2-4d8b-9148-e3be6c30e623}">
          <xlrd:rvb i="4710"/>
        </ext>
      </extLst>
    </bk>
    <bk>
      <extLst>
        <ext uri="{3e2802c4-a4d2-4d8b-9148-e3be6c30e623}">
          <xlrd:rvb i="4711"/>
        </ext>
      </extLst>
    </bk>
    <bk>
      <extLst>
        <ext uri="{3e2802c4-a4d2-4d8b-9148-e3be6c30e623}">
          <xlrd:rvb i="4712"/>
        </ext>
      </extLst>
    </bk>
    <bk>
      <extLst>
        <ext uri="{3e2802c4-a4d2-4d8b-9148-e3be6c30e623}">
          <xlrd:rvb i="4713"/>
        </ext>
      </extLst>
    </bk>
    <bk>
      <extLst>
        <ext uri="{3e2802c4-a4d2-4d8b-9148-e3be6c30e623}">
          <xlrd:rvb i="4714"/>
        </ext>
      </extLst>
    </bk>
    <bk>
      <extLst>
        <ext uri="{3e2802c4-a4d2-4d8b-9148-e3be6c30e623}">
          <xlrd:rvb i="4715"/>
        </ext>
      </extLst>
    </bk>
    <bk>
      <extLst>
        <ext uri="{3e2802c4-a4d2-4d8b-9148-e3be6c30e623}">
          <xlrd:rvb i="4716"/>
        </ext>
      </extLst>
    </bk>
    <bk>
      <extLst>
        <ext uri="{3e2802c4-a4d2-4d8b-9148-e3be6c30e623}">
          <xlrd:rvb i="4717"/>
        </ext>
      </extLst>
    </bk>
    <bk>
      <extLst>
        <ext uri="{3e2802c4-a4d2-4d8b-9148-e3be6c30e623}">
          <xlrd:rvb i="4718"/>
        </ext>
      </extLst>
    </bk>
    <bk>
      <extLst>
        <ext uri="{3e2802c4-a4d2-4d8b-9148-e3be6c30e623}">
          <xlrd:rvb i="4719"/>
        </ext>
      </extLst>
    </bk>
    <bk>
      <extLst>
        <ext uri="{3e2802c4-a4d2-4d8b-9148-e3be6c30e623}">
          <xlrd:rvb i="4720"/>
        </ext>
      </extLst>
    </bk>
    <bk>
      <extLst>
        <ext uri="{3e2802c4-a4d2-4d8b-9148-e3be6c30e623}">
          <xlrd:rvb i="4721"/>
        </ext>
      </extLst>
    </bk>
    <bk>
      <extLst>
        <ext uri="{3e2802c4-a4d2-4d8b-9148-e3be6c30e623}">
          <xlrd:rvb i="4722"/>
        </ext>
      </extLst>
    </bk>
    <bk>
      <extLst>
        <ext uri="{3e2802c4-a4d2-4d8b-9148-e3be6c30e623}">
          <xlrd:rvb i="4723"/>
        </ext>
      </extLst>
    </bk>
    <bk>
      <extLst>
        <ext uri="{3e2802c4-a4d2-4d8b-9148-e3be6c30e623}">
          <xlrd:rvb i="4724"/>
        </ext>
      </extLst>
    </bk>
    <bk>
      <extLst>
        <ext uri="{3e2802c4-a4d2-4d8b-9148-e3be6c30e623}">
          <xlrd:rvb i="4725"/>
        </ext>
      </extLst>
    </bk>
    <bk>
      <extLst>
        <ext uri="{3e2802c4-a4d2-4d8b-9148-e3be6c30e623}">
          <xlrd:rvb i="4726"/>
        </ext>
      </extLst>
    </bk>
    <bk>
      <extLst>
        <ext uri="{3e2802c4-a4d2-4d8b-9148-e3be6c30e623}">
          <xlrd:rvb i="4727"/>
        </ext>
      </extLst>
    </bk>
    <bk>
      <extLst>
        <ext uri="{3e2802c4-a4d2-4d8b-9148-e3be6c30e623}">
          <xlrd:rvb i="4728"/>
        </ext>
      </extLst>
    </bk>
    <bk>
      <extLst>
        <ext uri="{3e2802c4-a4d2-4d8b-9148-e3be6c30e623}">
          <xlrd:rvb i="4729"/>
        </ext>
      </extLst>
    </bk>
    <bk>
      <extLst>
        <ext uri="{3e2802c4-a4d2-4d8b-9148-e3be6c30e623}">
          <xlrd:rvb i="4730"/>
        </ext>
      </extLst>
    </bk>
    <bk>
      <extLst>
        <ext uri="{3e2802c4-a4d2-4d8b-9148-e3be6c30e623}">
          <xlrd:rvb i="4731"/>
        </ext>
      </extLst>
    </bk>
    <bk>
      <extLst>
        <ext uri="{3e2802c4-a4d2-4d8b-9148-e3be6c30e623}">
          <xlrd:rvb i="4732"/>
        </ext>
      </extLst>
    </bk>
    <bk>
      <extLst>
        <ext uri="{3e2802c4-a4d2-4d8b-9148-e3be6c30e623}">
          <xlrd:rvb i="4733"/>
        </ext>
      </extLst>
    </bk>
    <bk>
      <extLst>
        <ext uri="{3e2802c4-a4d2-4d8b-9148-e3be6c30e623}">
          <xlrd:rvb i="4734"/>
        </ext>
      </extLst>
    </bk>
    <bk>
      <extLst>
        <ext uri="{3e2802c4-a4d2-4d8b-9148-e3be6c30e623}">
          <xlrd:rvb i="4735"/>
        </ext>
      </extLst>
    </bk>
    <bk>
      <extLst>
        <ext uri="{3e2802c4-a4d2-4d8b-9148-e3be6c30e623}">
          <xlrd:rvb i="4736"/>
        </ext>
      </extLst>
    </bk>
    <bk>
      <extLst>
        <ext uri="{3e2802c4-a4d2-4d8b-9148-e3be6c30e623}">
          <xlrd:rvb i="4737"/>
        </ext>
      </extLst>
    </bk>
    <bk>
      <extLst>
        <ext uri="{3e2802c4-a4d2-4d8b-9148-e3be6c30e623}">
          <xlrd:rvb i="4738"/>
        </ext>
      </extLst>
    </bk>
    <bk>
      <extLst>
        <ext uri="{3e2802c4-a4d2-4d8b-9148-e3be6c30e623}">
          <xlrd:rvb i="4739"/>
        </ext>
      </extLst>
    </bk>
    <bk>
      <extLst>
        <ext uri="{3e2802c4-a4d2-4d8b-9148-e3be6c30e623}">
          <xlrd:rvb i="4740"/>
        </ext>
      </extLst>
    </bk>
    <bk>
      <extLst>
        <ext uri="{3e2802c4-a4d2-4d8b-9148-e3be6c30e623}">
          <xlrd:rvb i="4741"/>
        </ext>
      </extLst>
    </bk>
    <bk>
      <extLst>
        <ext uri="{3e2802c4-a4d2-4d8b-9148-e3be6c30e623}">
          <xlrd:rvb i="4742"/>
        </ext>
      </extLst>
    </bk>
    <bk>
      <extLst>
        <ext uri="{3e2802c4-a4d2-4d8b-9148-e3be6c30e623}">
          <xlrd:rvb i="4743"/>
        </ext>
      </extLst>
    </bk>
    <bk>
      <extLst>
        <ext uri="{3e2802c4-a4d2-4d8b-9148-e3be6c30e623}">
          <xlrd:rvb i="4744"/>
        </ext>
      </extLst>
    </bk>
    <bk>
      <extLst>
        <ext uri="{3e2802c4-a4d2-4d8b-9148-e3be6c30e623}">
          <xlrd:rvb i="4745"/>
        </ext>
      </extLst>
    </bk>
    <bk>
      <extLst>
        <ext uri="{3e2802c4-a4d2-4d8b-9148-e3be6c30e623}">
          <xlrd:rvb i="4746"/>
        </ext>
      </extLst>
    </bk>
    <bk>
      <extLst>
        <ext uri="{3e2802c4-a4d2-4d8b-9148-e3be6c30e623}">
          <xlrd:rvb i="4747"/>
        </ext>
      </extLst>
    </bk>
    <bk>
      <extLst>
        <ext uri="{3e2802c4-a4d2-4d8b-9148-e3be6c30e623}">
          <xlrd:rvb i="4748"/>
        </ext>
      </extLst>
    </bk>
    <bk>
      <extLst>
        <ext uri="{3e2802c4-a4d2-4d8b-9148-e3be6c30e623}">
          <xlrd:rvb i="4749"/>
        </ext>
      </extLst>
    </bk>
    <bk>
      <extLst>
        <ext uri="{3e2802c4-a4d2-4d8b-9148-e3be6c30e623}">
          <xlrd:rvb i="4750"/>
        </ext>
      </extLst>
    </bk>
    <bk>
      <extLst>
        <ext uri="{3e2802c4-a4d2-4d8b-9148-e3be6c30e623}">
          <xlrd:rvb i="4751"/>
        </ext>
      </extLst>
    </bk>
    <bk>
      <extLst>
        <ext uri="{3e2802c4-a4d2-4d8b-9148-e3be6c30e623}">
          <xlrd:rvb i="4752"/>
        </ext>
      </extLst>
    </bk>
    <bk>
      <extLst>
        <ext uri="{3e2802c4-a4d2-4d8b-9148-e3be6c30e623}">
          <xlrd:rvb i="4753"/>
        </ext>
      </extLst>
    </bk>
    <bk>
      <extLst>
        <ext uri="{3e2802c4-a4d2-4d8b-9148-e3be6c30e623}">
          <xlrd:rvb i="4754"/>
        </ext>
      </extLst>
    </bk>
    <bk>
      <extLst>
        <ext uri="{3e2802c4-a4d2-4d8b-9148-e3be6c30e623}">
          <xlrd:rvb i="4755"/>
        </ext>
      </extLst>
    </bk>
    <bk>
      <extLst>
        <ext uri="{3e2802c4-a4d2-4d8b-9148-e3be6c30e623}">
          <xlrd:rvb i="4756"/>
        </ext>
      </extLst>
    </bk>
    <bk>
      <extLst>
        <ext uri="{3e2802c4-a4d2-4d8b-9148-e3be6c30e623}">
          <xlrd:rvb i="4757"/>
        </ext>
      </extLst>
    </bk>
    <bk>
      <extLst>
        <ext uri="{3e2802c4-a4d2-4d8b-9148-e3be6c30e623}">
          <xlrd:rvb i="4758"/>
        </ext>
      </extLst>
    </bk>
    <bk>
      <extLst>
        <ext uri="{3e2802c4-a4d2-4d8b-9148-e3be6c30e623}">
          <xlrd:rvb i="4759"/>
        </ext>
      </extLst>
    </bk>
    <bk>
      <extLst>
        <ext uri="{3e2802c4-a4d2-4d8b-9148-e3be6c30e623}">
          <xlrd:rvb i="4760"/>
        </ext>
      </extLst>
    </bk>
    <bk>
      <extLst>
        <ext uri="{3e2802c4-a4d2-4d8b-9148-e3be6c30e623}">
          <xlrd:rvb i="4761"/>
        </ext>
      </extLst>
    </bk>
    <bk>
      <extLst>
        <ext uri="{3e2802c4-a4d2-4d8b-9148-e3be6c30e623}">
          <xlrd:rvb i="4762"/>
        </ext>
      </extLst>
    </bk>
    <bk>
      <extLst>
        <ext uri="{3e2802c4-a4d2-4d8b-9148-e3be6c30e623}">
          <xlrd:rvb i="4763"/>
        </ext>
      </extLst>
    </bk>
    <bk>
      <extLst>
        <ext uri="{3e2802c4-a4d2-4d8b-9148-e3be6c30e623}">
          <xlrd:rvb i="4764"/>
        </ext>
      </extLst>
    </bk>
    <bk>
      <extLst>
        <ext uri="{3e2802c4-a4d2-4d8b-9148-e3be6c30e623}">
          <xlrd:rvb i="4765"/>
        </ext>
      </extLst>
    </bk>
    <bk>
      <extLst>
        <ext uri="{3e2802c4-a4d2-4d8b-9148-e3be6c30e623}">
          <xlrd:rvb i="4766"/>
        </ext>
      </extLst>
    </bk>
    <bk>
      <extLst>
        <ext uri="{3e2802c4-a4d2-4d8b-9148-e3be6c30e623}">
          <xlrd:rvb i="4767"/>
        </ext>
      </extLst>
    </bk>
    <bk>
      <extLst>
        <ext uri="{3e2802c4-a4d2-4d8b-9148-e3be6c30e623}">
          <xlrd:rvb i="4768"/>
        </ext>
      </extLst>
    </bk>
    <bk>
      <extLst>
        <ext uri="{3e2802c4-a4d2-4d8b-9148-e3be6c30e623}">
          <xlrd:rvb i="4769"/>
        </ext>
      </extLst>
    </bk>
    <bk>
      <extLst>
        <ext uri="{3e2802c4-a4d2-4d8b-9148-e3be6c30e623}">
          <xlrd:rvb i="4770"/>
        </ext>
      </extLst>
    </bk>
    <bk>
      <extLst>
        <ext uri="{3e2802c4-a4d2-4d8b-9148-e3be6c30e623}">
          <xlrd:rvb i="4771"/>
        </ext>
      </extLst>
    </bk>
    <bk>
      <extLst>
        <ext uri="{3e2802c4-a4d2-4d8b-9148-e3be6c30e623}">
          <xlrd:rvb i="4772"/>
        </ext>
      </extLst>
    </bk>
    <bk>
      <extLst>
        <ext uri="{3e2802c4-a4d2-4d8b-9148-e3be6c30e623}">
          <xlrd:rvb i="4773"/>
        </ext>
      </extLst>
    </bk>
    <bk>
      <extLst>
        <ext uri="{3e2802c4-a4d2-4d8b-9148-e3be6c30e623}">
          <xlrd:rvb i="4774"/>
        </ext>
      </extLst>
    </bk>
    <bk>
      <extLst>
        <ext uri="{3e2802c4-a4d2-4d8b-9148-e3be6c30e623}">
          <xlrd:rvb i="4775"/>
        </ext>
      </extLst>
    </bk>
    <bk>
      <extLst>
        <ext uri="{3e2802c4-a4d2-4d8b-9148-e3be6c30e623}">
          <xlrd:rvb i="4776"/>
        </ext>
      </extLst>
    </bk>
    <bk>
      <extLst>
        <ext uri="{3e2802c4-a4d2-4d8b-9148-e3be6c30e623}">
          <xlrd:rvb i="4777"/>
        </ext>
      </extLst>
    </bk>
    <bk>
      <extLst>
        <ext uri="{3e2802c4-a4d2-4d8b-9148-e3be6c30e623}">
          <xlrd:rvb i="4778"/>
        </ext>
      </extLst>
    </bk>
    <bk>
      <extLst>
        <ext uri="{3e2802c4-a4d2-4d8b-9148-e3be6c30e623}">
          <xlrd:rvb i="4779"/>
        </ext>
      </extLst>
    </bk>
    <bk>
      <extLst>
        <ext uri="{3e2802c4-a4d2-4d8b-9148-e3be6c30e623}">
          <xlrd:rvb i="4780"/>
        </ext>
      </extLst>
    </bk>
    <bk>
      <extLst>
        <ext uri="{3e2802c4-a4d2-4d8b-9148-e3be6c30e623}">
          <xlrd:rvb i="4781"/>
        </ext>
      </extLst>
    </bk>
    <bk>
      <extLst>
        <ext uri="{3e2802c4-a4d2-4d8b-9148-e3be6c30e623}">
          <xlrd:rvb i="4782"/>
        </ext>
      </extLst>
    </bk>
    <bk>
      <extLst>
        <ext uri="{3e2802c4-a4d2-4d8b-9148-e3be6c30e623}">
          <xlrd:rvb i="4783"/>
        </ext>
      </extLst>
    </bk>
    <bk>
      <extLst>
        <ext uri="{3e2802c4-a4d2-4d8b-9148-e3be6c30e623}">
          <xlrd:rvb i="4784"/>
        </ext>
      </extLst>
    </bk>
    <bk>
      <extLst>
        <ext uri="{3e2802c4-a4d2-4d8b-9148-e3be6c30e623}">
          <xlrd:rvb i="4785"/>
        </ext>
      </extLst>
    </bk>
    <bk>
      <extLst>
        <ext uri="{3e2802c4-a4d2-4d8b-9148-e3be6c30e623}">
          <xlrd:rvb i="4786"/>
        </ext>
      </extLst>
    </bk>
    <bk>
      <extLst>
        <ext uri="{3e2802c4-a4d2-4d8b-9148-e3be6c30e623}">
          <xlrd:rvb i="4787"/>
        </ext>
      </extLst>
    </bk>
    <bk>
      <extLst>
        <ext uri="{3e2802c4-a4d2-4d8b-9148-e3be6c30e623}">
          <xlrd:rvb i="4788"/>
        </ext>
      </extLst>
    </bk>
    <bk>
      <extLst>
        <ext uri="{3e2802c4-a4d2-4d8b-9148-e3be6c30e623}">
          <xlrd:rvb i="4789"/>
        </ext>
      </extLst>
    </bk>
    <bk>
      <extLst>
        <ext uri="{3e2802c4-a4d2-4d8b-9148-e3be6c30e623}">
          <xlrd:rvb i="4790"/>
        </ext>
      </extLst>
    </bk>
    <bk>
      <extLst>
        <ext uri="{3e2802c4-a4d2-4d8b-9148-e3be6c30e623}">
          <xlrd:rvb i="4791"/>
        </ext>
      </extLst>
    </bk>
    <bk>
      <extLst>
        <ext uri="{3e2802c4-a4d2-4d8b-9148-e3be6c30e623}">
          <xlrd:rvb i="4792"/>
        </ext>
      </extLst>
    </bk>
    <bk>
      <extLst>
        <ext uri="{3e2802c4-a4d2-4d8b-9148-e3be6c30e623}">
          <xlrd:rvb i="4793"/>
        </ext>
      </extLst>
    </bk>
    <bk>
      <extLst>
        <ext uri="{3e2802c4-a4d2-4d8b-9148-e3be6c30e623}">
          <xlrd:rvb i="4794"/>
        </ext>
      </extLst>
    </bk>
    <bk>
      <extLst>
        <ext uri="{3e2802c4-a4d2-4d8b-9148-e3be6c30e623}">
          <xlrd:rvb i="4795"/>
        </ext>
      </extLst>
    </bk>
    <bk>
      <extLst>
        <ext uri="{3e2802c4-a4d2-4d8b-9148-e3be6c30e623}">
          <xlrd:rvb i="4796"/>
        </ext>
      </extLst>
    </bk>
    <bk>
      <extLst>
        <ext uri="{3e2802c4-a4d2-4d8b-9148-e3be6c30e623}">
          <xlrd:rvb i="4797"/>
        </ext>
      </extLst>
    </bk>
    <bk>
      <extLst>
        <ext uri="{3e2802c4-a4d2-4d8b-9148-e3be6c30e623}">
          <xlrd:rvb i="4798"/>
        </ext>
      </extLst>
    </bk>
    <bk>
      <extLst>
        <ext uri="{3e2802c4-a4d2-4d8b-9148-e3be6c30e623}">
          <xlrd:rvb i="4799"/>
        </ext>
      </extLst>
    </bk>
    <bk>
      <extLst>
        <ext uri="{3e2802c4-a4d2-4d8b-9148-e3be6c30e623}">
          <xlrd:rvb i="4800"/>
        </ext>
      </extLst>
    </bk>
    <bk>
      <extLst>
        <ext uri="{3e2802c4-a4d2-4d8b-9148-e3be6c30e623}">
          <xlrd:rvb i="4801"/>
        </ext>
      </extLst>
    </bk>
    <bk>
      <extLst>
        <ext uri="{3e2802c4-a4d2-4d8b-9148-e3be6c30e623}">
          <xlrd:rvb i="4802"/>
        </ext>
      </extLst>
    </bk>
    <bk>
      <extLst>
        <ext uri="{3e2802c4-a4d2-4d8b-9148-e3be6c30e623}">
          <xlrd:rvb i="4803"/>
        </ext>
      </extLst>
    </bk>
    <bk>
      <extLst>
        <ext uri="{3e2802c4-a4d2-4d8b-9148-e3be6c30e623}">
          <xlrd:rvb i="4804"/>
        </ext>
      </extLst>
    </bk>
    <bk>
      <extLst>
        <ext uri="{3e2802c4-a4d2-4d8b-9148-e3be6c30e623}">
          <xlrd:rvb i="4805"/>
        </ext>
      </extLst>
    </bk>
    <bk>
      <extLst>
        <ext uri="{3e2802c4-a4d2-4d8b-9148-e3be6c30e623}">
          <xlrd:rvb i="4806"/>
        </ext>
      </extLst>
    </bk>
    <bk>
      <extLst>
        <ext uri="{3e2802c4-a4d2-4d8b-9148-e3be6c30e623}">
          <xlrd:rvb i="4807"/>
        </ext>
      </extLst>
    </bk>
    <bk>
      <extLst>
        <ext uri="{3e2802c4-a4d2-4d8b-9148-e3be6c30e623}">
          <xlrd:rvb i="4808"/>
        </ext>
      </extLst>
    </bk>
    <bk>
      <extLst>
        <ext uri="{3e2802c4-a4d2-4d8b-9148-e3be6c30e623}">
          <xlrd:rvb i="4809"/>
        </ext>
      </extLst>
    </bk>
    <bk>
      <extLst>
        <ext uri="{3e2802c4-a4d2-4d8b-9148-e3be6c30e623}">
          <xlrd:rvb i="4810"/>
        </ext>
      </extLst>
    </bk>
    <bk>
      <extLst>
        <ext uri="{3e2802c4-a4d2-4d8b-9148-e3be6c30e623}">
          <xlrd:rvb i="4811"/>
        </ext>
      </extLst>
    </bk>
    <bk>
      <extLst>
        <ext uri="{3e2802c4-a4d2-4d8b-9148-e3be6c30e623}">
          <xlrd:rvb i="4812"/>
        </ext>
      </extLst>
    </bk>
    <bk>
      <extLst>
        <ext uri="{3e2802c4-a4d2-4d8b-9148-e3be6c30e623}">
          <xlrd:rvb i="4813"/>
        </ext>
      </extLst>
    </bk>
    <bk>
      <extLst>
        <ext uri="{3e2802c4-a4d2-4d8b-9148-e3be6c30e623}">
          <xlrd:rvb i="4814"/>
        </ext>
      </extLst>
    </bk>
    <bk>
      <extLst>
        <ext uri="{3e2802c4-a4d2-4d8b-9148-e3be6c30e623}">
          <xlrd:rvb i="4815"/>
        </ext>
      </extLst>
    </bk>
    <bk>
      <extLst>
        <ext uri="{3e2802c4-a4d2-4d8b-9148-e3be6c30e623}">
          <xlrd:rvb i="4816"/>
        </ext>
      </extLst>
    </bk>
    <bk>
      <extLst>
        <ext uri="{3e2802c4-a4d2-4d8b-9148-e3be6c30e623}">
          <xlrd:rvb i="4817"/>
        </ext>
      </extLst>
    </bk>
    <bk>
      <extLst>
        <ext uri="{3e2802c4-a4d2-4d8b-9148-e3be6c30e623}">
          <xlrd:rvb i="4818"/>
        </ext>
      </extLst>
    </bk>
    <bk>
      <extLst>
        <ext uri="{3e2802c4-a4d2-4d8b-9148-e3be6c30e623}">
          <xlrd:rvb i="4819"/>
        </ext>
      </extLst>
    </bk>
    <bk>
      <extLst>
        <ext uri="{3e2802c4-a4d2-4d8b-9148-e3be6c30e623}">
          <xlrd:rvb i="4820"/>
        </ext>
      </extLst>
    </bk>
    <bk>
      <extLst>
        <ext uri="{3e2802c4-a4d2-4d8b-9148-e3be6c30e623}">
          <xlrd:rvb i="4821"/>
        </ext>
      </extLst>
    </bk>
    <bk>
      <extLst>
        <ext uri="{3e2802c4-a4d2-4d8b-9148-e3be6c30e623}">
          <xlrd:rvb i="4822"/>
        </ext>
      </extLst>
    </bk>
    <bk>
      <extLst>
        <ext uri="{3e2802c4-a4d2-4d8b-9148-e3be6c30e623}">
          <xlrd:rvb i="4823"/>
        </ext>
      </extLst>
    </bk>
    <bk>
      <extLst>
        <ext uri="{3e2802c4-a4d2-4d8b-9148-e3be6c30e623}">
          <xlrd:rvb i="4824"/>
        </ext>
      </extLst>
    </bk>
    <bk>
      <extLst>
        <ext uri="{3e2802c4-a4d2-4d8b-9148-e3be6c30e623}">
          <xlrd:rvb i="4825"/>
        </ext>
      </extLst>
    </bk>
    <bk>
      <extLst>
        <ext uri="{3e2802c4-a4d2-4d8b-9148-e3be6c30e623}">
          <xlrd:rvb i="4826"/>
        </ext>
      </extLst>
    </bk>
    <bk>
      <extLst>
        <ext uri="{3e2802c4-a4d2-4d8b-9148-e3be6c30e623}">
          <xlrd:rvb i="4827"/>
        </ext>
      </extLst>
    </bk>
    <bk>
      <extLst>
        <ext uri="{3e2802c4-a4d2-4d8b-9148-e3be6c30e623}">
          <xlrd:rvb i="4828"/>
        </ext>
      </extLst>
    </bk>
    <bk>
      <extLst>
        <ext uri="{3e2802c4-a4d2-4d8b-9148-e3be6c30e623}">
          <xlrd:rvb i="4829"/>
        </ext>
      </extLst>
    </bk>
    <bk>
      <extLst>
        <ext uri="{3e2802c4-a4d2-4d8b-9148-e3be6c30e623}">
          <xlrd:rvb i="4830"/>
        </ext>
      </extLst>
    </bk>
    <bk>
      <extLst>
        <ext uri="{3e2802c4-a4d2-4d8b-9148-e3be6c30e623}">
          <xlrd:rvb i="4831"/>
        </ext>
      </extLst>
    </bk>
    <bk>
      <extLst>
        <ext uri="{3e2802c4-a4d2-4d8b-9148-e3be6c30e623}">
          <xlrd:rvb i="4832"/>
        </ext>
      </extLst>
    </bk>
    <bk>
      <extLst>
        <ext uri="{3e2802c4-a4d2-4d8b-9148-e3be6c30e623}">
          <xlrd:rvb i="4833"/>
        </ext>
      </extLst>
    </bk>
    <bk>
      <extLst>
        <ext uri="{3e2802c4-a4d2-4d8b-9148-e3be6c30e623}">
          <xlrd:rvb i="4834"/>
        </ext>
      </extLst>
    </bk>
    <bk>
      <extLst>
        <ext uri="{3e2802c4-a4d2-4d8b-9148-e3be6c30e623}">
          <xlrd:rvb i="4835"/>
        </ext>
      </extLst>
    </bk>
    <bk>
      <extLst>
        <ext uri="{3e2802c4-a4d2-4d8b-9148-e3be6c30e623}">
          <xlrd:rvb i="4836"/>
        </ext>
      </extLst>
    </bk>
    <bk>
      <extLst>
        <ext uri="{3e2802c4-a4d2-4d8b-9148-e3be6c30e623}">
          <xlrd:rvb i="4837"/>
        </ext>
      </extLst>
    </bk>
    <bk>
      <extLst>
        <ext uri="{3e2802c4-a4d2-4d8b-9148-e3be6c30e623}">
          <xlrd:rvb i="4838"/>
        </ext>
      </extLst>
    </bk>
    <bk>
      <extLst>
        <ext uri="{3e2802c4-a4d2-4d8b-9148-e3be6c30e623}">
          <xlrd:rvb i="4839"/>
        </ext>
      </extLst>
    </bk>
    <bk>
      <extLst>
        <ext uri="{3e2802c4-a4d2-4d8b-9148-e3be6c30e623}">
          <xlrd:rvb i="4840"/>
        </ext>
      </extLst>
    </bk>
    <bk>
      <extLst>
        <ext uri="{3e2802c4-a4d2-4d8b-9148-e3be6c30e623}">
          <xlrd:rvb i="4841"/>
        </ext>
      </extLst>
    </bk>
    <bk>
      <extLst>
        <ext uri="{3e2802c4-a4d2-4d8b-9148-e3be6c30e623}">
          <xlrd:rvb i="4842"/>
        </ext>
      </extLst>
    </bk>
    <bk>
      <extLst>
        <ext uri="{3e2802c4-a4d2-4d8b-9148-e3be6c30e623}">
          <xlrd:rvb i="4843"/>
        </ext>
      </extLst>
    </bk>
    <bk>
      <extLst>
        <ext uri="{3e2802c4-a4d2-4d8b-9148-e3be6c30e623}">
          <xlrd:rvb i="4844"/>
        </ext>
      </extLst>
    </bk>
    <bk>
      <extLst>
        <ext uri="{3e2802c4-a4d2-4d8b-9148-e3be6c30e623}">
          <xlrd:rvb i="4845"/>
        </ext>
      </extLst>
    </bk>
    <bk>
      <extLst>
        <ext uri="{3e2802c4-a4d2-4d8b-9148-e3be6c30e623}">
          <xlrd:rvb i="4846"/>
        </ext>
      </extLst>
    </bk>
    <bk>
      <extLst>
        <ext uri="{3e2802c4-a4d2-4d8b-9148-e3be6c30e623}">
          <xlrd:rvb i="4847"/>
        </ext>
      </extLst>
    </bk>
    <bk>
      <extLst>
        <ext uri="{3e2802c4-a4d2-4d8b-9148-e3be6c30e623}">
          <xlrd:rvb i="4848"/>
        </ext>
      </extLst>
    </bk>
    <bk>
      <extLst>
        <ext uri="{3e2802c4-a4d2-4d8b-9148-e3be6c30e623}">
          <xlrd:rvb i="4849"/>
        </ext>
      </extLst>
    </bk>
    <bk>
      <extLst>
        <ext uri="{3e2802c4-a4d2-4d8b-9148-e3be6c30e623}">
          <xlrd:rvb i="4850"/>
        </ext>
      </extLst>
    </bk>
    <bk>
      <extLst>
        <ext uri="{3e2802c4-a4d2-4d8b-9148-e3be6c30e623}">
          <xlrd:rvb i="4851"/>
        </ext>
      </extLst>
    </bk>
    <bk>
      <extLst>
        <ext uri="{3e2802c4-a4d2-4d8b-9148-e3be6c30e623}">
          <xlrd:rvb i="4852"/>
        </ext>
      </extLst>
    </bk>
    <bk>
      <extLst>
        <ext uri="{3e2802c4-a4d2-4d8b-9148-e3be6c30e623}">
          <xlrd:rvb i="4853"/>
        </ext>
      </extLst>
    </bk>
    <bk>
      <extLst>
        <ext uri="{3e2802c4-a4d2-4d8b-9148-e3be6c30e623}">
          <xlrd:rvb i="4854"/>
        </ext>
      </extLst>
    </bk>
    <bk>
      <extLst>
        <ext uri="{3e2802c4-a4d2-4d8b-9148-e3be6c30e623}">
          <xlrd:rvb i="4855"/>
        </ext>
      </extLst>
    </bk>
    <bk>
      <extLst>
        <ext uri="{3e2802c4-a4d2-4d8b-9148-e3be6c30e623}">
          <xlrd:rvb i="4856"/>
        </ext>
      </extLst>
    </bk>
    <bk>
      <extLst>
        <ext uri="{3e2802c4-a4d2-4d8b-9148-e3be6c30e623}">
          <xlrd:rvb i="4857"/>
        </ext>
      </extLst>
    </bk>
    <bk>
      <extLst>
        <ext uri="{3e2802c4-a4d2-4d8b-9148-e3be6c30e623}">
          <xlrd:rvb i="4858"/>
        </ext>
      </extLst>
    </bk>
    <bk>
      <extLst>
        <ext uri="{3e2802c4-a4d2-4d8b-9148-e3be6c30e623}">
          <xlrd:rvb i="4859"/>
        </ext>
      </extLst>
    </bk>
    <bk>
      <extLst>
        <ext uri="{3e2802c4-a4d2-4d8b-9148-e3be6c30e623}">
          <xlrd:rvb i="4860"/>
        </ext>
      </extLst>
    </bk>
    <bk>
      <extLst>
        <ext uri="{3e2802c4-a4d2-4d8b-9148-e3be6c30e623}">
          <xlrd:rvb i="4861"/>
        </ext>
      </extLst>
    </bk>
    <bk>
      <extLst>
        <ext uri="{3e2802c4-a4d2-4d8b-9148-e3be6c30e623}">
          <xlrd:rvb i="4862"/>
        </ext>
      </extLst>
    </bk>
    <bk>
      <extLst>
        <ext uri="{3e2802c4-a4d2-4d8b-9148-e3be6c30e623}">
          <xlrd:rvb i="4863"/>
        </ext>
      </extLst>
    </bk>
    <bk>
      <extLst>
        <ext uri="{3e2802c4-a4d2-4d8b-9148-e3be6c30e623}">
          <xlrd:rvb i="4864"/>
        </ext>
      </extLst>
    </bk>
    <bk>
      <extLst>
        <ext uri="{3e2802c4-a4d2-4d8b-9148-e3be6c30e623}">
          <xlrd:rvb i="4865"/>
        </ext>
      </extLst>
    </bk>
    <bk>
      <extLst>
        <ext uri="{3e2802c4-a4d2-4d8b-9148-e3be6c30e623}">
          <xlrd:rvb i="4866"/>
        </ext>
      </extLst>
    </bk>
    <bk>
      <extLst>
        <ext uri="{3e2802c4-a4d2-4d8b-9148-e3be6c30e623}">
          <xlrd:rvb i="4867"/>
        </ext>
      </extLst>
    </bk>
    <bk>
      <extLst>
        <ext uri="{3e2802c4-a4d2-4d8b-9148-e3be6c30e623}">
          <xlrd:rvb i="4868"/>
        </ext>
      </extLst>
    </bk>
    <bk>
      <extLst>
        <ext uri="{3e2802c4-a4d2-4d8b-9148-e3be6c30e623}">
          <xlrd:rvb i="4869"/>
        </ext>
      </extLst>
    </bk>
    <bk>
      <extLst>
        <ext uri="{3e2802c4-a4d2-4d8b-9148-e3be6c30e623}">
          <xlrd:rvb i="4870"/>
        </ext>
      </extLst>
    </bk>
    <bk>
      <extLst>
        <ext uri="{3e2802c4-a4d2-4d8b-9148-e3be6c30e623}">
          <xlrd:rvb i="4871"/>
        </ext>
      </extLst>
    </bk>
    <bk>
      <extLst>
        <ext uri="{3e2802c4-a4d2-4d8b-9148-e3be6c30e623}">
          <xlrd:rvb i="4872"/>
        </ext>
      </extLst>
    </bk>
    <bk>
      <extLst>
        <ext uri="{3e2802c4-a4d2-4d8b-9148-e3be6c30e623}">
          <xlrd:rvb i="4873"/>
        </ext>
      </extLst>
    </bk>
    <bk>
      <extLst>
        <ext uri="{3e2802c4-a4d2-4d8b-9148-e3be6c30e623}">
          <xlrd:rvb i="4874"/>
        </ext>
      </extLst>
    </bk>
    <bk>
      <extLst>
        <ext uri="{3e2802c4-a4d2-4d8b-9148-e3be6c30e623}">
          <xlrd:rvb i="4875"/>
        </ext>
      </extLst>
    </bk>
    <bk>
      <extLst>
        <ext uri="{3e2802c4-a4d2-4d8b-9148-e3be6c30e623}">
          <xlrd:rvb i="4876"/>
        </ext>
      </extLst>
    </bk>
    <bk>
      <extLst>
        <ext uri="{3e2802c4-a4d2-4d8b-9148-e3be6c30e623}">
          <xlrd:rvb i="4877"/>
        </ext>
      </extLst>
    </bk>
    <bk>
      <extLst>
        <ext uri="{3e2802c4-a4d2-4d8b-9148-e3be6c30e623}">
          <xlrd:rvb i="4878"/>
        </ext>
      </extLst>
    </bk>
    <bk>
      <extLst>
        <ext uri="{3e2802c4-a4d2-4d8b-9148-e3be6c30e623}">
          <xlrd:rvb i="4879"/>
        </ext>
      </extLst>
    </bk>
    <bk>
      <extLst>
        <ext uri="{3e2802c4-a4d2-4d8b-9148-e3be6c30e623}">
          <xlrd:rvb i="4880"/>
        </ext>
      </extLst>
    </bk>
    <bk>
      <extLst>
        <ext uri="{3e2802c4-a4d2-4d8b-9148-e3be6c30e623}">
          <xlrd:rvb i="4881"/>
        </ext>
      </extLst>
    </bk>
    <bk>
      <extLst>
        <ext uri="{3e2802c4-a4d2-4d8b-9148-e3be6c30e623}">
          <xlrd:rvb i="4882"/>
        </ext>
      </extLst>
    </bk>
    <bk>
      <extLst>
        <ext uri="{3e2802c4-a4d2-4d8b-9148-e3be6c30e623}">
          <xlrd:rvb i="4883"/>
        </ext>
      </extLst>
    </bk>
    <bk>
      <extLst>
        <ext uri="{3e2802c4-a4d2-4d8b-9148-e3be6c30e623}">
          <xlrd:rvb i="4884"/>
        </ext>
      </extLst>
    </bk>
    <bk>
      <extLst>
        <ext uri="{3e2802c4-a4d2-4d8b-9148-e3be6c30e623}">
          <xlrd:rvb i="4885"/>
        </ext>
      </extLst>
    </bk>
    <bk>
      <extLst>
        <ext uri="{3e2802c4-a4d2-4d8b-9148-e3be6c30e623}">
          <xlrd:rvb i="4886"/>
        </ext>
      </extLst>
    </bk>
    <bk>
      <extLst>
        <ext uri="{3e2802c4-a4d2-4d8b-9148-e3be6c30e623}">
          <xlrd:rvb i="4887"/>
        </ext>
      </extLst>
    </bk>
    <bk>
      <extLst>
        <ext uri="{3e2802c4-a4d2-4d8b-9148-e3be6c30e623}">
          <xlrd:rvb i="4888"/>
        </ext>
      </extLst>
    </bk>
    <bk>
      <extLst>
        <ext uri="{3e2802c4-a4d2-4d8b-9148-e3be6c30e623}">
          <xlrd:rvb i="4889"/>
        </ext>
      </extLst>
    </bk>
    <bk>
      <extLst>
        <ext uri="{3e2802c4-a4d2-4d8b-9148-e3be6c30e623}">
          <xlrd:rvb i="4890"/>
        </ext>
      </extLst>
    </bk>
    <bk>
      <extLst>
        <ext uri="{3e2802c4-a4d2-4d8b-9148-e3be6c30e623}">
          <xlrd:rvb i="4891"/>
        </ext>
      </extLst>
    </bk>
    <bk>
      <extLst>
        <ext uri="{3e2802c4-a4d2-4d8b-9148-e3be6c30e623}">
          <xlrd:rvb i="4892"/>
        </ext>
      </extLst>
    </bk>
    <bk>
      <extLst>
        <ext uri="{3e2802c4-a4d2-4d8b-9148-e3be6c30e623}">
          <xlrd:rvb i="4893"/>
        </ext>
      </extLst>
    </bk>
    <bk>
      <extLst>
        <ext uri="{3e2802c4-a4d2-4d8b-9148-e3be6c30e623}">
          <xlrd:rvb i="4894"/>
        </ext>
      </extLst>
    </bk>
    <bk>
      <extLst>
        <ext uri="{3e2802c4-a4d2-4d8b-9148-e3be6c30e623}">
          <xlrd:rvb i="4895"/>
        </ext>
      </extLst>
    </bk>
    <bk>
      <extLst>
        <ext uri="{3e2802c4-a4d2-4d8b-9148-e3be6c30e623}">
          <xlrd:rvb i="4896"/>
        </ext>
      </extLst>
    </bk>
    <bk>
      <extLst>
        <ext uri="{3e2802c4-a4d2-4d8b-9148-e3be6c30e623}">
          <xlrd:rvb i="4897"/>
        </ext>
      </extLst>
    </bk>
    <bk>
      <extLst>
        <ext uri="{3e2802c4-a4d2-4d8b-9148-e3be6c30e623}">
          <xlrd:rvb i="4898"/>
        </ext>
      </extLst>
    </bk>
    <bk>
      <extLst>
        <ext uri="{3e2802c4-a4d2-4d8b-9148-e3be6c30e623}">
          <xlrd:rvb i="4899"/>
        </ext>
      </extLst>
    </bk>
    <bk>
      <extLst>
        <ext uri="{3e2802c4-a4d2-4d8b-9148-e3be6c30e623}">
          <xlrd:rvb i="4900"/>
        </ext>
      </extLst>
    </bk>
    <bk>
      <extLst>
        <ext uri="{3e2802c4-a4d2-4d8b-9148-e3be6c30e623}">
          <xlrd:rvb i="4901"/>
        </ext>
      </extLst>
    </bk>
    <bk>
      <extLst>
        <ext uri="{3e2802c4-a4d2-4d8b-9148-e3be6c30e623}">
          <xlrd:rvb i="4902"/>
        </ext>
      </extLst>
    </bk>
    <bk>
      <extLst>
        <ext uri="{3e2802c4-a4d2-4d8b-9148-e3be6c30e623}">
          <xlrd:rvb i="4903"/>
        </ext>
      </extLst>
    </bk>
    <bk>
      <extLst>
        <ext uri="{3e2802c4-a4d2-4d8b-9148-e3be6c30e623}">
          <xlrd:rvb i="4904"/>
        </ext>
      </extLst>
    </bk>
    <bk>
      <extLst>
        <ext uri="{3e2802c4-a4d2-4d8b-9148-e3be6c30e623}">
          <xlrd:rvb i="4905"/>
        </ext>
      </extLst>
    </bk>
    <bk>
      <extLst>
        <ext uri="{3e2802c4-a4d2-4d8b-9148-e3be6c30e623}">
          <xlrd:rvb i="4906"/>
        </ext>
      </extLst>
    </bk>
    <bk>
      <extLst>
        <ext uri="{3e2802c4-a4d2-4d8b-9148-e3be6c30e623}">
          <xlrd:rvb i="4907"/>
        </ext>
      </extLst>
    </bk>
    <bk>
      <extLst>
        <ext uri="{3e2802c4-a4d2-4d8b-9148-e3be6c30e623}">
          <xlrd:rvb i="4908"/>
        </ext>
      </extLst>
    </bk>
    <bk>
      <extLst>
        <ext uri="{3e2802c4-a4d2-4d8b-9148-e3be6c30e623}">
          <xlrd:rvb i="4909"/>
        </ext>
      </extLst>
    </bk>
    <bk>
      <extLst>
        <ext uri="{3e2802c4-a4d2-4d8b-9148-e3be6c30e623}">
          <xlrd:rvb i="4910"/>
        </ext>
      </extLst>
    </bk>
    <bk>
      <extLst>
        <ext uri="{3e2802c4-a4d2-4d8b-9148-e3be6c30e623}">
          <xlrd:rvb i="4911"/>
        </ext>
      </extLst>
    </bk>
    <bk>
      <extLst>
        <ext uri="{3e2802c4-a4d2-4d8b-9148-e3be6c30e623}">
          <xlrd:rvb i="4912"/>
        </ext>
      </extLst>
    </bk>
    <bk>
      <extLst>
        <ext uri="{3e2802c4-a4d2-4d8b-9148-e3be6c30e623}">
          <xlrd:rvb i="4913"/>
        </ext>
      </extLst>
    </bk>
    <bk>
      <extLst>
        <ext uri="{3e2802c4-a4d2-4d8b-9148-e3be6c30e623}">
          <xlrd:rvb i="4914"/>
        </ext>
      </extLst>
    </bk>
    <bk>
      <extLst>
        <ext uri="{3e2802c4-a4d2-4d8b-9148-e3be6c30e623}">
          <xlrd:rvb i="4915"/>
        </ext>
      </extLst>
    </bk>
    <bk>
      <extLst>
        <ext uri="{3e2802c4-a4d2-4d8b-9148-e3be6c30e623}">
          <xlrd:rvb i="4916"/>
        </ext>
      </extLst>
    </bk>
    <bk>
      <extLst>
        <ext uri="{3e2802c4-a4d2-4d8b-9148-e3be6c30e623}">
          <xlrd:rvb i="4917"/>
        </ext>
      </extLst>
    </bk>
    <bk>
      <extLst>
        <ext uri="{3e2802c4-a4d2-4d8b-9148-e3be6c30e623}">
          <xlrd:rvb i="4918"/>
        </ext>
      </extLst>
    </bk>
    <bk>
      <extLst>
        <ext uri="{3e2802c4-a4d2-4d8b-9148-e3be6c30e623}">
          <xlrd:rvb i="4919"/>
        </ext>
      </extLst>
    </bk>
    <bk>
      <extLst>
        <ext uri="{3e2802c4-a4d2-4d8b-9148-e3be6c30e623}">
          <xlrd:rvb i="4920"/>
        </ext>
      </extLst>
    </bk>
    <bk>
      <extLst>
        <ext uri="{3e2802c4-a4d2-4d8b-9148-e3be6c30e623}">
          <xlrd:rvb i="4921"/>
        </ext>
      </extLst>
    </bk>
    <bk>
      <extLst>
        <ext uri="{3e2802c4-a4d2-4d8b-9148-e3be6c30e623}">
          <xlrd:rvb i="4922"/>
        </ext>
      </extLst>
    </bk>
    <bk>
      <extLst>
        <ext uri="{3e2802c4-a4d2-4d8b-9148-e3be6c30e623}">
          <xlrd:rvb i="4923"/>
        </ext>
      </extLst>
    </bk>
    <bk>
      <extLst>
        <ext uri="{3e2802c4-a4d2-4d8b-9148-e3be6c30e623}">
          <xlrd:rvb i="4924"/>
        </ext>
      </extLst>
    </bk>
    <bk>
      <extLst>
        <ext uri="{3e2802c4-a4d2-4d8b-9148-e3be6c30e623}">
          <xlrd:rvb i="4925"/>
        </ext>
      </extLst>
    </bk>
    <bk>
      <extLst>
        <ext uri="{3e2802c4-a4d2-4d8b-9148-e3be6c30e623}">
          <xlrd:rvb i="4926"/>
        </ext>
      </extLst>
    </bk>
    <bk>
      <extLst>
        <ext uri="{3e2802c4-a4d2-4d8b-9148-e3be6c30e623}">
          <xlrd:rvb i="4927"/>
        </ext>
      </extLst>
    </bk>
    <bk>
      <extLst>
        <ext uri="{3e2802c4-a4d2-4d8b-9148-e3be6c30e623}">
          <xlrd:rvb i="4928"/>
        </ext>
      </extLst>
    </bk>
    <bk>
      <extLst>
        <ext uri="{3e2802c4-a4d2-4d8b-9148-e3be6c30e623}">
          <xlrd:rvb i="4929"/>
        </ext>
      </extLst>
    </bk>
    <bk>
      <extLst>
        <ext uri="{3e2802c4-a4d2-4d8b-9148-e3be6c30e623}">
          <xlrd:rvb i="4930"/>
        </ext>
      </extLst>
    </bk>
    <bk>
      <extLst>
        <ext uri="{3e2802c4-a4d2-4d8b-9148-e3be6c30e623}">
          <xlrd:rvb i="4931"/>
        </ext>
      </extLst>
    </bk>
    <bk>
      <extLst>
        <ext uri="{3e2802c4-a4d2-4d8b-9148-e3be6c30e623}">
          <xlrd:rvb i="4932"/>
        </ext>
      </extLst>
    </bk>
    <bk>
      <extLst>
        <ext uri="{3e2802c4-a4d2-4d8b-9148-e3be6c30e623}">
          <xlrd:rvb i="4933"/>
        </ext>
      </extLst>
    </bk>
    <bk>
      <extLst>
        <ext uri="{3e2802c4-a4d2-4d8b-9148-e3be6c30e623}">
          <xlrd:rvb i="4934"/>
        </ext>
      </extLst>
    </bk>
    <bk>
      <extLst>
        <ext uri="{3e2802c4-a4d2-4d8b-9148-e3be6c30e623}">
          <xlrd:rvb i="4935"/>
        </ext>
      </extLst>
    </bk>
    <bk>
      <extLst>
        <ext uri="{3e2802c4-a4d2-4d8b-9148-e3be6c30e623}">
          <xlrd:rvb i="4936"/>
        </ext>
      </extLst>
    </bk>
    <bk>
      <extLst>
        <ext uri="{3e2802c4-a4d2-4d8b-9148-e3be6c30e623}">
          <xlrd:rvb i="4937"/>
        </ext>
      </extLst>
    </bk>
    <bk>
      <extLst>
        <ext uri="{3e2802c4-a4d2-4d8b-9148-e3be6c30e623}">
          <xlrd:rvb i="4938"/>
        </ext>
      </extLst>
    </bk>
    <bk>
      <extLst>
        <ext uri="{3e2802c4-a4d2-4d8b-9148-e3be6c30e623}">
          <xlrd:rvb i="4939"/>
        </ext>
      </extLst>
    </bk>
    <bk>
      <extLst>
        <ext uri="{3e2802c4-a4d2-4d8b-9148-e3be6c30e623}">
          <xlrd:rvb i="4940"/>
        </ext>
      </extLst>
    </bk>
    <bk>
      <extLst>
        <ext uri="{3e2802c4-a4d2-4d8b-9148-e3be6c30e623}">
          <xlrd:rvb i="4941"/>
        </ext>
      </extLst>
    </bk>
    <bk>
      <extLst>
        <ext uri="{3e2802c4-a4d2-4d8b-9148-e3be6c30e623}">
          <xlrd:rvb i="4942"/>
        </ext>
      </extLst>
    </bk>
    <bk>
      <extLst>
        <ext uri="{3e2802c4-a4d2-4d8b-9148-e3be6c30e623}">
          <xlrd:rvb i="4943"/>
        </ext>
      </extLst>
    </bk>
    <bk>
      <extLst>
        <ext uri="{3e2802c4-a4d2-4d8b-9148-e3be6c30e623}">
          <xlrd:rvb i="4944"/>
        </ext>
      </extLst>
    </bk>
    <bk>
      <extLst>
        <ext uri="{3e2802c4-a4d2-4d8b-9148-e3be6c30e623}">
          <xlrd:rvb i="4945"/>
        </ext>
      </extLst>
    </bk>
    <bk>
      <extLst>
        <ext uri="{3e2802c4-a4d2-4d8b-9148-e3be6c30e623}">
          <xlrd:rvb i="4946"/>
        </ext>
      </extLst>
    </bk>
    <bk>
      <extLst>
        <ext uri="{3e2802c4-a4d2-4d8b-9148-e3be6c30e623}">
          <xlrd:rvb i="4947"/>
        </ext>
      </extLst>
    </bk>
    <bk>
      <extLst>
        <ext uri="{3e2802c4-a4d2-4d8b-9148-e3be6c30e623}">
          <xlrd:rvb i="4948"/>
        </ext>
      </extLst>
    </bk>
    <bk>
      <extLst>
        <ext uri="{3e2802c4-a4d2-4d8b-9148-e3be6c30e623}">
          <xlrd:rvb i="4949"/>
        </ext>
      </extLst>
    </bk>
    <bk>
      <extLst>
        <ext uri="{3e2802c4-a4d2-4d8b-9148-e3be6c30e623}">
          <xlrd:rvb i="4950"/>
        </ext>
      </extLst>
    </bk>
    <bk>
      <extLst>
        <ext uri="{3e2802c4-a4d2-4d8b-9148-e3be6c30e623}">
          <xlrd:rvb i="4951"/>
        </ext>
      </extLst>
    </bk>
    <bk>
      <extLst>
        <ext uri="{3e2802c4-a4d2-4d8b-9148-e3be6c30e623}">
          <xlrd:rvb i="4952"/>
        </ext>
      </extLst>
    </bk>
    <bk>
      <extLst>
        <ext uri="{3e2802c4-a4d2-4d8b-9148-e3be6c30e623}">
          <xlrd:rvb i="4953"/>
        </ext>
      </extLst>
    </bk>
    <bk>
      <extLst>
        <ext uri="{3e2802c4-a4d2-4d8b-9148-e3be6c30e623}">
          <xlrd:rvb i="4954"/>
        </ext>
      </extLst>
    </bk>
    <bk>
      <extLst>
        <ext uri="{3e2802c4-a4d2-4d8b-9148-e3be6c30e623}">
          <xlrd:rvb i="4955"/>
        </ext>
      </extLst>
    </bk>
    <bk>
      <extLst>
        <ext uri="{3e2802c4-a4d2-4d8b-9148-e3be6c30e623}">
          <xlrd:rvb i="4956"/>
        </ext>
      </extLst>
    </bk>
    <bk>
      <extLst>
        <ext uri="{3e2802c4-a4d2-4d8b-9148-e3be6c30e623}">
          <xlrd:rvb i="4957"/>
        </ext>
      </extLst>
    </bk>
    <bk>
      <extLst>
        <ext uri="{3e2802c4-a4d2-4d8b-9148-e3be6c30e623}">
          <xlrd:rvb i="4958"/>
        </ext>
      </extLst>
    </bk>
    <bk>
      <extLst>
        <ext uri="{3e2802c4-a4d2-4d8b-9148-e3be6c30e623}">
          <xlrd:rvb i="4959"/>
        </ext>
      </extLst>
    </bk>
    <bk>
      <extLst>
        <ext uri="{3e2802c4-a4d2-4d8b-9148-e3be6c30e623}">
          <xlrd:rvb i="4960"/>
        </ext>
      </extLst>
    </bk>
    <bk>
      <extLst>
        <ext uri="{3e2802c4-a4d2-4d8b-9148-e3be6c30e623}">
          <xlrd:rvb i="4961"/>
        </ext>
      </extLst>
    </bk>
    <bk>
      <extLst>
        <ext uri="{3e2802c4-a4d2-4d8b-9148-e3be6c30e623}">
          <xlrd:rvb i="4962"/>
        </ext>
      </extLst>
    </bk>
    <bk>
      <extLst>
        <ext uri="{3e2802c4-a4d2-4d8b-9148-e3be6c30e623}">
          <xlrd:rvb i="4963"/>
        </ext>
      </extLst>
    </bk>
    <bk>
      <extLst>
        <ext uri="{3e2802c4-a4d2-4d8b-9148-e3be6c30e623}">
          <xlrd:rvb i="4964"/>
        </ext>
      </extLst>
    </bk>
    <bk>
      <extLst>
        <ext uri="{3e2802c4-a4d2-4d8b-9148-e3be6c30e623}">
          <xlrd:rvb i="4965"/>
        </ext>
      </extLst>
    </bk>
    <bk>
      <extLst>
        <ext uri="{3e2802c4-a4d2-4d8b-9148-e3be6c30e623}">
          <xlrd:rvb i="4966"/>
        </ext>
      </extLst>
    </bk>
    <bk>
      <extLst>
        <ext uri="{3e2802c4-a4d2-4d8b-9148-e3be6c30e623}">
          <xlrd:rvb i="4967"/>
        </ext>
      </extLst>
    </bk>
    <bk>
      <extLst>
        <ext uri="{3e2802c4-a4d2-4d8b-9148-e3be6c30e623}">
          <xlrd:rvb i="4968"/>
        </ext>
      </extLst>
    </bk>
    <bk>
      <extLst>
        <ext uri="{3e2802c4-a4d2-4d8b-9148-e3be6c30e623}">
          <xlrd:rvb i="4969"/>
        </ext>
      </extLst>
    </bk>
    <bk>
      <extLst>
        <ext uri="{3e2802c4-a4d2-4d8b-9148-e3be6c30e623}">
          <xlrd:rvb i="4970"/>
        </ext>
      </extLst>
    </bk>
    <bk>
      <extLst>
        <ext uri="{3e2802c4-a4d2-4d8b-9148-e3be6c30e623}">
          <xlrd:rvb i="4971"/>
        </ext>
      </extLst>
    </bk>
    <bk>
      <extLst>
        <ext uri="{3e2802c4-a4d2-4d8b-9148-e3be6c30e623}">
          <xlrd:rvb i="4972"/>
        </ext>
      </extLst>
    </bk>
    <bk>
      <extLst>
        <ext uri="{3e2802c4-a4d2-4d8b-9148-e3be6c30e623}">
          <xlrd:rvb i="4973"/>
        </ext>
      </extLst>
    </bk>
    <bk>
      <extLst>
        <ext uri="{3e2802c4-a4d2-4d8b-9148-e3be6c30e623}">
          <xlrd:rvb i="4974"/>
        </ext>
      </extLst>
    </bk>
    <bk>
      <extLst>
        <ext uri="{3e2802c4-a4d2-4d8b-9148-e3be6c30e623}">
          <xlrd:rvb i="4975"/>
        </ext>
      </extLst>
    </bk>
    <bk>
      <extLst>
        <ext uri="{3e2802c4-a4d2-4d8b-9148-e3be6c30e623}">
          <xlrd:rvb i="4976"/>
        </ext>
      </extLst>
    </bk>
    <bk>
      <extLst>
        <ext uri="{3e2802c4-a4d2-4d8b-9148-e3be6c30e623}">
          <xlrd:rvb i="4977"/>
        </ext>
      </extLst>
    </bk>
    <bk>
      <extLst>
        <ext uri="{3e2802c4-a4d2-4d8b-9148-e3be6c30e623}">
          <xlrd:rvb i="4978"/>
        </ext>
      </extLst>
    </bk>
    <bk>
      <extLst>
        <ext uri="{3e2802c4-a4d2-4d8b-9148-e3be6c30e623}">
          <xlrd:rvb i="4979"/>
        </ext>
      </extLst>
    </bk>
    <bk>
      <extLst>
        <ext uri="{3e2802c4-a4d2-4d8b-9148-e3be6c30e623}">
          <xlrd:rvb i="4980"/>
        </ext>
      </extLst>
    </bk>
    <bk>
      <extLst>
        <ext uri="{3e2802c4-a4d2-4d8b-9148-e3be6c30e623}">
          <xlrd:rvb i="4981"/>
        </ext>
      </extLst>
    </bk>
    <bk>
      <extLst>
        <ext uri="{3e2802c4-a4d2-4d8b-9148-e3be6c30e623}">
          <xlrd:rvb i="4982"/>
        </ext>
      </extLst>
    </bk>
    <bk>
      <extLst>
        <ext uri="{3e2802c4-a4d2-4d8b-9148-e3be6c30e623}">
          <xlrd:rvb i="4983"/>
        </ext>
      </extLst>
    </bk>
    <bk>
      <extLst>
        <ext uri="{3e2802c4-a4d2-4d8b-9148-e3be6c30e623}">
          <xlrd:rvb i="4984"/>
        </ext>
      </extLst>
    </bk>
    <bk>
      <extLst>
        <ext uri="{3e2802c4-a4d2-4d8b-9148-e3be6c30e623}">
          <xlrd:rvb i="4985"/>
        </ext>
      </extLst>
    </bk>
    <bk>
      <extLst>
        <ext uri="{3e2802c4-a4d2-4d8b-9148-e3be6c30e623}">
          <xlrd:rvb i="4986"/>
        </ext>
      </extLst>
    </bk>
    <bk>
      <extLst>
        <ext uri="{3e2802c4-a4d2-4d8b-9148-e3be6c30e623}">
          <xlrd:rvb i="4987"/>
        </ext>
      </extLst>
    </bk>
    <bk>
      <extLst>
        <ext uri="{3e2802c4-a4d2-4d8b-9148-e3be6c30e623}">
          <xlrd:rvb i="4988"/>
        </ext>
      </extLst>
    </bk>
    <bk>
      <extLst>
        <ext uri="{3e2802c4-a4d2-4d8b-9148-e3be6c30e623}">
          <xlrd:rvb i="4989"/>
        </ext>
      </extLst>
    </bk>
    <bk>
      <extLst>
        <ext uri="{3e2802c4-a4d2-4d8b-9148-e3be6c30e623}">
          <xlrd:rvb i="4990"/>
        </ext>
      </extLst>
    </bk>
    <bk>
      <extLst>
        <ext uri="{3e2802c4-a4d2-4d8b-9148-e3be6c30e623}">
          <xlrd:rvb i="4991"/>
        </ext>
      </extLst>
    </bk>
    <bk>
      <extLst>
        <ext uri="{3e2802c4-a4d2-4d8b-9148-e3be6c30e623}">
          <xlrd:rvb i="4992"/>
        </ext>
      </extLst>
    </bk>
    <bk>
      <extLst>
        <ext uri="{3e2802c4-a4d2-4d8b-9148-e3be6c30e623}">
          <xlrd:rvb i="4993"/>
        </ext>
      </extLst>
    </bk>
    <bk>
      <extLst>
        <ext uri="{3e2802c4-a4d2-4d8b-9148-e3be6c30e623}">
          <xlrd:rvb i="4994"/>
        </ext>
      </extLst>
    </bk>
    <bk>
      <extLst>
        <ext uri="{3e2802c4-a4d2-4d8b-9148-e3be6c30e623}">
          <xlrd:rvb i="4995"/>
        </ext>
      </extLst>
    </bk>
    <bk>
      <extLst>
        <ext uri="{3e2802c4-a4d2-4d8b-9148-e3be6c30e623}">
          <xlrd:rvb i="4996"/>
        </ext>
      </extLst>
    </bk>
    <bk>
      <extLst>
        <ext uri="{3e2802c4-a4d2-4d8b-9148-e3be6c30e623}">
          <xlrd:rvb i="4997"/>
        </ext>
      </extLst>
    </bk>
    <bk>
      <extLst>
        <ext uri="{3e2802c4-a4d2-4d8b-9148-e3be6c30e623}">
          <xlrd:rvb i="4998"/>
        </ext>
      </extLst>
    </bk>
    <bk>
      <extLst>
        <ext uri="{3e2802c4-a4d2-4d8b-9148-e3be6c30e623}">
          <xlrd:rvb i="4999"/>
        </ext>
      </extLst>
    </bk>
    <bk>
      <extLst>
        <ext uri="{3e2802c4-a4d2-4d8b-9148-e3be6c30e623}">
          <xlrd:rvb i="5000"/>
        </ext>
      </extLst>
    </bk>
    <bk>
      <extLst>
        <ext uri="{3e2802c4-a4d2-4d8b-9148-e3be6c30e623}">
          <xlrd:rvb i="5001"/>
        </ext>
      </extLst>
    </bk>
    <bk>
      <extLst>
        <ext uri="{3e2802c4-a4d2-4d8b-9148-e3be6c30e623}">
          <xlrd:rvb i="5002"/>
        </ext>
      </extLst>
    </bk>
    <bk>
      <extLst>
        <ext uri="{3e2802c4-a4d2-4d8b-9148-e3be6c30e623}">
          <xlrd:rvb i="5003"/>
        </ext>
      </extLst>
    </bk>
    <bk>
      <extLst>
        <ext uri="{3e2802c4-a4d2-4d8b-9148-e3be6c30e623}">
          <xlrd:rvb i="5004"/>
        </ext>
      </extLst>
    </bk>
    <bk>
      <extLst>
        <ext uri="{3e2802c4-a4d2-4d8b-9148-e3be6c30e623}">
          <xlrd:rvb i="5005"/>
        </ext>
      </extLst>
    </bk>
    <bk>
      <extLst>
        <ext uri="{3e2802c4-a4d2-4d8b-9148-e3be6c30e623}">
          <xlrd:rvb i="5006"/>
        </ext>
      </extLst>
    </bk>
    <bk>
      <extLst>
        <ext uri="{3e2802c4-a4d2-4d8b-9148-e3be6c30e623}">
          <xlrd:rvb i="5007"/>
        </ext>
      </extLst>
    </bk>
    <bk>
      <extLst>
        <ext uri="{3e2802c4-a4d2-4d8b-9148-e3be6c30e623}">
          <xlrd:rvb i="5008"/>
        </ext>
      </extLst>
    </bk>
    <bk>
      <extLst>
        <ext uri="{3e2802c4-a4d2-4d8b-9148-e3be6c30e623}">
          <xlrd:rvb i="5009"/>
        </ext>
      </extLst>
    </bk>
    <bk>
      <extLst>
        <ext uri="{3e2802c4-a4d2-4d8b-9148-e3be6c30e623}">
          <xlrd:rvb i="5010"/>
        </ext>
      </extLst>
    </bk>
    <bk>
      <extLst>
        <ext uri="{3e2802c4-a4d2-4d8b-9148-e3be6c30e623}">
          <xlrd:rvb i="5011"/>
        </ext>
      </extLst>
    </bk>
    <bk>
      <extLst>
        <ext uri="{3e2802c4-a4d2-4d8b-9148-e3be6c30e623}">
          <xlrd:rvb i="5012"/>
        </ext>
      </extLst>
    </bk>
    <bk>
      <extLst>
        <ext uri="{3e2802c4-a4d2-4d8b-9148-e3be6c30e623}">
          <xlrd:rvb i="5013"/>
        </ext>
      </extLst>
    </bk>
    <bk>
      <extLst>
        <ext uri="{3e2802c4-a4d2-4d8b-9148-e3be6c30e623}">
          <xlrd:rvb i="5014"/>
        </ext>
      </extLst>
    </bk>
    <bk>
      <extLst>
        <ext uri="{3e2802c4-a4d2-4d8b-9148-e3be6c30e623}">
          <xlrd:rvb i="5015"/>
        </ext>
      </extLst>
    </bk>
    <bk>
      <extLst>
        <ext uri="{3e2802c4-a4d2-4d8b-9148-e3be6c30e623}">
          <xlrd:rvb i="5016"/>
        </ext>
      </extLst>
    </bk>
    <bk>
      <extLst>
        <ext uri="{3e2802c4-a4d2-4d8b-9148-e3be6c30e623}">
          <xlrd:rvb i="5017"/>
        </ext>
      </extLst>
    </bk>
    <bk>
      <extLst>
        <ext uri="{3e2802c4-a4d2-4d8b-9148-e3be6c30e623}">
          <xlrd:rvb i="5018"/>
        </ext>
      </extLst>
    </bk>
    <bk>
      <extLst>
        <ext uri="{3e2802c4-a4d2-4d8b-9148-e3be6c30e623}">
          <xlrd:rvb i="5019"/>
        </ext>
      </extLst>
    </bk>
    <bk>
      <extLst>
        <ext uri="{3e2802c4-a4d2-4d8b-9148-e3be6c30e623}">
          <xlrd:rvb i="5020"/>
        </ext>
      </extLst>
    </bk>
    <bk>
      <extLst>
        <ext uri="{3e2802c4-a4d2-4d8b-9148-e3be6c30e623}">
          <xlrd:rvb i="5021"/>
        </ext>
      </extLst>
    </bk>
    <bk>
      <extLst>
        <ext uri="{3e2802c4-a4d2-4d8b-9148-e3be6c30e623}">
          <xlrd:rvb i="5022"/>
        </ext>
      </extLst>
    </bk>
    <bk>
      <extLst>
        <ext uri="{3e2802c4-a4d2-4d8b-9148-e3be6c30e623}">
          <xlrd:rvb i="5023"/>
        </ext>
      </extLst>
    </bk>
    <bk>
      <extLst>
        <ext uri="{3e2802c4-a4d2-4d8b-9148-e3be6c30e623}">
          <xlrd:rvb i="5024"/>
        </ext>
      </extLst>
    </bk>
    <bk>
      <extLst>
        <ext uri="{3e2802c4-a4d2-4d8b-9148-e3be6c30e623}">
          <xlrd:rvb i="5025"/>
        </ext>
      </extLst>
    </bk>
    <bk>
      <extLst>
        <ext uri="{3e2802c4-a4d2-4d8b-9148-e3be6c30e623}">
          <xlrd:rvb i="5026"/>
        </ext>
      </extLst>
    </bk>
    <bk>
      <extLst>
        <ext uri="{3e2802c4-a4d2-4d8b-9148-e3be6c30e623}">
          <xlrd:rvb i="5027"/>
        </ext>
      </extLst>
    </bk>
    <bk>
      <extLst>
        <ext uri="{3e2802c4-a4d2-4d8b-9148-e3be6c30e623}">
          <xlrd:rvb i="5028"/>
        </ext>
      </extLst>
    </bk>
    <bk>
      <extLst>
        <ext uri="{3e2802c4-a4d2-4d8b-9148-e3be6c30e623}">
          <xlrd:rvb i="5029"/>
        </ext>
      </extLst>
    </bk>
    <bk>
      <extLst>
        <ext uri="{3e2802c4-a4d2-4d8b-9148-e3be6c30e623}">
          <xlrd:rvb i="5030"/>
        </ext>
      </extLst>
    </bk>
    <bk>
      <extLst>
        <ext uri="{3e2802c4-a4d2-4d8b-9148-e3be6c30e623}">
          <xlrd:rvb i="5031"/>
        </ext>
      </extLst>
    </bk>
    <bk>
      <extLst>
        <ext uri="{3e2802c4-a4d2-4d8b-9148-e3be6c30e623}">
          <xlrd:rvb i="5032"/>
        </ext>
      </extLst>
    </bk>
    <bk>
      <extLst>
        <ext uri="{3e2802c4-a4d2-4d8b-9148-e3be6c30e623}">
          <xlrd:rvb i="5033"/>
        </ext>
      </extLst>
    </bk>
    <bk>
      <extLst>
        <ext uri="{3e2802c4-a4d2-4d8b-9148-e3be6c30e623}">
          <xlrd:rvb i="5034"/>
        </ext>
      </extLst>
    </bk>
    <bk>
      <extLst>
        <ext uri="{3e2802c4-a4d2-4d8b-9148-e3be6c30e623}">
          <xlrd:rvb i="5035"/>
        </ext>
      </extLst>
    </bk>
    <bk>
      <extLst>
        <ext uri="{3e2802c4-a4d2-4d8b-9148-e3be6c30e623}">
          <xlrd:rvb i="5036"/>
        </ext>
      </extLst>
    </bk>
    <bk>
      <extLst>
        <ext uri="{3e2802c4-a4d2-4d8b-9148-e3be6c30e623}">
          <xlrd:rvb i="5037"/>
        </ext>
      </extLst>
    </bk>
    <bk>
      <extLst>
        <ext uri="{3e2802c4-a4d2-4d8b-9148-e3be6c30e623}">
          <xlrd:rvb i="5038"/>
        </ext>
      </extLst>
    </bk>
    <bk>
      <extLst>
        <ext uri="{3e2802c4-a4d2-4d8b-9148-e3be6c30e623}">
          <xlrd:rvb i="5039"/>
        </ext>
      </extLst>
    </bk>
    <bk>
      <extLst>
        <ext uri="{3e2802c4-a4d2-4d8b-9148-e3be6c30e623}">
          <xlrd:rvb i="5040"/>
        </ext>
      </extLst>
    </bk>
    <bk>
      <extLst>
        <ext uri="{3e2802c4-a4d2-4d8b-9148-e3be6c30e623}">
          <xlrd:rvb i="5041"/>
        </ext>
      </extLst>
    </bk>
    <bk>
      <extLst>
        <ext uri="{3e2802c4-a4d2-4d8b-9148-e3be6c30e623}">
          <xlrd:rvb i="5042"/>
        </ext>
      </extLst>
    </bk>
    <bk>
      <extLst>
        <ext uri="{3e2802c4-a4d2-4d8b-9148-e3be6c30e623}">
          <xlrd:rvb i="5043"/>
        </ext>
      </extLst>
    </bk>
    <bk>
      <extLst>
        <ext uri="{3e2802c4-a4d2-4d8b-9148-e3be6c30e623}">
          <xlrd:rvb i="5044"/>
        </ext>
      </extLst>
    </bk>
    <bk>
      <extLst>
        <ext uri="{3e2802c4-a4d2-4d8b-9148-e3be6c30e623}">
          <xlrd:rvb i="5045"/>
        </ext>
      </extLst>
    </bk>
    <bk>
      <extLst>
        <ext uri="{3e2802c4-a4d2-4d8b-9148-e3be6c30e623}">
          <xlrd:rvb i="5046"/>
        </ext>
      </extLst>
    </bk>
    <bk>
      <extLst>
        <ext uri="{3e2802c4-a4d2-4d8b-9148-e3be6c30e623}">
          <xlrd:rvb i="5047"/>
        </ext>
      </extLst>
    </bk>
    <bk>
      <extLst>
        <ext uri="{3e2802c4-a4d2-4d8b-9148-e3be6c30e623}">
          <xlrd:rvb i="5048"/>
        </ext>
      </extLst>
    </bk>
    <bk>
      <extLst>
        <ext uri="{3e2802c4-a4d2-4d8b-9148-e3be6c30e623}">
          <xlrd:rvb i="5049"/>
        </ext>
      </extLst>
    </bk>
    <bk>
      <extLst>
        <ext uri="{3e2802c4-a4d2-4d8b-9148-e3be6c30e623}">
          <xlrd:rvb i="5050"/>
        </ext>
      </extLst>
    </bk>
    <bk>
      <extLst>
        <ext uri="{3e2802c4-a4d2-4d8b-9148-e3be6c30e623}">
          <xlrd:rvb i="5051"/>
        </ext>
      </extLst>
    </bk>
    <bk>
      <extLst>
        <ext uri="{3e2802c4-a4d2-4d8b-9148-e3be6c30e623}">
          <xlrd:rvb i="5052"/>
        </ext>
      </extLst>
    </bk>
    <bk>
      <extLst>
        <ext uri="{3e2802c4-a4d2-4d8b-9148-e3be6c30e623}">
          <xlrd:rvb i="5053"/>
        </ext>
      </extLst>
    </bk>
    <bk>
      <extLst>
        <ext uri="{3e2802c4-a4d2-4d8b-9148-e3be6c30e623}">
          <xlrd:rvb i="5054"/>
        </ext>
      </extLst>
    </bk>
    <bk>
      <extLst>
        <ext uri="{3e2802c4-a4d2-4d8b-9148-e3be6c30e623}">
          <xlrd:rvb i="5055"/>
        </ext>
      </extLst>
    </bk>
    <bk>
      <extLst>
        <ext uri="{3e2802c4-a4d2-4d8b-9148-e3be6c30e623}">
          <xlrd:rvb i="5056"/>
        </ext>
      </extLst>
    </bk>
    <bk>
      <extLst>
        <ext uri="{3e2802c4-a4d2-4d8b-9148-e3be6c30e623}">
          <xlrd:rvb i="5057"/>
        </ext>
      </extLst>
    </bk>
    <bk>
      <extLst>
        <ext uri="{3e2802c4-a4d2-4d8b-9148-e3be6c30e623}">
          <xlrd:rvb i="5058"/>
        </ext>
      </extLst>
    </bk>
    <bk>
      <extLst>
        <ext uri="{3e2802c4-a4d2-4d8b-9148-e3be6c30e623}">
          <xlrd:rvb i="5059"/>
        </ext>
      </extLst>
    </bk>
    <bk>
      <extLst>
        <ext uri="{3e2802c4-a4d2-4d8b-9148-e3be6c30e623}">
          <xlrd:rvb i="5060"/>
        </ext>
      </extLst>
    </bk>
    <bk>
      <extLst>
        <ext uri="{3e2802c4-a4d2-4d8b-9148-e3be6c30e623}">
          <xlrd:rvb i="5061"/>
        </ext>
      </extLst>
    </bk>
    <bk>
      <extLst>
        <ext uri="{3e2802c4-a4d2-4d8b-9148-e3be6c30e623}">
          <xlrd:rvb i="5062"/>
        </ext>
      </extLst>
    </bk>
    <bk>
      <extLst>
        <ext uri="{3e2802c4-a4d2-4d8b-9148-e3be6c30e623}">
          <xlrd:rvb i="5063"/>
        </ext>
      </extLst>
    </bk>
    <bk>
      <extLst>
        <ext uri="{3e2802c4-a4d2-4d8b-9148-e3be6c30e623}">
          <xlrd:rvb i="5064"/>
        </ext>
      </extLst>
    </bk>
    <bk>
      <extLst>
        <ext uri="{3e2802c4-a4d2-4d8b-9148-e3be6c30e623}">
          <xlrd:rvb i="5065"/>
        </ext>
      </extLst>
    </bk>
    <bk>
      <extLst>
        <ext uri="{3e2802c4-a4d2-4d8b-9148-e3be6c30e623}">
          <xlrd:rvb i="5066"/>
        </ext>
      </extLst>
    </bk>
    <bk>
      <extLst>
        <ext uri="{3e2802c4-a4d2-4d8b-9148-e3be6c30e623}">
          <xlrd:rvb i="5067"/>
        </ext>
      </extLst>
    </bk>
    <bk>
      <extLst>
        <ext uri="{3e2802c4-a4d2-4d8b-9148-e3be6c30e623}">
          <xlrd:rvb i="5068"/>
        </ext>
      </extLst>
    </bk>
    <bk>
      <extLst>
        <ext uri="{3e2802c4-a4d2-4d8b-9148-e3be6c30e623}">
          <xlrd:rvb i="5069"/>
        </ext>
      </extLst>
    </bk>
    <bk>
      <extLst>
        <ext uri="{3e2802c4-a4d2-4d8b-9148-e3be6c30e623}">
          <xlrd:rvb i="5070"/>
        </ext>
      </extLst>
    </bk>
    <bk>
      <extLst>
        <ext uri="{3e2802c4-a4d2-4d8b-9148-e3be6c30e623}">
          <xlrd:rvb i="5071"/>
        </ext>
      </extLst>
    </bk>
    <bk>
      <extLst>
        <ext uri="{3e2802c4-a4d2-4d8b-9148-e3be6c30e623}">
          <xlrd:rvb i="5072"/>
        </ext>
      </extLst>
    </bk>
    <bk>
      <extLst>
        <ext uri="{3e2802c4-a4d2-4d8b-9148-e3be6c30e623}">
          <xlrd:rvb i="5073"/>
        </ext>
      </extLst>
    </bk>
    <bk>
      <extLst>
        <ext uri="{3e2802c4-a4d2-4d8b-9148-e3be6c30e623}">
          <xlrd:rvb i="5074"/>
        </ext>
      </extLst>
    </bk>
    <bk>
      <extLst>
        <ext uri="{3e2802c4-a4d2-4d8b-9148-e3be6c30e623}">
          <xlrd:rvb i="5075"/>
        </ext>
      </extLst>
    </bk>
    <bk>
      <extLst>
        <ext uri="{3e2802c4-a4d2-4d8b-9148-e3be6c30e623}">
          <xlrd:rvb i="5076"/>
        </ext>
      </extLst>
    </bk>
    <bk>
      <extLst>
        <ext uri="{3e2802c4-a4d2-4d8b-9148-e3be6c30e623}">
          <xlrd:rvb i="5077"/>
        </ext>
      </extLst>
    </bk>
    <bk>
      <extLst>
        <ext uri="{3e2802c4-a4d2-4d8b-9148-e3be6c30e623}">
          <xlrd:rvb i="5078"/>
        </ext>
      </extLst>
    </bk>
    <bk>
      <extLst>
        <ext uri="{3e2802c4-a4d2-4d8b-9148-e3be6c30e623}">
          <xlrd:rvb i="5079"/>
        </ext>
      </extLst>
    </bk>
    <bk>
      <extLst>
        <ext uri="{3e2802c4-a4d2-4d8b-9148-e3be6c30e623}">
          <xlrd:rvb i="5080"/>
        </ext>
      </extLst>
    </bk>
    <bk>
      <extLst>
        <ext uri="{3e2802c4-a4d2-4d8b-9148-e3be6c30e623}">
          <xlrd:rvb i="5081"/>
        </ext>
      </extLst>
    </bk>
    <bk>
      <extLst>
        <ext uri="{3e2802c4-a4d2-4d8b-9148-e3be6c30e623}">
          <xlrd:rvb i="5082"/>
        </ext>
      </extLst>
    </bk>
    <bk>
      <extLst>
        <ext uri="{3e2802c4-a4d2-4d8b-9148-e3be6c30e623}">
          <xlrd:rvb i="5083"/>
        </ext>
      </extLst>
    </bk>
    <bk>
      <extLst>
        <ext uri="{3e2802c4-a4d2-4d8b-9148-e3be6c30e623}">
          <xlrd:rvb i="5084"/>
        </ext>
      </extLst>
    </bk>
    <bk>
      <extLst>
        <ext uri="{3e2802c4-a4d2-4d8b-9148-e3be6c30e623}">
          <xlrd:rvb i="5085"/>
        </ext>
      </extLst>
    </bk>
    <bk>
      <extLst>
        <ext uri="{3e2802c4-a4d2-4d8b-9148-e3be6c30e623}">
          <xlrd:rvb i="5086"/>
        </ext>
      </extLst>
    </bk>
    <bk>
      <extLst>
        <ext uri="{3e2802c4-a4d2-4d8b-9148-e3be6c30e623}">
          <xlrd:rvb i="5087"/>
        </ext>
      </extLst>
    </bk>
    <bk>
      <extLst>
        <ext uri="{3e2802c4-a4d2-4d8b-9148-e3be6c30e623}">
          <xlrd:rvb i="5088"/>
        </ext>
      </extLst>
    </bk>
    <bk>
      <extLst>
        <ext uri="{3e2802c4-a4d2-4d8b-9148-e3be6c30e623}">
          <xlrd:rvb i="5089"/>
        </ext>
      </extLst>
    </bk>
    <bk>
      <extLst>
        <ext uri="{3e2802c4-a4d2-4d8b-9148-e3be6c30e623}">
          <xlrd:rvb i="5090"/>
        </ext>
      </extLst>
    </bk>
    <bk>
      <extLst>
        <ext uri="{3e2802c4-a4d2-4d8b-9148-e3be6c30e623}">
          <xlrd:rvb i="5091"/>
        </ext>
      </extLst>
    </bk>
    <bk>
      <extLst>
        <ext uri="{3e2802c4-a4d2-4d8b-9148-e3be6c30e623}">
          <xlrd:rvb i="5092"/>
        </ext>
      </extLst>
    </bk>
    <bk>
      <extLst>
        <ext uri="{3e2802c4-a4d2-4d8b-9148-e3be6c30e623}">
          <xlrd:rvb i="5093"/>
        </ext>
      </extLst>
    </bk>
    <bk>
      <extLst>
        <ext uri="{3e2802c4-a4d2-4d8b-9148-e3be6c30e623}">
          <xlrd:rvb i="5094"/>
        </ext>
      </extLst>
    </bk>
    <bk>
      <extLst>
        <ext uri="{3e2802c4-a4d2-4d8b-9148-e3be6c30e623}">
          <xlrd:rvb i="5095"/>
        </ext>
      </extLst>
    </bk>
    <bk>
      <extLst>
        <ext uri="{3e2802c4-a4d2-4d8b-9148-e3be6c30e623}">
          <xlrd:rvb i="5096"/>
        </ext>
      </extLst>
    </bk>
    <bk>
      <extLst>
        <ext uri="{3e2802c4-a4d2-4d8b-9148-e3be6c30e623}">
          <xlrd:rvb i="5097"/>
        </ext>
      </extLst>
    </bk>
    <bk>
      <extLst>
        <ext uri="{3e2802c4-a4d2-4d8b-9148-e3be6c30e623}">
          <xlrd:rvb i="5098"/>
        </ext>
      </extLst>
    </bk>
    <bk>
      <extLst>
        <ext uri="{3e2802c4-a4d2-4d8b-9148-e3be6c30e623}">
          <xlrd:rvb i="5099"/>
        </ext>
      </extLst>
    </bk>
    <bk>
      <extLst>
        <ext uri="{3e2802c4-a4d2-4d8b-9148-e3be6c30e623}">
          <xlrd:rvb i="5100"/>
        </ext>
      </extLst>
    </bk>
    <bk>
      <extLst>
        <ext uri="{3e2802c4-a4d2-4d8b-9148-e3be6c30e623}">
          <xlrd:rvb i="5101"/>
        </ext>
      </extLst>
    </bk>
    <bk>
      <extLst>
        <ext uri="{3e2802c4-a4d2-4d8b-9148-e3be6c30e623}">
          <xlrd:rvb i="5102"/>
        </ext>
      </extLst>
    </bk>
    <bk>
      <extLst>
        <ext uri="{3e2802c4-a4d2-4d8b-9148-e3be6c30e623}">
          <xlrd:rvb i="5103"/>
        </ext>
      </extLst>
    </bk>
    <bk>
      <extLst>
        <ext uri="{3e2802c4-a4d2-4d8b-9148-e3be6c30e623}">
          <xlrd:rvb i="5104"/>
        </ext>
      </extLst>
    </bk>
    <bk>
      <extLst>
        <ext uri="{3e2802c4-a4d2-4d8b-9148-e3be6c30e623}">
          <xlrd:rvb i="5105"/>
        </ext>
      </extLst>
    </bk>
    <bk>
      <extLst>
        <ext uri="{3e2802c4-a4d2-4d8b-9148-e3be6c30e623}">
          <xlrd:rvb i="5106"/>
        </ext>
      </extLst>
    </bk>
    <bk>
      <extLst>
        <ext uri="{3e2802c4-a4d2-4d8b-9148-e3be6c30e623}">
          <xlrd:rvb i="5107"/>
        </ext>
      </extLst>
    </bk>
    <bk>
      <extLst>
        <ext uri="{3e2802c4-a4d2-4d8b-9148-e3be6c30e623}">
          <xlrd:rvb i="5108"/>
        </ext>
      </extLst>
    </bk>
    <bk>
      <extLst>
        <ext uri="{3e2802c4-a4d2-4d8b-9148-e3be6c30e623}">
          <xlrd:rvb i="5109"/>
        </ext>
      </extLst>
    </bk>
    <bk>
      <extLst>
        <ext uri="{3e2802c4-a4d2-4d8b-9148-e3be6c30e623}">
          <xlrd:rvb i="5110"/>
        </ext>
      </extLst>
    </bk>
    <bk>
      <extLst>
        <ext uri="{3e2802c4-a4d2-4d8b-9148-e3be6c30e623}">
          <xlrd:rvb i="5111"/>
        </ext>
      </extLst>
    </bk>
    <bk>
      <extLst>
        <ext uri="{3e2802c4-a4d2-4d8b-9148-e3be6c30e623}">
          <xlrd:rvb i="5112"/>
        </ext>
      </extLst>
    </bk>
    <bk>
      <extLst>
        <ext uri="{3e2802c4-a4d2-4d8b-9148-e3be6c30e623}">
          <xlrd:rvb i="5113"/>
        </ext>
      </extLst>
    </bk>
    <bk>
      <extLst>
        <ext uri="{3e2802c4-a4d2-4d8b-9148-e3be6c30e623}">
          <xlrd:rvb i="5114"/>
        </ext>
      </extLst>
    </bk>
    <bk>
      <extLst>
        <ext uri="{3e2802c4-a4d2-4d8b-9148-e3be6c30e623}">
          <xlrd:rvb i="5115"/>
        </ext>
      </extLst>
    </bk>
    <bk>
      <extLst>
        <ext uri="{3e2802c4-a4d2-4d8b-9148-e3be6c30e623}">
          <xlrd:rvb i="5116"/>
        </ext>
      </extLst>
    </bk>
    <bk>
      <extLst>
        <ext uri="{3e2802c4-a4d2-4d8b-9148-e3be6c30e623}">
          <xlrd:rvb i="5117"/>
        </ext>
      </extLst>
    </bk>
    <bk>
      <extLst>
        <ext uri="{3e2802c4-a4d2-4d8b-9148-e3be6c30e623}">
          <xlrd:rvb i="5118"/>
        </ext>
      </extLst>
    </bk>
    <bk>
      <extLst>
        <ext uri="{3e2802c4-a4d2-4d8b-9148-e3be6c30e623}">
          <xlrd:rvb i="5119"/>
        </ext>
      </extLst>
    </bk>
    <bk>
      <extLst>
        <ext uri="{3e2802c4-a4d2-4d8b-9148-e3be6c30e623}">
          <xlrd:rvb i="5120"/>
        </ext>
      </extLst>
    </bk>
    <bk>
      <extLst>
        <ext uri="{3e2802c4-a4d2-4d8b-9148-e3be6c30e623}">
          <xlrd:rvb i="5121"/>
        </ext>
      </extLst>
    </bk>
    <bk>
      <extLst>
        <ext uri="{3e2802c4-a4d2-4d8b-9148-e3be6c30e623}">
          <xlrd:rvb i="5122"/>
        </ext>
      </extLst>
    </bk>
    <bk>
      <extLst>
        <ext uri="{3e2802c4-a4d2-4d8b-9148-e3be6c30e623}">
          <xlrd:rvb i="5123"/>
        </ext>
      </extLst>
    </bk>
    <bk>
      <extLst>
        <ext uri="{3e2802c4-a4d2-4d8b-9148-e3be6c30e623}">
          <xlrd:rvb i="5124"/>
        </ext>
      </extLst>
    </bk>
    <bk>
      <extLst>
        <ext uri="{3e2802c4-a4d2-4d8b-9148-e3be6c30e623}">
          <xlrd:rvb i="5125"/>
        </ext>
      </extLst>
    </bk>
    <bk>
      <extLst>
        <ext uri="{3e2802c4-a4d2-4d8b-9148-e3be6c30e623}">
          <xlrd:rvb i="5126"/>
        </ext>
      </extLst>
    </bk>
    <bk>
      <extLst>
        <ext uri="{3e2802c4-a4d2-4d8b-9148-e3be6c30e623}">
          <xlrd:rvb i="5127"/>
        </ext>
      </extLst>
    </bk>
    <bk>
      <extLst>
        <ext uri="{3e2802c4-a4d2-4d8b-9148-e3be6c30e623}">
          <xlrd:rvb i="5128"/>
        </ext>
      </extLst>
    </bk>
    <bk>
      <extLst>
        <ext uri="{3e2802c4-a4d2-4d8b-9148-e3be6c30e623}">
          <xlrd:rvb i="5129"/>
        </ext>
      </extLst>
    </bk>
    <bk>
      <extLst>
        <ext uri="{3e2802c4-a4d2-4d8b-9148-e3be6c30e623}">
          <xlrd:rvb i="5130"/>
        </ext>
      </extLst>
    </bk>
    <bk>
      <extLst>
        <ext uri="{3e2802c4-a4d2-4d8b-9148-e3be6c30e623}">
          <xlrd:rvb i="5131"/>
        </ext>
      </extLst>
    </bk>
    <bk>
      <extLst>
        <ext uri="{3e2802c4-a4d2-4d8b-9148-e3be6c30e623}">
          <xlrd:rvb i="5132"/>
        </ext>
      </extLst>
    </bk>
    <bk>
      <extLst>
        <ext uri="{3e2802c4-a4d2-4d8b-9148-e3be6c30e623}">
          <xlrd:rvb i="5133"/>
        </ext>
      </extLst>
    </bk>
    <bk>
      <extLst>
        <ext uri="{3e2802c4-a4d2-4d8b-9148-e3be6c30e623}">
          <xlrd:rvb i="5134"/>
        </ext>
      </extLst>
    </bk>
    <bk>
      <extLst>
        <ext uri="{3e2802c4-a4d2-4d8b-9148-e3be6c30e623}">
          <xlrd:rvb i="5135"/>
        </ext>
      </extLst>
    </bk>
    <bk>
      <extLst>
        <ext uri="{3e2802c4-a4d2-4d8b-9148-e3be6c30e623}">
          <xlrd:rvb i="5136"/>
        </ext>
      </extLst>
    </bk>
    <bk>
      <extLst>
        <ext uri="{3e2802c4-a4d2-4d8b-9148-e3be6c30e623}">
          <xlrd:rvb i="5137"/>
        </ext>
      </extLst>
    </bk>
    <bk>
      <extLst>
        <ext uri="{3e2802c4-a4d2-4d8b-9148-e3be6c30e623}">
          <xlrd:rvb i="5138"/>
        </ext>
      </extLst>
    </bk>
    <bk>
      <extLst>
        <ext uri="{3e2802c4-a4d2-4d8b-9148-e3be6c30e623}">
          <xlrd:rvb i="5139"/>
        </ext>
      </extLst>
    </bk>
    <bk>
      <extLst>
        <ext uri="{3e2802c4-a4d2-4d8b-9148-e3be6c30e623}">
          <xlrd:rvb i="5140"/>
        </ext>
      </extLst>
    </bk>
    <bk>
      <extLst>
        <ext uri="{3e2802c4-a4d2-4d8b-9148-e3be6c30e623}">
          <xlrd:rvb i="5141"/>
        </ext>
      </extLst>
    </bk>
    <bk>
      <extLst>
        <ext uri="{3e2802c4-a4d2-4d8b-9148-e3be6c30e623}">
          <xlrd:rvb i="5142"/>
        </ext>
      </extLst>
    </bk>
    <bk>
      <extLst>
        <ext uri="{3e2802c4-a4d2-4d8b-9148-e3be6c30e623}">
          <xlrd:rvb i="5143"/>
        </ext>
      </extLst>
    </bk>
    <bk>
      <extLst>
        <ext uri="{3e2802c4-a4d2-4d8b-9148-e3be6c30e623}">
          <xlrd:rvb i="5144"/>
        </ext>
      </extLst>
    </bk>
    <bk>
      <extLst>
        <ext uri="{3e2802c4-a4d2-4d8b-9148-e3be6c30e623}">
          <xlrd:rvb i="5145"/>
        </ext>
      </extLst>
    </bk>
    <bk>
      <extLst>
        <ext uri="{3e2802c4-a4d2-4d8b-9148-e3be6c30e623}">
          <xlrd:rvb i="5146"/>
        </ext>
      </extLst>
    </bk>
    <bk>
      <extLst>
        <ext uri="{3e2802c4-a4d2-4d8b-9148-e3be6c30e623}">
          <xlrd:rvb i="5147"/>
        </ext>
      </extLst>
    </bk>
    <bk>
      <extLst>
        <ext uri="{3e2802c4-a4d2-4d8b-9148-e3be6c30e623}">
          <xlrd:rvb i="5148"/>
        </ext>
      </extLst>
    </bk>
    <bk>
      <extLst>
        <ext uri="{3e2802c4-a4d2-4d8b-9148-e3be6c30e623}">
          <xlrd:rvb i="5149"/>
        </ext>
      </extLst>
    </bk>
    <bk>
      <extLst>
        <ext uri="{3e2802c4-a4d2-4d8b-9148-e3be6c30e623}">
          <xlrd:rvb i="5150"/>
        </ext>
      </extLst>
    </bk>
    <bk>
      <extLst>
        <ext uri="{3e2802c4-a4d2-4d8b-9148-e3be6c30e623}">
          <xlrd:rvb i="5151"/>
        </ext>
      </extLst>
    </bk>
    <bk>
      <extLst>
        <ext uri="{3e2802c4-a4d2-4d8b-9148-e3be6c30e623}">
          <xlrd:rvb i="5152"/>
        </ext>
      </extLst>
    </bk>
    <bk>
      <extLst>
        <ext uri="{3e2802c4-a4d2-4d8b-9148-e3be6c30e623}">
          <xlrd:rvb i="5153"/>
        </ext>
      </extLst>
    </bk>
    <bk>
      <extLst>
        <ext uri="{3e2802c4-a4d2-4d8b-9148-e3be6c30e623}">
          <xlrd:rvb i="5154"/>
        </ext>
      </extLst>
    </bk>
    <bk>
      <extLst>
        <ext uri="{3e2802c4-a4d2-4d8b-9148-e3be6c30e623}">
          <xlrd:rvb i="5155"/>
        </ext>
      </extLst>
    </bk>
    <bk>
      <extLst>
        <ext uri="{3e2802c4-a4d2-4d8b-9148-e3be6c30e623}">
          <xlrd:rvb i="5156"/>
        </ext>
      </extLst>
    </bk>
    <bk>
      <extLst>
        <ext uri="{3e2802c4-a4d2-4d8b-9148-e3be6c30e623}">
          <xlrd:rvb i="5157"/>
        </ext>
      </extLst>
    </bk>
    <bk>
      <extLst>
        <ext uri="{3e2802c4-a4d2-4d8b-9148-e3be6c30e623}">
          <xlrd:rvb i="5158"/>
        </ext>
      </extLst>
    </bk>
    <bk>
      <extLst>
        <ext uri="{3e2802c4-a4d2-4d8b-9148-e3be6c30e623}">
          <xlrd:rvb i="5159"/>
        </ext>
      </extLst>
    </bk>
    <bk>
      <extLst>
        <ext uri="{3e2802c4-a4d2-4d8b-9148-e3be6c30e623}">
          <xlrd:rvb i="5160"/>
        </ext>
      </extLst>
    </bk>
    <bk>
      <extLst>
        <ext uri="{3e2802c4-a4d2-4d8b-9148-e3be6c30e623}">
          <xlrd:rvb i="5161"/>
        </ext>
      </extLst>
    </bk>
    <bk>
      <extLst>
        <ext uri="{3e2802c4-a4d2-4d8b-9148-e3be6c30e623}">
          <xlrd:rvb i="5162"/>
        </ext>
      </extLst>
    </bk>
    <bk>
      <extLst>
        <ext uri="{3e2802c4-a4d2-4d8b-9148-e3be6c30e623}">
          <xlrd:rvb i="5163"/>
        </ext>
      </extLst>
    </bk>
    <bk>
      <extLst>
        <ext uri="{3e2802c4-a4d2-4d8b-9148-e3be6c30e623}">
          <xlrd:rvb i="5164"/>
        </ext>
      </extLst>
    </bk>
    <bk>
      <extLst>
        <ext uri="{3e2802c4-a4d2-4d8b-9148-e3be6c30e623}">
          <xlrd:rvb i="5165"/>
        </ext>
      </extLst>
    </bk>
    <bk>
      <extLst>
        <ext uri="{3e2802c4-a4d2-4d8b-9148-e3be6c30e623}">
          <xlrd:rvb i="5166"/>
        </ext>
      </extLst>
    </bk>
    <bk>
      <extLst>
        <ext uri="{3e2802c4-a4d2-4d8b-9148-e3be6c30e623}">
          <xlrd:rvb i="5167"/>
        </ext>
      </extLst>
    </bk>
    <bk>
      <extLst>
        <ext uri="{3e2802c4-a4d2-4d8b-9148-e3be6c30e623}">
          <xlrd:rvb i="5168"/>
        </ext>
      </extLst>
    </bk>
    <bk>
      <extLst>
        <ext uri="{3e2802c4-a4d2-4d8b-9148-e3be6c30e623}">
          <xlrd:rvb i="5169"/>
        </ext>
      </extLst>
    </bk>
    <bk>
      <extLst>
        <ext uri="{3e2802c4-a4d2-4d8b-9148-e3be6c30e623}">
          <xlrd:rvb i="5170"/>
        </ext>
      </extLst>
    </bk>
    <bk>
      <extLst>
        <ext uri="{3e2802c4-a4d2-4d8b-9148-e3be6c30e623}">
          <xlrd:rvb i="5171"/>
        </ext>
      </extLst>
    </bk>
    <bk>
      <extLst>
        <ext uri="{3e2802c4-a4d2-4d8b-9148-e3be6c30e623}">
          <xlrd:rvb i="5172"/>
        </ext>
      </extLst>
    </bk>
    <bk>
      <extLst>
        <ext uri="{3e2802c4-a4d2-4d8b-9148-e3be6c30e623}">
          <xlrd:rvb i="5173"/>
        </ext>
      </extLst>
    </bk>
    <bk>
      <extLst>
        <ext uri="{3e2802c4-a4d2-4d8b-9148-e3be6c30e623}">
          <xlrd:rvb i="5174"/>
        </ext>
      </extLst>
    </bk>
    <bk>
      <extLst>
        <ext uri="{3e2802c4-a4d2-4d8b-9148-e3be6c30e623}">
          <xlrd:rvb i="5175"/>
        </ext>
      </extLst>
    </bk>
    <bk>
      <extLst>
        <ext uri="{3e2802c4-a4d2-4d8b-9148-e3be6c30e623}">
          <xlrd:rvb i="5176"/>
        </ext>
      </extLst>
    </bk>
    <bk>
      <extLst>
        <ext uri="{3e2802c4-a4d2-4d8b-9148-e3be6c30e623}">
          <xlrd:rvb i="5177"/>
        </ext>
      </extLst>
    </bk>
    <bk>
      <extLst>
        <ext uri="{3e2802c4-a4d2-4d8b-9148-e3be6c30e623}">
          <xlrd:rvb i="5178"/>
        </ext>
      </extLst>
    </bk>
    <bk>
      <extLst>
        <ext uri="{3e2802c4-a4d2-4d8b-9148-e3be6c30e623}">
          <xlrd:rvb i="5179"/>
        </ext>
      </extLst>
    </bk>
    <bk>
      <extLst>
        <ext uri="{3e2802c4-a4d2-4d8b-9148-e3be6c30e623}">
          <xlrd:rvb i="5180"/>
        </ext>
      </extLst>
    </bk>
    <bk>
      <extLst>
        <ext uri="{3e2802c4-a4d2-4d8b-9148-e3be6c30e623}">
          <xlrd:rvb i="5181"/>
        </ext>
      </extLst>
    </bk>
    <bk>
      <extLst>
        <ext uri="{3e2802c4-a4d2-4d8b-9148-e3be6c30e623}">
          <xlrd:rvb i="5182"/>
        </ext>
      </extLst>
    </bk>
    <bk>
      <extLst>
        <ext uri="{3e2802c4-a4d2-4d8b-9148-e3be6c30e623}">
          <xlrd:rvb i="5183"/>
        </ext>
      </extLst>
    </bk>
    <bk>
      <extLst>
        <ext uri="{3e2802c4-a4d2-4d8b-9148-e3be6c30e623}">
          <xlrd:rvb i="5184"/>
        </ext>
      </extLst>
    </bk>
    <bk>
      <extLst>
        <ext uri="{3e2802c4-a4d2-4d8b-9148-e3be6c30e623}">
          <xlrd:rvb i="5185"/>
        </ext>
      </extLst>
    </bk>
    <bk>
      <extLst>
        <ext uri="{3e2802c4-a4d2-4d8b-9148-e3be6c30e623}">
          <xlrd:rvb i="5186"/>
        </ext>
      </extLst>
    </bk>
    <bk>
      <extLst>
        <ext uri="{3e2802c4-a4d2-4d8b-9148-e3be6c30e623}">
          <xlrd:rvb i="5187"/>
        </ext>
      </extLst>
    </bk>
    <bk>
      <extLst>
        <ext uri="{3e2802c4-a4d2-4d8b-9148-e3be6c30e623}">
          <xlrd:rvb i="5188"/>
        </ext>
      </extLst>
    </bk>
    <bk>
      <extLst>
        <ext uri="{3e2802c4-a4d2-4d8b-9148-e3be6c30e623}">
          <xlrd:rvb i="5189"/>
        </ext>
      </extLst>
    </bk>
    <bk>
      <extLst>
        <ext uri="{3e2802c4-a4d2-4d8b-9148-e3be6c30e623}">
          <xlrd:rvb i="5190"/>
        </ext>
      </extLst>
    </bk>
    <bk>
      <extLst>
        <ext uri="{3e2802c4-a4d2-4d8b-9148-e3be6c30e623}">
          <xlrd:rvb i="5191"/>
        </ext>
      </extLst>
    </bk>
    <bk>
      <extLst>
        <ext uri="{3e2802c4-a4d2-4d8b-9148-e3be6c30e623}">
          <xlrd:rvb i="5192"/>
        </ext>
      </extLst>
    </bk>
    <bk>
      <extLst>
        <ext uri="{3e2802c4-a4d2-4d8b-9148-e3be6c30e623}">
          <xlrd:rvb i="5193"/>
        </ext>
      </extLst>
    </bk>
    <bk>
      <extLst>
        <ext uri="{3e2802c4-a4d2-4d8b-9148-e3be6c30e623}">
          <xlrd:rvb i="5194"/>
        </ext>
      </extLst>
    </bk>
    <bk>
      <extLst>
        <ext uri="{3e2802c4-a4d2-4d8b-9148-e3be6c30e623}">
          <xlrd:rvb i="5195"/>
        </ext>
      </extLst>
    </bk>
    <bk>
      <extLst>
        <ext uri="{3e2802c4-a4d2-4d8b-9148-e3be6c30e623}">
          <xlrd:rvb i="5196"/>
        </ext>
      </extLst>
    </bk>
    <bk>
      <extLst>
        <ext uri="{3e2802c4-a4d2-4d8b-9148-e3be6c30e623}">
          <xlrd:rvb i="5197"/>
        </ext>
      </extLst>
    </bk>
    <bk>
      <extLst>
        <ext uri="{3e2802c4-a4d2-4d8b-9148-e3be6c30e623}">
          <xlrd:rvb i="5198"/>
        </ext>
      </extLst>
    </bk>
    <bk>
      <extLst>
        <ext uri="{3e2802c4-a4d2-4d8b-9148-e3be6c30e623}">
          <xlrd:rvb i="5199"/>
        </ext>
      </extLst>
    </bk>
    <bk>
      <extLst>
        <ext uri="{3e2802c4-a4d2-4d8b-9148-e3be6c30e623}">
          <xlrd:rvb i="5200"/>
        </ext>
      </extLst>
    </bk>
    <bk>
      <extLst>
        <ext uri="{3e2802c4-a4d2-4d8b-9148-e3be6c30e623}">
          <xlrd:rvb i="5201"/>
        </ext>
      </extLst>
    </bk>
    <bk>
      <extLst>
        <ext uri="{3e2802c4-a4d2-4d8b-9148-e3be6c30e623}">
          <xlrd:rvb i="5202"/>
        </ext>
      </extLst>
    </bk>
    <bk>
      <extLst>
        <ext uri="{3e2802c4-a4d2-4d8b-9148-e3be6c30e623}">
          <xlrd:rvb i="5203"/>
        </ext>
      </extLst>
    </bk>
    <bk>
      <extLst>
        <ext uri="{3e2802c4-a4d2-4d8b-9148-e3be6c30e623}">
          <xlrd:rvb i="5204"/>
        </ext>
      </extLst>
    </bk>
    <bk>
      <extLst>
        <ext uri="{3e2802c4-a4d2-4d8b-9148-e3be6c30e623}">
          <xlrd:rvb i="5205"/>
        </ext>
      </extLst>
    </bk>
    <bk>
      <extLst>
        <ext uri="{3e2802c4-a4d2-4d8b-9148-e3be6c30e623}">
          <xlrd:rvb i="5206"/>
        </ext>
      </extLst>
    </bk>
    <bk>
      <extLst>
        <ext uri="{3e2802c4-a4d2-4d8b-9148-e3be6c30e623}">
          <xlrd:rvb i="5207"/>
        </ext>
      </extLst>
    </bk>
    <bk>
      <extLst>
        <ext uri="{3e2802c4-a4d2-4d8b-9148-e3be6c30e623}">
          <xlrd:rvb i="5208"/>
        </ext>
      </extLst>
    </bk>
    <bk>
      <extLst>
        <ext uri="{3e2802c4-a4d2-4d8b-9148-e3be6c30e623}">
          <xlrd:rvb i="5209"/>
        </ext>
      </extLst>
    </bk>
    <bk>
      <extLst>
        <ext uri="{3e2802c4-a4d2-4d8b-9148-e3be6c30e623}">
          <xlrd:rvb i="5210"/>
        </ext>
      </extLst>
    </bk>
    <bk>
      <extLst>
        <ext uri="{3e2802c4-a4d2-4d8b-9148-e3be6c30e623}">
          <xlrd:rvb i="5211"/>
        </ext>
      </extLst>
    </bk>
    <bk>
      <extLst>
        <ext uri="{3e2802c4-a4d2-4d8b-9148-e3be6c30e623}">
          <xlrd:rvb i="5212"/>
        </ext>
      </extLst>
    </bk>
    <bk>
      <extLst>
        <ext uri="{3e2802c4-a4d2-4d8b-9148-e3be6c30e623}">
          <xlrd:rvb i="5213"/>
        </ext>
      </extLst>
    </bk>
    <bk>
      <extLst>
        <ext uri="{3e2802c4-a4d2-4d8b-9148-e3be6c30e623}">
          <xlrd:rvb i="5214"/>
        </ext>
      </extLst>
    </bk>
    <bk>
      <extLst>
        <ext uri="{3e2802c4-a4d2-4d8b-9148-e3be6c30e623}">
          <xlrd:rvb i="5215"/>
        </ext>
      </extLst>
    </bk>
    <bk>
      <extLst>
        <ext uri="{3e2802c4-a4d2-4d8b-9148-e3be6c30e623}">
          <xlrd:rvb i="5216"/>
        </ext>
      </extLst>
    </bk>
    <bk>
      <extLst>
        <ext uri="{3e2802c4-a4d2-4d8b-9148-e3be6c30e623}">
          <xlrd:rvb i="5217"/>
        </ext>
      </extLst>
    </bk>
    <bk>
      <extLst>
        <ext uri="{3e2802c4-a4d2-4d8b-9148-e3be6c30e623}">
          <xlrd:rvb i="5218"/>
        </ext>
      </extLst>
    </bk>
    <bk>
      <extLst>
        <ext uri="{3e2802c4-a4d2-4d8b-9148-e3be6c30e623}">
          <xlrd:rvb i="5219"/>
        </ext>
      </extLst>
    </bk>
    <bk>
      <extLst>
        <ext uri="{3e2802c4-a4d2-4d8b-9148-e3be6c30e623}">
          <xlrd:rvb i="5220"/>
        </ext>
      </extLst>
    </bk>
    <bk>
      <extLst>
        <ext uri="{3e2802c4-a4d2-4d8b-9148-e3be6c30e623}">
          <xlrd:rvb i="5221"/>
        </ext>
      </extLst>
    </bk>
    <bk>
      <extLst>
        <ext uri="{3e2802c4-a4d2-4d8b-9148-e3be6c30e623}">
          <xlrd:rvb i="5222"/>
        </ext>
      </extLst>
    </bk>
    <bk>
      <extLst>
        <ext uri="{3e2802c4-a4d2-4d8b-9148-e3be6c30e623}">
          <xlrd:rvb i="5223"/>
        </ext>
      </extLst>
    </bk>
    <bk>
      <extLst>
        <ext uri="{3e2802c4-a4d2-4d8b-9148-e3be6c30e623}">
          <xlrd:rvb i="5224"/>
        </ext>
      </extLst>
    </bk>
    <bk>
      <extLst>
        <ext uri="{3e2802c4-a4d2-4d8b-9148-e3be6c30e623}">
          <xlrd:rvb i="5225"/>
        </ext>
      </extLst>
    </bk>
    <bk>
      <extLst>
        <ext uri="{3e2802c4-a4d2-4d8b-9148-e3be6c30e623}">
          <xlrd:rvb i="5226"/>
        </ext>
      </extLst>
    </bk>
    <bk>
      <extLst>
        <ext uri="{3e2802c4-a4d2-4d8b-9148-e3be6c30e623}">
          <xlrd:rvb i="5227"/>
        </ext>
      </extLst>
    </bk>
    <bk>
      <extLst>
        <ext uri="{3e2802c4-a4d2-4d8b-9148-e3be6c30e623}">
          <xlrd:rvb i="5228"/>
        </ext>
      </extLst>
    </bk>
    <bk>
      <extLst>
        <ext uri="{3e2802c4-a4d2-4d8b-9148-e3be6c30e623}">
          <xlrd:rvb i="5229"/>
        </ext>
      </extLst>
    </bk>
    <bk>
      <extLst>
        <ext uri="{3e2802c4-a4d2-4d8b-9148-e3be6c30e623}">
          <xlrd:rvb i="5230"/>
        </ext>
      </extLst>
    </bk>
    <bk>
      <extLst>
        <ext uri="{3e2802c4-a4d2-4d8b-9148-e3be6c30e623}">
          <xlrd:rvb i="5231"/>
        </ext>
      </extLst>
    </bk>
    <bk>
      <extLst>
        <ext uri="{3e2802c4-a4d2-4d8b-9148-e3be6c30e623}">
          <xlrd:rvb i="5232"/>
        </ext>
      </extLst>
    </bk>
    <bk>
      <extLst>
        <ext uri="{3e2802c4-a4d2-4d8b-9148-e3be6c30e623}">
          <xlrd:rvb i="5233"/>
        </ext>
      </extLst>
    </bk>
    <bk>
      <extLst>
        <ext uri="{3e2802c4-a4d2-4d8b-9148-e3be6c30e623}">
          <xlrd:rvb i="5234"/>
        </ext>
      </extLst>
    </bk>
    <bk>
      <extLst>
        <ext uri="{3e2802c4-a4d2-4d8b-9148-e3be6c30e623}">
          <xlrd:rvb i="5235"/>
        </ext>
      </extLst>
    </bk>
    <bk>
      <extLst>
        <ext uri="{3e2802c4-a4d2-4d8b-9148-e3be6c30e623}">
          <xlrd:rvb i="5236"/>
        </ext>
      </extLst>
    </bk>
    <bk>
      <extLst>
        <ext uri="{3e2802c4-a4d2-4d8b-9148-e3be6c30e623}">
          <xlrd:rvb i="5237"/>
        </ext>
      </extLst>
    </bk>
    <bk>
      <extLst>
        <ext uri="{3e2802c4-a4d2-4d8b-9148-e3be6c30e623}">
          <xlrd:rvb i="5238"/>
        </ext>
      </extLst>
    </bk>
    <bk>
      <extLst>
        <ext uri="{3e2802c4-a4d2-4d8b-9148-e3be6c30e623}">
          <xlrd:rvb i="5239"/>
        </ext>
      </extLst>
    </bk>
    <bk>
      <extLst>
        <ext uri="{3e2802c4-a4d2-4d8b-9148-e3be6c30e623}">
          <xlrd:rvb i="5240"/>
        </ext>
      </extLst>
    </bk>
    <bk>
      <extLst>
        <ext uri="{3e2802c4-a4d2-4d8b-9148-e3be6c30e623}">
          <xlrd:rvb i="5241"/>
        </ext>
      </extLst>
    </bk>
    <bk>
      <extLst>
        <ext uri="{3e2802c4-a4d2-4d8b-9148-e3be6c30e623}">
          <xlrd:rvb i="5242"/>
        </ext>
      </extLst>
    </bk>
    <bk>
      <extLst>
        <ext uri="{3e2802c4-a4d2-4d8b-9148-e3be6c30e623}">
          <xlrd:rvb i="5243"/>
        </ext>
      </extLst>
    </bk>
    <bk>
      <extLst>
        <ext uri="{3e2802c4-a4d2-4d8b-9148-e3be6c30e623}">
          <xlrd:rvb i="5244"/>
        </ext>
      </extLst>
    </bk>
    <bk>
      <extLst>
        <ext uri="{3e2802c4-a4d2-4d8b-9148-e3be6c30e623}">
          <xlrd:rvb i="5245"/>
        </ext>
      </extLst>
    </bk>
    <bk>
      <extLst>
        <ext uri="{3e2802c4-a4d2-4d8b-9148-e3be6c30e623}">
          <xlrd:rvb i="5246"/>
        </ext>
      </extLst>
    </bk>
    <bk>
      <extLst>
        <ext uri="{3e2802c4-a4d2-4d8b-9148-e3be6c30e623}">
          <xlrd:rvb i="5247"/>
        </ext>
      </extLst>
    </bk>
    <bk>
      <extLst>
        <ext uri="{3e2802c4-a4d2-4d8b-9148-e3be6c30e623}">
          <xlrd:rvb i="5248"/>
        </ext>
      </extLst>
    </bk>
    <bk>
      <extLst>
        <ext uri="{3e2802c4-a4d2-4d8b-9148-e3be6c30e623}">
          <xlrd:rvb i="5249"/>
        </ext>
      </extLst>
    </bk>
    <bk>
      <extLst>
        <ext uri="{3e2802c4-a4d2-4d8b-9148-e3be6c30e623}">
          <xlrd:rvb i="5250"/>
        </ext>
      </extLst>
    </bk>
    <bk>
      <extLst>
        <ext uri="{3e2802c4-a4d2-4d8b-9148-e3be6c30e623}">
          <xlrd:rvb i="5251"/>
        </ext>
      </extLst>
    </bk>
    <bk>
      <extLst>
        <ext uri="{3e2802c4-a4d2-4d8b-9148-e3be6c30e623}">
          <xlrd:rvb i="5252"/>
        </ext>
      </extLst>
    </bk>
    <bk>
      <extLst>
        <ext uri="{3e2802c4-a4d2-4d8b-9148-e3be6c30e623}">
          <xlrd:rvb i="5253"/>
        </ext>
      </extLst>
    </bk>
    <bk>
      <extLst>
        <ext uri="{3e2802c4-a4d2-4d8b-9148-e3be6c30e623}">
          <xlrd:rvb i="5254"/>
        </ext>
      </extLst>
    </bk>
    <bk>
      <extLst>
        <ext uri="{3e2802c4-a4d2-4d8b-9148-e3be6c30e623}">
          <xlrd:rvb i="5255"/>
        </ext>
      </extLst>
    </bk>
    <bk>
      <extLst>
        <ext uri="{3e2802c4-a4d2-4d8b-9148-e3be6c30e623}">
          <xlrd:rvb i="5256"/>
        </ext>
      </extLst>
    </bk>
    <bk>
      <extLst>
        <ext uri="{3e2802c4-a4d2-4d8b-9148-e3be6c30e623}">
          <xlrd:rvb i="5257"/>
        </ext>
      </extLst>
    </bk>
    <bk>
      <extLst>
        <ext uri="{3e2802c4-a4d2-4d8b-9148-e3be6c30e623}">
          <xlrd:rvb i="5258"/>
        </ext>
      </extLst>
    </bk>
    <bk>
      <extLst>
        <ext uri="{3e2802c4-a4d2-4d8b-9148-e3be6c30e623}">
          <xlrd:rvb i="5259"/>
        </ext>
      </extLst>
    </bk>
    <bk>
      <extLst>
        <ext uri="{3e2802c4-a4d2-4d8b-9148-e3be6c30e623}">
          <xlrd:rvb i="5260"/>
        </ext>
      </extLst>
    </bk>
    <bk>
      <extLst>
        <ext uri="{3e2802c4-a4d2-4d8b-9148-e3be6c30e623}">
          <xlrd:rvb i="5261"/>
        </ext>
      </extLst>
    </bk>
    <bk>
      <extLst>
        <ext uri="{3e2802c4-a4d2-4d8b-9148-e3be6c30e623}">
          <xlrd:rvb i="5262"/>
        </ext>
      </extLst>
    </bk>
    <bk>
      <extLst>
        <ext uri="{3e2802c4-a4d2-4d8b-9148-e3be6c30e623}">
          <xlrd:rvb i="5263"/>
        </ext>
      </extLst>
    </bk>
    <bk>
      <extLst>
        <ext uri="{3e2802c4-a4d2-4d8b-9148-e3be6c30e623}">
          <xlrd:rvb i="5264"/>
        </ext>
      </extLst>
    </bk>
    <bk>
      <extLst>
        <ext uri="{3e2802c4-a4d2-4d8b-9148-e3be6c30e623}">
          <xlrd:rvb i="5265"/>
        </ext>
      </extLst>
    </bk>
    <bk>
      <extLst>
        <ext uri="{3e2802c4-a4d2-4d8b-9148-e3be6c30e623}">
          <xlrd:rvb i="5266"/>
        </ext>
      </extLst>
    </bk>
    <bk>
      <extLst>
        <ext uri="{3e2802c4-a4d2-4d8b-9148-e3be6c30e623}">
          <xlrd:rvb i="5267"/>
        </ext>
      </extLst>
    </bk>
    <bk>
      <extLst>
        <ext uri="{3e2802c4-a4d2-4d8b-9148-e3be6c30e623}">
          <xlrd:rvb i="5268"/>
        </ext>
      </extLst>
    </bk>
    <bk>
      <extLst>
        <ext uri="{3e2802c4-a4d2-4d8b-9148-e3be6c30e623}">
          <xlrd:rvb i="5269"/>
        </ext>
      </extLst>
    </bk>
    <bk>
      <extLst>
        <ext uri="{3e2802c4-a4d2-4d8b-9148-e3be6c30e623}">
          <xlrd:rvb i="5270"/>
        </ext>
      </extLst>
    </bk>
    <bk>
      <extLst>
        <ext uri="{3e2802c4-a4d2-4d8b-9148-e3be6c30e623}">
          <xlrd:rvb i="5271"/>
        </ext>
      </extLst>
    </bk>
    <bk>
      <extLst>
        <ext uri="{3e2802c4-a4d2-4d8b-9148-e3be6c30e623}">
          <xlrd:rvb i="5272"/>
        </ext>
      </extLst>
    </bk>
    <bk>
      <extLst>
        <ext uri="{3e2802c4-a4d2-4d8b-9148-e3be6c30e623}">
          <xlrd:rvb i="5273"/>
        </ext>
      </extLst>
    </bk>
    <bk>
      <extLst>
        <ext uri="{3e2802c4-a4d2-4d8b-9148-e3be6c30e623}">
          <xlrd:rvb i="5274"/>
        </ext>
      </extLst>
    </bk>
    <bk>
      <extLst>
        <ext uri="{3e2802c4-a4d2-4d8b-9148-e3be6c30e623}">
          <xlrd:rvb i="5275"/>
        </ext>
      </extLst>
    </bk>
    <bk>
      <extLst>
        <ext uri="{3e2802c4-a4d2-4d8b-9148-e3be6c30e623}">
          <xlrd:rvb i="5276"/>
        </ext>
      </extLst>
    </bk>
    <bk>
      <extLst>
        <ext uri="{3e2802c4-a4d2-4d8b-9148-e3be6c30e623}">
          <xlrd:rvb i="5277"/>
        </ext>
      </extLst>
    </bk>
    <bk>
      <extLst>
        <ext uri="{3e2802c4-a4d2-4d8b-9148-e3be6c30e623}">
          <xlrd:rvb i="5278"/>
        </ext>
      </extLst>
    </bk>
    <bk>
      <extLst>
        <ext uri="{3e2802c4-a4d2-4d8b-9148-e3be6c30e623}">
          <xlrd:rvb i="5279"/>
        </ext>
      </extLst>
    </bk>
    <bk>
      <extLst>
        <ext uri="{3e2802c4-a4d2-4d8b-9148-e3be6c30e623}">
          <xlrd:rvb i="5280"/>
        </ext>
      </extLst>
    </bk>
    <bk>
      <extLst>
        <ext uri="{3e2802c4-a4d2-4d8b-9148-e3be6c30e623}">
          <xlrd:rvb i="5281"/>
        </ext>
      </extLst>
    </bk>
    <bk>
      <extLst>
        <ext uri="{3e2802c4-a4d2-4d8b-9148-e3be6c30e623}">
          <xlrd:rvb i="5282"/>
        </ext>
      </extLst>
    </bk>
    <bk>
      <extLst>
        <ext uri="{3e2802c4-a4d2-4d8b-9148-e3be6c30e623}">
          <xlrd:rvb i="5283"/>
        </ext>
      </extLst>
    </bk>
    <bk>
      <extLst>
        <ext uri="{3e2802c4-a4d2-4d8b-9148-e3be6c30e623}">
          <xlrd:rvb i="5284"/>
        </ext>
      </extLst>
    </bk>
    <bk>
      <extLst>
        <ext uri="{3e2802c4-a4d2-4d8b-9148-e3be6c30e623}">
          <xlrd:rvb i="5285"/>
        </ext>
      </extLst>
    </bk>
    <bk>
      <extLst>
        <ext uri="{3e2802c4-a4d2-4d8b-9148-e3be6c30e623}">
          <xlrd:rvb i="5286"/>
        </ext>
      </extLst>
    </bk>
    <bk>
      <extLst>
        <ext uri="{3e2802c4-a4d2-4d8b-9148-e3be6c30e623}">
          <xlrd:rvb i="5287"/>
        </ext>
      </extLst>
    </bk>
    <bk>
      <extLst>
        <ext uri="{3e2802c4-a4d2-4d8b-9148-e3be6c30e623}">
          <xlrd:rvb i="5288"/>
        </ext>
      </extLst>
    </bk>
    <bk>
      <extLst>
        <ext uri="{3e2802c4-a4d2-4d8b-9148-e3be6c30e623}">
          <xlrd:rvb i="5289"/>
        </ext>
      </extLst>
    </bk>
    <bk>
      <extLst>
        <ext uri="{3e2802c4-a4d2-4d8b-9148-e3be6c30e623}">
          <xlrd:rvb i="5290"/>
        </ext>
      </extLst>
    </bk>
    <bk>
      <extLst>
        <ext uri="{3e2802c4-a4d2-4d8b-9148-e3be6c30e623}">
          <xlrd:rvb i="5291"/>
        </ext>
      </extLst>
    </bk>
    <bk>
      <extLst>
        <ext uri="{3e2802c4-a4d2-4d8b-9148-e3be6c30e623}">
          <xlrd:rvb i="5292"/>
        </ext>
      </extLst>
    </bk>
    <bk>
      <extLst>
        <ext uri="{3e2802c4-a4d2-4d8b-9148-e3be6c30e623}">
          <xlrd:rvb i="5293"/>
        </ext>
      </extLst>
    </bk>
    <bk>
      <extLst>
        <ext uri="{3e2802c4-a4d2-4d8b-9148-e3be6c30e623}">
          <xlrd:rvb i="5294"/>
        </ext>
      </extLst>
    </bk>
    <bk>
      <extLst>
        <ext uri="{3e2802c4-a4d2-4d8b-9148-e3be6c30e623}">
          <xlrd:rvb i="5295"/>
        </ext>
      </extLst>
    </bk>
    <bk>
      <extLst>
        <ext uri="{3e2802c4-a4d2-4d8b-9148-e3be6c30e623}">
          <xlrd:rvb i="5296"/>
        </ext>
      </extLst>
    </bk>
    <bk>
      <extLst>
        <ext uri="{3e2802c4-a4d2-4d8b-9148-e3be6c30e623}">
          <xlrd:rvb i="5297"/>
        </ext>
      </extLst>
    </bk>
    <bk>
      <extLst>
        <ext uri="{3e2802c4-a4d2-4d8b-9148-e3be6c30e623}">
          <xlrd:rvb i="5298"/>
        </ext>
      </extLst>
    </bk>
    <bk>
      <extLst>
        <ext uri="{3e2802c4-a4d2-4d8b-9148-e3be6c30e623}">
          <xlrd:rvb i="5299"/>
        </ext>
      </extLst>
    </bk>
    <bk>
      <extLst>
        <ext uri="{3e2802c4-a4d2-4d8b-9148-e3be6c30e623}">
          <xlrd:rvb i="5300"/>
        </ext>
      </extLst>
    </bk>
    <bk>
      <extLst>
        <ext uri="{3e2802c4-a4d2-4d8b-9148-e3be6c30e623}">
          <xlrd:rvb i="5301"/>
        </ext>
      </extLst>
    </bk>
    <bk>
      <extLst>
        <ext uri="{3e2802c4-a4d2-4d8b-9148-e3be6c30e623}">
          <xlrd:rvb i="5302"/>
        </ext>
      </extLst>
    </bk>
    <bk>
      <extLst>
        <ext uri="{3e2802c4-a4d2-4d8b-9148-e3be6c30e623}">
          <xlrd:rvb i="5303"/>
        </ext>
      </extLst>
    </bk>
    <bk>
      <extLst>
        <ext uri="{3e2802c4-a4d2-4d8b-9148-e3be6c30e623}">
          <xlrd:rvb i="5304"/>
        </ext>
      </extLst>
    </bk>
    <bk>
      <extLst>
        <ext uri="{3e2802c4-a4d2-4d8b-9148-e3be6c30e623}">
          <xlrd:rvb i="5305"/>
        </ext>
      </extLst>
    </bk>
    <bk>
      <extLst>
        <ext uri="{3e2802c4-a4d2-4d8b-9148-e3be6c30e623}">
          <xlrd:rvb i="5306"/>
        </ext>
      </extLst>
    </bk>
    <bk>
      <extLst>
        <ext uri="{3e2802c4-a4d2-4d8b-9148-e3be6c30e623}">
          <xlrd:rvb i="5307"/>
        </ext>
      </extLst>
    </bk>
    <bk>
      <extLst>
        <ext uri="{3e2802c4-a4d2-4d8b-9148-e3be6c30e623}">
          <xlrd:rvb i="5308"/>
        </ext>
      </extLst>
    </bk>
    <bk>
      <extLst>
        <ext uri="{3e2802c4-a4d2-4d8b-9148-e3be6c30e623}">
          <xlrd:rvb i="5309"/>
        </ext>
      </extLst>
    </bk>
    <bk>
      <extLst>
        <ext uri="{3e2802c4-a4d2-4d8b-9148-e3be6c30e623}">
          <xlrd:rvb i="5310"/>
        </ext>
      </extLst>
    </bk>
    <bk>
      <extLst>
        <ext uri="{3e2802c4-a4d2-4d8b-9148-e3be6c30e623}">
          <xlrd:rvb i="5311"/>
        </ext>
      </extLst>
    </bk>
    <bk>
      <extLst>
        <ext uri="{3e2802c4-a4d2-4d8b-9148-e3be6c30e623}">
          <xlrd:rvb i="5312"/>
        </ext>
      </extLst>
    </bk>
    <bk>
      <extLst>
        <ext uri="{3e2802c4-a4d2-4d8b-9148-e3be6c30e623}">
          <xlrd:rvb i="5313"/>
        </ext>
      </extLst>
    </bk>
    <bk>
      <extLst>
        <ext uri="{3e2802c4-a4d2-4d8b-9148-e3be6c30e623}">
          <xlrd:rvb i="5314"/>
        </ext>
      </extLst>
    </bk>
    <bk>
      <extLst>
        <ext uri="{3e2802c4-a4d2-4d8b-9148-e3be6c30e623}">
          <xlrd:rvb i="5315"/>
        </ext>
      </extLst>
    </bk>
    <bk>
      <extLst>
        <ext uri="{3e2802c4-a4d2-4d8b-9148-e3be6c30e623}">
          <xlrd:rvb i="5316"/>
        </ext>
      </extLst>
    </bk>
    <bk>
      <extLst>
        <ext uri="{3e2802c4-a4d2-4d8b-9148-e3be6c30e623}">
          <xlrd:rvb i="5317"/>
        </ext>
      </extLst>
    </bk>
    <bk>
      <extLst>
        <ext uri="{3e2802c4-a4d2-4d8b-9148-e3be6c30e623}">
          <xlrd:rvb i="5318"/>
        </ext>
      </extLst>
    </bk>
    <bk>
      <extLst>
        <ext uri="{3e2802c4-a4d2-4d8b-9148-e3be6c30e623}">
          <xlrd:rvb i="5319"/>
        </ext>
      </extLst>
    </bk>
    <bk>
      <extLst>
        <ext uri="{3e2802c4-a4d2-4d8b-9148-e3be6c30e623}">
          <xlrd:rvb i="5320"/>
        </ext>
      </extLst>
    </bk>
    <bk>
      <extLst>
        <ext uri="{3e2802c4-a4d2-4d8b-9148-e3be6c30e623}">
          <xlrd:rvb i="5321"/>
        </ext>
      </extLst>
    </bk>
    <bk>
      <extLst>
        <ext uri="{3e2802c4-a4d2-4d8b-9148-e3be6c30e623}">
          <xlrd:rvb i="5322"/>
        </ext>
      </extLst>
    </bk>
    <bk>
      <extLst>
        <ext uri="{3e2802c4-a4d2-4d8b-9148-e3be6c30e623}">
          <xlrd:rvb i="5323"/>
        </ext>
      </extLst>
    </bk>
    <bk>
      <extLst>
        <ext uri="{3e2802c4-a4d2-4d8b-9148-e3be6c30e623}">
          <xlrd:rvb i="5324"/>
        </ext>
      </extLst>
    </bk>
    <bk>
      <extLst>
        <ext uri="{3e2802c4-a4d2-4d8b-9148-e3be6c30e623}">
          <xlrd:rvb i="5325"/>
        </ext>
      </extLst>
    </bk>
    <bk>
      <extLst>
        <ext uri="{3e2802c4-a4d2-4d8b-9148-e3be6c30e623}">
          <xlrd:rvb i="5326"/>
        </ext>
      </extLst>
    </bk>
    <bk>
      <extLst>
        <ext uri="{3e2802c4-a4d2-4d8b-9148-e3be6c30e623}">
          <xlrd:rvb i="5327"/>
        </ext>
      </extLst>
    </bk>
    <bk>
      <extLst>
        <ext uri="{3e2802c4-a4d2-4d8b-9148-e3be6c30e623}">
          <xlrd:rvb i="5328"/>
        </ext>
      </extLst>
    </bk>
    <bk>
      <extLst>
        <ext uri="{3e2802c4-a4d2-4d8b-9148-e3be6c30e623}">
          <xlrd:rvb i="5329"/>
        </ext>
      </extLst>
    </bk>
    <bk>
      <extLst>
        <ext uri="{3e2802c4-a4d2-4d8b-9148-e3be6c30e623}">
          <xlrd:rvb i="5330"/>
        </ext>
      </extLst>
    </bk>
    <bk>
      <extLst>
        <ext uri="{3e2802c4-a4d2-4d8b-9148-e3be6c30e623}">
          <xlrd:rvb i="5331"/>
        </ext>
      </extLst>
    </bk>
    <bk>
      <extLst>
        <ext uri="{3e2802c4-a4d2-4d8b-9148-e3be6c30e623}">
          <xlrd:rvb i="5332"/>
        </ext>
      </extLst>
    </bk>
    <bk>
      <extLst>
        <ext uri="{3e2802c4-a4d2-4d8b-9148-e3be6c30e623}">
          <xlrd:rvb i="5333"/>
        </ext>
      </extLst>
    </bk>
    <bk>
      <extLst>
        <ext uri="{3e2802c4-a4d2-4d8b-9148-e3be6c30e623}">
          <xlrd:rvb i="5334"/>
        </ext>
      </extLst>
    </bk>
    <bk>
      <extLst>
        <ext uri="{3e2802c4-a4d2-4d8b-9148-e3be6c30e623}">
          <xlrd:rvb i="5335"/>
        </ext>
      </extLst>
    </bk>
    <bk>
      <extLst>
        <ext uri="{3e2802c4-a4d2-4d8b-9148-e3be6c30e623}">
          <xlrd:rvb i="5336"/>
        </ext>
      </extLst>
    </bk>
    <bk>
      <extLst>
        <ext uri="{3e2802c4-a4d2-4d8b-9148-e3be6c30e623}">
          <xlrd:rvb i="5337"/>
        </ext>
      </extLst>
    </bk>
    <bk>
      <extLst>
        <ext uri="{3e2802c4-a4d2-4d8b-9148-e3be6c30e623}">
          <xlrd:rvb i="5338"/>
        </ext>
      </extLst>
    </bk>
    <bk>
      <extLst>
        <ext uri="{3e2802c4-a4d2-4d8b-9148-e3be6c30e623}">
          <xlrd:rvb i="5339"/>
        </ext>
      </extLst>
    </bk>
    <bk>
      <extLst>
        <ext uri="{3e2802c4-a4d2-4d8b-9148-e3be6c30e623}">
          <xlrd:rvb i="5340"/>
        </ext>
      </extLst>
    </bk>
    <bk>
      <extLst>
        <ext uri="{3e2802c4-a4d2-4d8b-9148-e3be6c30e623}">
          <xlrd:rvb i="5341"/>
        </ext>
      </extLst>
    </bk>
    <bk>
      <extLst>
        <ext uri="{3e2802c4-a4d2-4d8b-9148-e3be6c30e623}">
          <xlrd:rvb i="5342"/>
        </ext>
      </extLst>
    </bk>
    <bk>
      <extLst>
        <ext uri="{3e2802c4-a4d2-4d8b-9148-e3be6c30e623}">
          <xlrd:rvb i="5343"/>
        </ext>
      </extLst>
    </bk>
    <bk>
      <extLst>
        <ext uri="{3e2802c4-a4d2-4d8b-9148-e3be6c30e623}">
          <xlrd:rvb i="5344"/>
        </ext>
      </extLst>
    </bk>
    <bk>
      <extLst>
        <ext uri="{3e2802c4-a4d2-4d8b-9148-e3be6c30e623}">
          <xlrd:rvb i="5345"/>
        </ext>
      </extLst>
    </bk>
    <bk>
      <extLst>
        <ext uri="{3e2802c4-a4d2-4d8b-9148-e3be6c30e623}">
          <xlrd:rvb i="5346"/>
        </ext>
      </extLst>
    </bk>
    <bk>
      <extLst>
        <ext uri="{3e2802c4-a4d2-4d8b-9148-e3be6c30e623}">
          <xlrd:rvb i="5347"/>
        </ext>
      </extLst>
    </bk>
    <bk>
      <extLst>
        <ext uri="{3e2802c4-a4d2-4d8b-9148-e3be6c30e623}">
          <xlrd:rvb i="5348"/>
        </ext>
      </extLst>
    </bk>
    <bk>
      <extLst>
        <ext uri="{3e2802c4-a4d2-4d8b-9148-e3be6c30e623}">
          <xlrd:rvb i="5349"/>
        </ext>
      </extLst>
    </bk>
    <bk>
      <extLst>
        <ext uri="{3e2802c4-a4d2-4d8b-9148-e3be6c30e623}">
          <xlrd:rvb i="5350"/>
        </ext>
      </extLst>
    </bk>
    <bk>
      <extLst>
        <ext uri="{3e2802c4-a4d2-4d8b-9148-e3be6c30e623}">
          <xlrd:rvb i="5351"/>
        </ext>
      </extLst>
    </bk>
    <bk>
      <extLst>
        <ext uri="{3e2802c4-a4d2-4d8b-9148-e3be6c30e623}">
          <xlrd:rvb i="5352"/>
        </ext>
      </extLst>
    </bk>
    <bk>
      <extLst>
        <ext uri="{3e2802c4-a4d2-4d8b-9148-e3be6c30e623}">
          <xlrd:rvb i="5353"/>
        </ext>
      </extLst>
    </bk>
    <bk>
      <extLst>
        <ext uri="{3e2802c4-a4d2-4d8b-9148-e3be6c30e623}">
          <xlrd:rvb i="5354"/>
        </ext>
      </extLst>
    </bk>
    <bk>
      <extLst>
        <ext uri="{3e2802c4-a4d2-4d8b-9148-e3be6c30e623}">
          <xlrd:rvb i="5355"/>
        </ext>
      </extLst>
    </bk>
    <bk>
      <extLst>
        <ext uri="{3e2802c4-a4d2-4d8b-9148-e3be6c30e623}">
          <xlrd:rvb i="5356"/>
        </ext>
      </extLst>
    </bk>
    <bk>
      <extLst>
        <ext uri="{3e2802c4-a4d2-4d8b-9148-e3be6c30e623}">
          <xlrd:rvb i="5357"/>
        </ext>
      </extLst>
    </bk>
    <bk>
      <extLst>
        <ext uri="{3e2802c4-a4d2-4d8b-9148-e3be6c30e623}">
          <xlrd:rvb i="5358"/>
        </ext>
      </extLst>
    </bk>
    <bk>
      <extLst>
        <ext uri="{3e2802c4-a4d2-4d8b-9148-e3be6c30e623}">
          <xlrd:rvb i="5359"/>
        </ext>
      </extLst>
    </bk>
    <bk>
      <extLst>
        <ext uri="{3e2802c4-a4d2-4d8b-9148-e3be6c30e623}">
          <xlrd:rvb i="5360"/>
        </ext>
      </extLst>
    </bk>
    <bk>
      <extLst>
        <ext uri="{3e2802c4-a4d2-4d8b-9148-e3be6c30e623}">
          <xlrd:rvb i="5361"/>
        </ext>
      </extLst>
    </bk>
    <bk>
      <extLst>
        <ext uri="{3e2802c4-a4d2-4d8b-9148-e3be6c30e623}">
          <xlrd:rvb i="5362"/>
        </ext>
      </extLst>
    </bk>
    <bk>
      <extLst>
        <ext uri="{3e2802c4-a4d2-4d8b-9148-e3be6c30e623}">
          <xlrd:rvb i="5363"/>
        </ext>
      </extLst>
    </bk>
    <bk>
      <extLst>
        <ext uri="{3e2802c4-a4d2-4d8b-9148-e3be6c30e623}">
          <xlrd:rvb i="5364"/>
        </ext>
      </extLst>
    </bk>
    <bk>
      <extLst>
        <ext uri="{3e2802c4-a4d2-4d8b-9148-e3be6c30e623}">
          <xlrd:rvb i="5365"/>
        </ext>
      </extLst>
    </bk>
    <bk>
      <extLst>
        <ext uri="{3e2802c4-a4d2-4d8b-9148-e3be6c30e623}">
          <xlrd:rvb i="5366"/>
        </ext>
      </extLst>
    </bk>
    <bk>
      <extLst>
        <ext uri="{3e2802c4-a4d2-4d8b-9148-e3be6c30e623}">
          <xlrd:rvb i="5367"/>
        </ext>
      </extLst>
    </bk>
    <bk>
      <extLst>
        <ext uri="{3e2802c4-a4d2-4d8b-9148-e3be6c30e623}">
          <xlrd:rvb i="5368"/>
        </ext>
      </extLst>
    </bk>
    <bk>
      <extLst>
        <ext uri="{3e2802c4-a4d2-4d8b-9148-e3be6c30e623}">
          <xlrd:rvb i="5369"/>
        </ext>
      </extLst>
    </bk>
    <bk>
      <extLst>
        <ext uri="{3e2802c4-a4d2-4d8b-9148-e3be6c30e623}">
          <xlrd:rvb i="5370"/>
        </ext>
      </extLst>
    </bk>
    <bk>
      <extLst>
        <ext uri="{3e2802c4-a4d2-4d8b-9148-e3be6c30e623}">
          <xlrd:rvb i="5371"/>
        </ext>
      </extLst>
    </bk>
    <bk>
      <extLst>
        <ext uri="{3e2802c4-a4d2-4d8b-9148-e3be6c30e623}">
          <xlrd:rvb i="5372"/>
        </ext>
      </extLst>
    </bk>
    <bk>
      <extLst>
        <ext uri="{3e2802c4-a4d2-4d8b-9148-e3be6c30e623}">
          <xlrd:rvb i="5373"/>
        </ext>
      </extLst>
    </bk>
    <bk>
      <extLst>
        <ext uri="{3e2802c4-a4d2-4d8b-9148-e3be6c30e623}">
          <xlrd:rvb i="5374"/>
        </ext>
      </extLst>
    </bk>
    <bk>
      <extLst>
        <ext uri="{3e2802c4-a4d2-4d8b-9148-e3be6c30e623}">
          <xlrd:rvb i="5375"/>
        </ext>
      </extLst>
    </bk>
    <bk>
      <extLst>
        <ext uri="{3e2802c4-a4d2-4d8b-9148-e3be6c30e623}">
          <xlrd:rvb i="5376"/>
        </ext>
      </extLst>
    </bk>
    <bk>
      <extLst>
        <ext uri="{3e2802c4-a4d2-4d8b-9148-e3be6c30e623}">
          <xlrd:rvb i="5377"/>
        </ext>
      </extLst>
    </bk>
    <bk>
      <extLst>
        <ext uri="{3e2802c4-a4d2-4d8b-9148-e3be6c30e623}">
          <xlrd:rvb i="5378"/>
        </ext>
      </extLst>
    </bk>
    <bk>
      <extLst>
        <ext uri="{3e2802c4-a4d2-4d8b-9148-e3be6c30e623}">
          <xlrd:rvb i="5379"/>
        </ext>
      </extLst>
    </bk>
    <bk>
      <extLst>
        <ext uri="{3e2802c4-a4d2-4d8b-9148-e3be6c30e623}">
          <xlrd:rvb i="5380"/>
        </ext>
      </extLst>
    </bk>
    <bk>
      <extLst>
        <ext uri="{3e2802c4-a4d2-4d8b-9148-e3be6c30e623}">
          <xlrd:rvb i="5381"/>
        </ext>
      </extLst>
    </bk>
    <bk>
      <extLst>
        <ext uri="{3e2802c4-a4d2-4d8b-9148-e3be6c30e623}">
          <xlrd:rvb i="5382"/>
        </ext>
      </extLst>
    </bk>
    <bk>
      <extLst>
        <ext uri="{3e2802c4-a4d2-4d8b-9148-e3be6c30e623}">
          <xlrd:rvb i="5383"/>
        </ext>
      </extLst>
    </bk>
    <bk>
      <extLst>
        <ext uri="{3e2802c4-a4d2-4d8b-9148-e3be6c30e623}">
          <xlrd:rvb i="5384"/>
        </ext>
      </extLst>
    </bk>
    <bk>
      <extLst>
        <ext uri="{3e2802c4-a4d2-4d8b-9148-e3be6c30e623}">
          <xlrd:rvb i="5385"/>
        </ext>
      </extLst>
    </bk>
    <bk>
      <extLst>
        <ext uri="{3e2802c4-a4d2-4d8b-9148-e3be6c30e623}">
          <xlrd:rvb i="5386"/>
        </ext>
      </extLst>
    </bk>
    <bk>
      <extLst>
        <ext uri="{3e2802c4-a4d2-4d8b-9148-e3be6c30e623}">
          <xlrd:rvb i="5387"/>
        </ext>
      </extLst>
    </bk>
    <bk>
      <extLst>
        <ext uri="{3e2802c4-a4d2-4d8b-9148-e3be6c30e623}">
          <xlrd:rvb i="5388"/>
        </ext>
      </extLst>
    </bk>
    <bk>
      <extLst>
        <ext uri="{3e2802c4-a4d2-4d8b-9148-e3be6c30e623}">
          <xlrd:rvb i="5389"/>
        </ext>
      </extLst>
    </bk>
    <bk>
      <extLst>
        <ext uri="{3e2802c4-a4d2-4d8b-9148-e3be6c30e623}">
          <xlrd:rvb i="5390"/>
        </ext>
      </extLst>
    </bk>
    <bk>
      <extLst>
        <ext uri="{3e2802c4-a4d2-4d8b-9148-e3be6c30e623}">
          <xlrd:rvb i="5391"/>
        </ext>
      </extLst>
    </bk>
    <bk>
      <extLst>
        <ext uri="{3e2802c4-a4d2-4d8b-9148-e3be6c30e623}">
          <xlrd:rvb i="5392"/>
        </ext>
      </extLst>
    </bk>
    <bk>
      <extLst>
        <ext uri="{3e2802c4-a4d2-4d8b-9148-e3be6c30e623}">
          <xlrd:rvb i="5393"/>
        </ext>
      </extLst>
    </bk>
    <bk>
      <extLst>
        <ext uri="{3e2802c4-a4d2-4d8b-9148-e3be6c30e623}">
          <xlrd:rvb i="5394"/>
        </ext>
      </extLst>
    </bk>
    <bk>
      <extLst>
        <ext uri="{3e2802c4-a4d2-4d8b-9148-e3be6c30e623}">
          <xlrd:rvb i="5395"/>
        </ext>
      </extLst>
    </bk>
    <bk>
      <extLst>
        <ext uri="{3e2802c4-a4d2-4d8b-9148-e3be6c30e623}">
          <xlrd:rvb i="5396"/>
        </ext>
      </extLst>
    </bk>
    <bk>
      <extLst>
        <ext uri="{3e2802c4-a4d2-4d8b-9148-e3be6c30e623}">
          <xlrd:rvb i="5397"/>
        </ext>
      </extLst>
    </bk>
    <bk>
      <extLst>
        <ext uri="{3e2802c4-a4d2-4d8b-9148-e3be6c30e623}">
          <xlrd:rvb i="5398"/>
        </ext>
      </extLst>
    </bk>
    <bk>
      <extLst>
        <ext uri="{3e2802c4-a4d2-4d8b-9148-e3be6c30e623}">
          <xlrd:rvb i="5399"/>
        </ext>
      </extLst>
    </bk>
    <bk>
      <extLst>
        <ext uri="{3e2802c4-a4d2-4d8b-9148-e3be6c30e623}">
          <xlrd:rvb i="5400"/>
        </ext>
      </extLst>
    </bk>
    <bk>
      <extLst>
        <ext uri="{3e2802c4-a4d2-4d8b-9148-e3be6c30e623}">
          <xlrd:rvb i="5401"/>
        </ext>
      </extLst>
    </bk>
    <bk>
      <extLst>
        <ext uri="{3e2802c4-a4d2-4d8b-9148-e3be6c30e623}">
          <xlrd:rvb i="5402"/>
        </ext>
      </extLst>
    </bk>
    <bk>
      <extLst>
        <ext uri="{3e2802c4-a4d2-4d8b-9148-e3be6c30e623}">
          <xlrd:rvb i="5403"/>
        </ext>
      </extLst>
    </bk>
    <bk>
      <extLst>
        <ext uri="{3e2802c4-a4d2-4d8b-9148-e3be6c30e623}">
          <xlrd:rvb i="5404"/>
        </ext>
      </extLst>
    </bk>
    <bk>
      <extLst>
        <ext uri="{3e2802c4-a4d2-4d8b-9148-e3be6c30e623}">
          <xlrd:rvb i="5405"/>
        </ext>
      </extLst>
    </bk>
    <bk>
      <extLst>
        <ext uri="{3e2802c4-a4d2-4d8b-9148-e3be6c30e623}">
          <xlrd:rvb i="5406"/>
        </ext>
      </extLst>
    </bk>
    <bk>
      <extLst>
        <ext uri="{3e2802c4-a4d2-4d8b-9148-e3be6c30e623}">
          <xlrd:rvb i="5407"/>
        </ext>
      </extLst>
    </bk>
    <bk>
      <extLst>
        <ext uri="{3e2802c4-a4d2-4d8b-9148-e3be6c30e623}">
          <xlrd:rvb i="5408"/>
        </ext>
      </extLst>
    </bk>
    <bk>
      <extLst>
        <ext uri="{3e2802c4-a4d2-4d8b-9148-e3be6c30e623}">
          <xlrd:rvb i="5409"/>
        </ext>
      </extLst>
    </bk>
    <bk>
      <extLst>
        <ext uri="{3e2802c4-a4d2-4d8b-9148-e3be6c30e623}">
          <xlrd:rvb i="5410"/>
        </ext>
      </extLst>
    </bk>
    <bk>
      <extLst>
        <ext uri="{3e2802c4-a4d2-4d8b-9148-e3be6c30e623}">
          <xlrd:rvb i="5411"/>
        </ext>
      </extLst>
    </bk>
    <bk>
      <extLst>
        <ext uri="{3e2802c4-a4d2-4d8b-9148-e3be6c30e623}">
          <xlrd:rvb i="5412"/>
        </ext>
      </extLst>
    </bk>
    <bk>
      <extLst>
        <ext uri="{3e2802c4-a4d2-4d8b-9148-e3be6c30e623}">
          <xlrd:rvb i="5413"/>
        </ext>
      </extLst>
    </bk>
    <bk>
      <extLst>
        <ext uri="{3e2802c4-a4d2-4d8b-9148-e3be6c30e623}">
          <xlrd:rvb i="5414"/>
        </ext>
      </extLst>
    </bk>
    <bk>
      <extLst>
        <ext uri="{3e2802c4-a4d2-4d8b-9148-e3be6c30e623}">
          <xlrd:rvb i="5415"/>
        </ext>
      </extLst>
    </bk>
    <bk>
      <extLst>
        <ext uri="{3e2802c4-a4d2-4d8b-9148-e3be6c30e623}">
          <xlrd:rvb i="5416"/>
        </ext>
      </extLst>
    </bk>
    <bk>
      <extLst>
        <ext uri="{3e2802c4-a4d2-4d8b-9148-e3be6c30e623}">
          <xlrd:rvb i="5417"/>
        </ext>
      </extLst>
    </bk>
    <bk>
      <extLst>
        <ext uri="{3e2802c4-a4d2-4d8b-9148-e3be6c30e623}">
          <xlrd:rvb i="5418"/>
        </ext>
      </extLst>
    </bk>
    <bk>
      <extLst>
        <ext uri="{3e2802c4-a4d2-4d8b-9148-e3be6c30e623}">
          <xlrd:rvb i="5419"/>
        </ext>
      </extLst>
    </bk>
    <bk>
      <extLst>
        <ext uri="{3e2802c4-a4d2-4d8b-9148-e3be6c30e623}">
          <xlrd:rvb i="5420"/>
        </ext>
      </extLst>
    </bk>
    <bk>
      <extLst>
        <ext uri="{3e2802c4-a4d2-4d8b-9148-e3be6c30e623}">
          <xlrd:rvb i="5421"/>
        </ext>
      </extLst>
    </bk>
    <bk>
      <extLst>
        <ext uri="{3e2802c4-a4d2-4d8b-9148-e3be6c30e623}">
          <xlrd:rvb i="5422"/>
        </ext>
      </extLst>
    </bk>
    <bk>
      <extLst>
        <ext uri="{3e2802c4-a4d2-4d8b-9148-e3be6c30e623}">
          <xlrd:rvb i="5423"/>
        </ext>
      </extLst>
    </bk>
    <bk>
      <extLst>
        <ext uri="{3e2802c4-a4d2-4d8b-9148-e3be6c30e623}">
          <xlrd:rvb i="5424"/>
        </ext>
      </extLst>
    </bk>
    <bk>
      <extLst>
        <ext uri="{3e2802c4-a4d2-4d8b-9148-e3be6c30e623}">
          <xlrd:rvb i="5425"/>
        </ext>
      </extLst>
    </bk>
    <bk>
      <extLst>
        <ext uri="{3e2802c4-a4d2-4d8b-9148-e3be6c30e623}">
          <xlrd:rvb i="5426"/>
        </ext>
      </extLst>
    </bk>
    <bk>
      <extLst>
        <ext uri="{3e2802c4-a4d2-4d8b-9148-e3be6c30e623}">
          <xlrd:rvb i="5427"/>
        </ext>
      </extLst>
    </bk>
    <bk>
      <extLst>
        <ext uri="{3e2802c4-a4d2-4d8b-9148-e3be6c30e623}">
          <xlrd:rvb i="5428"/>
        </ext>
      </extLst>
    </bk>
    <bk>
      <extLst>
        <ext uri="{3e2802c4-a4d2-4d8b-9148-e3be6c30e623}">
          <xlrd:rvb i="5429"/>
        </ext>
      </extLst>
    </bk>
    <bk>
      <extLst>
        <ext uri="{3e2802c4-a4d2-4d8b-9148-e3be6c30e623}">
          <xlrd:rvb i="5430"/>
        </ext>
      </extLst>
    </bk>
    <bk>
      <extLst>
        <ext uri="{3e2802c4-a4d2-4d8b-9148-e3be6c30e623}">
          <xlrd:rvb i="5431"/>
        </ext>
      </extLst>
    </bk>
    <bk>
      <extLst>
        <ext uri="{3e2802c4-a4d2-4d8b-9148-e3be6c30e623}">
          <xlrd:rvb i="5432"/>
        </ext>
      </extLst>
    </bk>
    <bk>
      <extLst>
        <ext uri="{3e2802c4-a4d2-4d8b-9148-e3be6c30e623}">
          <xlrd:rvb i="5433"/>
        </ext>
      </extLst>
    </bk>
    <bk>
      <extLst>
        <ext uri="{3e2802c4-a4d2-4d8b-9148-e3be6c30e623}">
          <xlrd:rvb i="5434"/>
        </ext>
      </extLst>
    </bk>
    <bk>
      <extLst>
        <ext uri="{3e2802c4-a4d2-4d8b-9148-e3be6c30e623}">
          <xlrd:rvb i="5435"/>
        </ext>
      </extLst>
    </bk>
    <bk>
      <extLst>
        <ext uri="{3e2802c4-a4d2-4d8b-9148-e3be6c30e623}">
          <xlrd:rvb i="5436"/>
        </ext>
      </extLst>
    </bk>
    <bk>
      <extLst>
        <ext uri="{3e2802c4-a4d2-4d8b-9148-e3be6c30e623}">
          <xlrd:rvb i="5437"/>
        </ext>
      </extLst>
    </bk>
    <bk>
      <extLst>
        <ext uri="{3e2802c4-a4d2-4d8b-9148-e3be6c30e623}">
          <xlrd:rvb i="5438"/>
        </ext>
      </extLst>
    </bk>
    <bk>
      <extLst>
        <ext uri="{3e2802c4-a4d2-4d8b-9148-e3be6c30e623}">
          <xlrd:rvb i="5439"/>
        </ext>
      </extLst>
    </bk>
    <bk>
      <extLst>
        <ext uri="{3e2802c4-a4d2-4d8b-9148-e3be6c30e623}">
          <xlrd:rvb i="5440"/>
        </ext>
      </extLst>
    </bk>
    <bk>
      <extLst>
        <ext uri="{3e2802c4-a4d2-4d8b-9148-e3be6c30e623}">
          <xlrd:rvb i="5441"/>
        </ext>
      </extLst>
    </bk>
    <bk>
      <extLst>
        <ext uri="{3e2802c4-a4d2-4d8b-9148-e3be6c30e623}">
          <xlrd:rvb i="5442"/>
        </ext>
      </extLst>
    </bk>
    <bk>
      <extLst>
        <ext uri="{3e2802c4-a4d2-4d8b-9148-e3be6c30e623}">
          <xlrd:rvb i="5443"/>
        </ext>
      </extLst>
    </bk>
    <bk>
      <extLst>
        <ext uri="{3e2802c4-a4d2-4d8b-9148-e3be6c30e623}">
          <xlrd:rvb i="5444"/>
        </ext>
      </extLst>
    </bk>
    <bk>
      <extLst>
        <ext uri="{3e2802c4-a4d2-4d8b-9148-e3be6c30e623}">
          <xlrd:rvb i="5445"/>
        </ext>
      </extLst>
    </bk>
    <bk>
      <extLst>
        <ext uri="{3e2802c4-a4d2-4d8b-9148-e3be6c30e623}">
          <xlrd:rvb i="5446"/>
        </ext>
      </extLst>
    </bk>
    <bk>
      <extLst>
        <ext uri="{3e2802c4-a4d2-4d8b-9148-e3be6c30e623}">
          <xlrd:rvb i="5447"/>
        </ext>
      </extLst>
    </bk>
    <bk>
      <extLst>
        <ext uri="{3e2802c4-a4d2-4d8b-9148-e3be6c30e623}">
          <xlrd:rvb i="5448"/>
        </ext>
      </extLst>
    </bk>
    <bk>
      <extLst>
        <ext uri="{3e2802c4-a4d2-4d8b-9148-e3be6c30e623}">
          <xlrd:rvb i="5449"/>
        </ext>
      </extLst>
    </bk>
    <bk>
      <extLst>
        <ext uri="{3e2802c4-a4d2-4d8b-9148-e3be6c30e623}">
          <xlrd:rvb i="5450"/>
        </ext>
      </extLst>
    </bk>
    <bk>
      <extLst>
        <ext uri="{3e2802c4-a4d2-4d8b-9148-e3be6c30e623}">
          <xlrd:rvb i="5451"/>
        </ext>
      </extLst>
    </bk>
    <bk>
      <extLst>
        <ext uri="{3e2802c4-a4d2-4d8b-9148-e3be6c30e623}">
          <xlrd:rvb i="5452"/>
        </ext>
      </extLst>
    </bk>
    <bk>
      <extLst>
        <ext uri="{3e2802c4-a4d2-4d8b-9148-e3be6c30e623}">
          <xlrd:rvb i="5453"/>
        </ext>
      </extLst>
    </bk>
    <bk>
      <extLst>
        <ext uri="{3e2802c4-a4d2-4d8b-9148-e3be6c30e623}">
          <xlrd:rvb i="5454"/>
        </ext>
      </extLst>
    </bk>
    <bk>
      <extLst>
        <ext uri="{3e2802c4-a4d2-4d8b-9148-e3be6c30e623}">
          <xlrd:rvb i="5455"/>
        </ext>
      </extLst>
    </bk>
    <bk>
      <extLst>
        <ext uri="{3e2802c4-a4d2-4d8b-9148-e3be6c30e623}">
          <xlrd:rvb i="5456"/>
        </ext>
      </extLst>
    </bk>
    <bk>
      <extLst>
        <ext uri="{3e2802c4-a4d2-4d8b-9148-e3be6c30e623}">
          <xlrd:rvb i="5457"/>
        </ext>
      </extLst>
    </bk>
    <bk>
      <extLst>
        <ext uri="{3e2802c4-a4d2-4d8b-9148-e3be6c30e623}">
          <xlrd:rvb i="5458"/>
        </ext>
      </extLst>
    </bk>
    <bk>
      <extLst>
        <ext uri="{3e2802c4-a4d2-4d8b-9148-e3be6c30e623}">
          <xlrd:rvb i="5459"/>
        </ext>
      </extLst>
    </bk>
    <bk>
      <extLst>
        <ext uri="{3e2802c4-a4d2-4d8b-9148-e3be6c30e623}">
          <xlrd:rvb i="5460"/>
        </ext>
      </extLst>
    </bk>
    <bk>
      <extLst>
        <ext uri="{3e2802c4-a4d2-4d8b-9148-e3be6c30e623}">
          <xlrd:rvb i="5461"/>
        </ext>
      </extLst>
    </bk>
    <bk>
      <extLst>
        <ext uri="{3e2802c4-a4d2-4d8b-9148-e3be6c30e623}">
          <xlrd:rvb i="5462"/>
        </ext>
      </extLst>
    </bk>
    <bk>
      <extLst>
        <ext uri="{3e2802c4-a4d2-4d8b-9148-e3be6c30e623}">
          <xlrd:rvb i="5463"/>
        </ext>
      </extLst>
    </bk>
    <bk>
      <extLst>
        <ext uri="{3e2802c4-a4d2-4d8b-9148-e3be6c30e623}">
          <xlrd:rvb i="5464"/>
        </ext>
      </extLst>
    </bk>
    <bk>
      <extLst>
        <ext uri="{3e2802c4-a4d2-4d8b-9148-e3be6c30e623}">
          <xlrd:rvb i="5465"/>
        </ext>
      </extLst>
    </bk>
    <bk>
      <extLst>
        <ext uri="{3e2802c4-a4d2-4d8b-9148-e3be6c30e623}">
          <xlrd:rvb i="5466"/>
        </ext>
      </extLst>
    </bk>
    <bk>
      <extLst>
        <ext uri="{3e2802c4-a4d2-4d8b-9148-e3be6c30e623}">
          <xlrd:rvb i="5467"/>
        </ext>
      </extLst>
    </bk>
    <bk>
      <extLst>
        <ext uri="{3e2802c4-a4d2-4d8b-9148-e3be6c30e623}">
          <xlrd:rvb i="5468"/>
        </ext>
      </extLst>
    </bk>
    <bk>
      <extLst>
        <ext uri="{3e2802c4-a4d2-4d8b-9148-e3be6c30e623}">
          <xlrd:rvb i="5469"/>
        </ext>
      </extLst>
    </bk>
    <bk>
      <extLst>
        <ext uri="{3e2802c4-a4d2-4d8b-9148-e3be6c30e623}">
          <xlrd:rvb i="5470"/>
        </ext>
      </extLst>
    </bk>
    <bk>
      <extLst>
        <ext uri="{3e2802c4-a4d2-4d8b-9148-e3be6c30e623}">
          <xlrd:rvb i="5471"/>
        </ext>
      </extLst>
    </bk>
    <bk>
      <extLst>
        <ext uri="{3e2802c4-a4d2-4d8b-9148-e3be6c30e623}">
          <xlrd:rvb i="5472"/>
        </ext>
      </extLst>
    </bk>
    <bk>
      <extLst>
        <ext uri="{3e2802c4-a4d2-4d8b-9148-e3be6c30e623}">
          <xlrd:rvb i="5473"/>
        </ext>
      </extLst>
    </bk>
    <bk>
      <extLst>
        <ext uri="{3e2802c4-a4d2-4d8b-9148-e3be6c30e623}">
          <xlrd:rvb i="5474"/>
        </ext>
      </extLst>
    </bk>
    <bk>
      <extLst>
        <ext uri="{3e2802c4-a4d2-4d8b-9148-e3be6c30e623}">
          <xlrd:rvb i="5475"/>
        </ext>
      </extLst>
    </bk>
    <bk>
      <extLst>
        <ext uri="{3e2802c4-a4d2-4d8b-9148-e3be6c30e623}">
          <xlrd:rvb i="5476"/>
        </ext>
      </extLst>
    </bk>
    <bk>
      <extLst>
        <ext uri="{3e2802c4-a4d2-4d8b-9148-e3be6c30e623}">
          <xlrd:rvb i="5477"/>
        </ext>
      </extLst>
    </bk>
    <bk>
      <extLst>
        <ext uri="{3e2802c4-a4d2-4d8b-9148-e3be6c30e623}">
          <xlrd:rvb i="5478"/>
        </ext>
      </extLst>
    </bk>
    <bk>
      <extLst>
        <ext uri="{3e2802c4-a4d2-4d8b-9148-e3be6c30e623}">
          <xlrd:rvb i="5479"/>
        </ext>
      </extLst>
    </bk>
    <bk>
      <extLst>
        <ext uri="{3e2802c4-a4d2-4d8b-9148-e3be6c30e623}">
          <xlrd:rvb i="5480"/>
        </ext>
      </extLst>
    </bk>
    <bk>
      <extLst>
        <ext uri="{3e2802c4-a4d2-4d8b-9148-e3be6c30e623}">
          <xlrd:rvb i="5481"/>
        </ext>
      </extLst>
    </bk>
    <bk>
      <extLst>
        <ext uri="{3e2802c4-a4d2-4d8b-9148-e3be6c30e623}">
          <xlrd:rvb i="5482"/>
        </ext>
      </extLst>
    </bk>
    <bk>
      <extLst>
        <ext uri="{3e2802c4-a4d2-4d8b-9148-e3be6c30e623}">
          <xlrd:rvb i="5483"/>
        </ext>
      </extLst>
    </bk>
    <bk>
      <extLst>
        <ext uri="{3e2802c4-a4d2-4d8b-9148-e3be6c30e623}">
          <xlrd:rvb i="5484"/>
        </ext>
      </extLst>
    </bk>
    <bk>
      <extLst>
        <ext uri="{3e2802c4-a4d2-4d8b-9148-e3be6c30e623}">
          <xlrd:rvb i="5485"/>
        </ext>
      </extLst>
    </bk>
    <bk>
      <extLst>
        <ext uri="{3e2802c4-a4d2-4d8b-9148-e3be6c30e623}">
          <xlrd:rvb i="5486"/>
        </ext>
      </extLst>
    </bk>
    <bk>
      <extLst>
        <ext uri="{3e2802c4-a4d2-4d8b-9148-e3be6c30e623}">
          <xlrd:rvb i="5487"/>
        </ext>
      </extLst>
    </bk>
    <bk>
      <extLst>
        <ext uri="{3e2802c4-a4d2-4d8b-9148-e3be6c30e623}">
          <xlrd:rvb i="5488"/>
        </ext>
      </extLst>
    </bk>
    <bk>
      <extLst>
        <ext uri="{3e2802c4-a4d2-4d8b-9148-e3be6c30e623}">
          <xlrd:rvb i="5489"/>
        </ext>
      </extLst>
    </bk>
    <bk>
      <extLst>
        <ext uri="{3e2802c4-a4d2-4d8b-9148-e3be6c30e623}">
          <xlrd:rvb i="5490"/>
        </ext>
      </extLst>
    </bk>
    <bk>
      <extLst>
        <ext uri="{3e2802c4-a4d2-4d8b-9148-e3be6c30e623}">
          <xlrd:rvb i="5491"/>
        </ext>
      </extLst>
    </bk>
    <bk>
      <extLst>
        <ext uri="{3e2802c4-a4d2-4d8b-9148-e3be6c30e623}">
          <xlrd:rvb i="5492"/>
        </ext>
      </extLst>
    </bk>
    <bk>
      <extLst>
        <ext uri="{3e2802c4-a4d2-4d8b-9148-e3be6c30e623}">
          <xlrd:rvb i="5493"/>
        </ext>
      </extLst>
    </bk>
    <bk>
      <extLst>
        <ext uri="{3e2802c4-a4d2-4d8b-9148-e3be6c30e623}">
          <xlrd:rvb i="5494"/>
        </ext>
      </extLst>
    </bk>
    <bk>
      <extLst>
        <ext uri="{3e2802c4-a4d2-4d8b-9148-e3be6c30e623}">
          <xlrd:rvb i="5495"/>
        </ext>
      </extLst>
    </bk>
    <bk>
      <extLst>
        <ext uri="{3e2802c4-a4d2-4d8b-9148-e3be6c30e623}">
          <xlrd:rvb i="5496"/>
        </ext>
      </extLst>
    </bk>
    <bk>
      <extLst>
        <ext uri="{3e2802c4-a4d2-4d8b-9148-e3be6c30e623}">
          <xlrd:rvb i="5497"/>
        </ext>
      </extLst>
    </bk>
    <bk>
      <extLst>
        <ext uri="{3e2802c4-a4d2-4d8b-9148-e3be6c30e623}">
          <xlrd:rvb i="5498"/>
        </ext>
      </extLst>
    </bk>
    <bk>
      <extLst>
        <ext uri="{3e2802c4-a4d2-4d8b-9148-e3be6c30e623}">
          <xlrd:rvb i="5499"/>
        </ext>
      </extLst>
    </bk>
    <bk>
      <extLst>
        <ext uri="{3e2802c4-a4d2-4d8b-9148-e3be6c30e623}">
          <xlrd:rvb i="5500"/>
        </ext>
      </extLst>
    </bk>
    <bk>
      <extLst>
        <ext uri="{3e2802c4-a4d2-4d8b-9148-e3be6c30e623}">
          <xlrd:rvb i="5501"/>
        </ext>
      </extLst>
    </bk>
    <bk>
      <extLst>
        <ext uri="{3e2802c4-a4d2-4d8b-9148-e3be6c30e623}">
          <xlrd:rvb i="5502"/>
        </ext>
      </extLst>
    </bk>
    <bk>
      <extLst>
        <ext uri="{3e2802c4-a4d2-4d8b-9148-e3be6c30e623}">
          <xlrd:rvb i="5503"/>
        </ext>
      </extLst>
    </bk>
    <bk>
      <extLst>
        <ext uri="{3e2802c4-a4d2-4d8b-9148-e3be6c30e623}">
          <xlrd:rvb i="5504"/>
        </ext>
      </extLst>
    </bk>
    <bk>
      <extLst>
        <ext uri="{3e2802c4-a4d2-4d8b-9148-e3be6c30e623}">
          <xlrd:rvb i="5505"/>
        </ext>
      </extLst>
    </bk>
    <bk>
      <extLst>
        <ext uri="{3e2802c4-a4d2-4d8b-9148-e3be6c30e623}">
          <xlrd:rvb i="5506"/>
        </ext>
      </extLst>
    </bk>
    <bk>
      <extLst>
        <ext uri="{3e2802c4-a4d2-4d8b-9148-e3be6c30e623}">
          <xlrd:rvb i="5507"/>
        </ext>
      </extLst>
    </bk>
    <bk>
      <extLst>
        <ext uri="{3e2802c4-a4d2-4d8b-9148-e3be6c30e623}">
          <xlrd:rvb i="5508"/>
        </ext>
      </extLst>
    </bk>
    <bk>
      <extLst>
        <ext uri="{3e2802c4-a4d2-4d8b-9148-e3be6c30e623}">
          <xlrd:rvb i="5509"/>
        </ext>
      </extLst>
    </bk>
    <bk>
      <extLst>
        <ext uri="{3e2802c4-a4d2-4d8b-9148-e3be6c30e623}">
          <xlrd:rvb i="5510"/>
        </ext>
      </extLst>
    </bk>
    <bk>
      <extLst>
        <ext uri="{3e2802c4-a4d2-4d8b-9148-e3be6c30e623}">
          <xlrd:rvb i="5511"/>
        </ext>
      </extLst>
    </bk>
    <bk>
      <extLst>
        <ext uri="{3e2802c4-a4d2-4d8b-9148-e3be6c30e623}">
          <xlrd:rvb i="5512"/>
        </ext>
      </extLst>
    </bk>
    <bk>
      <extLst>
        <ext uri="{3e2802c4-a4d2-4d8b-9148-e3be6c30e623}">
          <xlrd:rvb i="5513"/>
        </ext>
      </extLst>
    </bk>
    <bk>
      <extLst>
        <ext uri="{3e2802c4-a4d2-4d8b-9148-e3be6c30e623}">
          <xlrd:rvb i="5514"/>
        </ext>
      </extLst>
    </bk>
    <bk>
      <extLst>
        <ext uri="{3e2802c4-a4d2-4d8b-9148-e3be6c30e623}">
          <xlrd:rvb i="5515"/>
        </ext>
      </extLst>
    </bk>
    <bk>
      <extLst>
        <ext uri="{3e2802c4-a4d2-4d8b-9148-e3be6c30e623}">
          <xlrd:rvb i="5516"/>
        </ext>
      </extLst>
    </bk>
    <bk>
      <extLst>
        <ext uri="{3e2802c4-a4d2-4d8b-9148-e3be6c30e623}">
          <xlrd:rvb i="5517"/>
        </ext>
      </extLst>
    </bk>
    <bk>
      <extLst>
        <ext uri="{3e2802c4-a4d2-4d8b-9148-e3be6c30e623}">
          <xlrd:rvb i="5518"/>
        </ext>
      </extLst>
    </bk>
    <bk>
      <extLst>
        <ext uri="{3e2802c4-a4d2-4d8b-9148-e3be6c30e623}">
          <xlrd:rvb i="5519"/>
        </ext>
      </extLst>
    </bk>
    <bk>
      <extLst>
        <ext uri="{3e2802c4-a4d2-4d8b-9148-e3be6c30e623}">
          <xlrd:rvb i="5520"/>
        </ext>
      </extLst>
    </bk>
    <bk>
      <extLst>
        <ext uri="{3e2802c4-a4d2-4d8b-9148-e3be6c30e623}">
          <xlrd:rvb i="5521"/>
        </ext>
      </extLst>
    </bk>
    <bk>
      <extLst>
        <ext uri="{3e2802c4-a4d2-4d8b-9148-e3be6c30e623}">
          <xlrd:rvb i="5522"/>
        </ext>
      </extLst>
    </bk>
    <bk>
      <extLst>
        <ext uri="{3e2802c4-a4d2-4d8b-9148-e3be6c30e623}">
          <xlrd:rvb i="5523"/>
        </ext>
      </extLst>
    </bk>
    <bk>
      <extLst>
        <ext uri="{3e2802c4-a4d2-4d8b-9148-e3be6c30e623}">
          <xlrd:rvb i="5524"/>
        </ext>
      </extLst>
    </bk>
    <bk>
      <extLst>
        <ext uri="{3e2802c4-a4d2-4d8b-9148-e3be6c30e623}">
          <xlrd:rvb i="5525"/>
        </ext>
      </extLst>
    </bk>
    <bk>
      <extLst>
        <ext uri="{3e2802c4-a4d2-4d8b-9148-e3be6c30e623}">
          <xlrd:rvb i="5526"/>
        </ext>
      </extLst>
    </bk>
    <bk>
      <extLst>
        <ext uri="{3e2802c4-a4d2-4d8b-9148-e3be6c30e623}">
          <xlrd:rvb i="5527"/>
        </ext>
      </extLst>
    </bk>
    <bk>
      <extLst>
        <ext uri="{3e2802c4-a4d2-4d8b-9148-e3be6c30e623}">
          <xlrd:rvb i="5528"/>
        </ext>
      </extLst>
    </bk>
    <bk>
      <extLst>
        <ext uri="{3e2802c4-a4d2-4d8b-9148-e3be6c30e623}">
          <xlrd:rvb i="5529"/>
        </ext>
      </extLst>
    </bk>
    <bk>
      <extLst>
        <ext uri="{3e2802c4-a4d2-4d8b-9148-e3be6c30e623}">
          <xlrd:rvb i="5530"/>
        </ext>
      </extLst>
    </bk>
    <bk>
      <extLst>
        <ext uri="{3e2802c4-a4d2-4d8b-9148-e3be6c30e623}">
          <xlrd:rvb i="5531"/>
        </ext>
      </extLst>
    </bk>
    <bk>
      <extLst>
        <ext uri="{3e2802c4-a4d2-4d8b-9148-e3be6c30e623}">
          <xlrd:rvb i="5532"/>
        </ext>
      </extLst>
    </bk>
    <bk>
      <extLst>
        <ext uri="{3e2802c4-a4d2-4d8b-9148-e3be6c30e623}">
          <xlrd:rvb i="5533"/>
        </ext>
      </extLst>
    </bk>
    <bk>
      <extLst>
        <ext uri="{3e2802c4-a4d2-4d8b-9148-e3be6c30e623}">
          <xlrd:rvb i="5534"/>
        </ext>
      </extLst>
    </bk>
    <bk>
      <extLst>
        <ext uri="{3e2802c4-a4d2-4d8b-9148-e3be6c30e623}">
          <xlrd:rvb i="5535"/>
        </ext>
      </extLst>
    </bk>
    <bk>
      <extLst>
        <ext uri="{3e2802c4-a4d2-4d8b-9148-e3be6c30e623}">
          <xlrd:rvb i="5536"/>
        </ext>
      </extLst>
    </bk>
    <bk>
      <extLst>
        <ext uri="{3e2802c4-a4d2-4d8b-9148-e3be6c30e623}">
          <xlrd:rvb i="5537"/>
        </ext>
      </extLst>
    </bk>
    <bk>
      <extLst>
        <ext uri="{3e2802c4-a4d2-4d8b-9148-e3be6c30e623}">
          <xlrd:rvb i="5538"/>
        </ext>
      </extLst>
    </bk>
    <bk>
      <extLst>
        <ext uri="{3e2802c4-a4d2-4d8b-9148-e3be6c30e623}">
          <xlrd:rvb i="5539"/>
        </ext>
      </extLst>
    </bk>
    <bk>
      <extLst>
        <ext uri="{3e2802c4-a4d2-4d8b-9148-e3be6c30e623}">
          <xlrd:rvb i="5540"/>
        </ext>
      </extLst>
    </bk>
    <bk>
      <extLst>
        <ext uri="{3e2802c4-a4d2-4d8b-9148-e3be6c30e623}">
          <xlrd:rvb i="5541"/>
        </ext>
      </extLst>
    </bk>
    <bk>
      <extLst>
        <ext uri="{3e2802c4-a4d2-4d8b-9148-e3be6c30e623}">
          <xlrd:rvb i="5542"/>
        </ext>
      </extLst>
    </bk>
    <bk>
      <extLst>
        <ext uri="{3e2802c4-a4d2-4d8b-9148-e3be6c30e623}">
          <xlrd:rvb i="5543"/>
        </ext>
      </extLst>
    </bk>
    <bk>
      <extLst>
        <ext uri="{3e2802c4-a4d2-4d8b-9148-e3be6c30e623}">
          <xlrd:rvb i="5544"/>
        </ext>
      </extLst>
    </bk>
    <bk>
      <extLst>
        <ext uri="{3e2802c4-a4d2-4d8b-9148-e3be6c30e623}">
          <xlrd:rvb i="5545"/>
        </ext>
      </extLst>
    </bk>
    <bk>
      <extLst>
        <ext uri="{3e2802c4-a4d2-4d8b-9148-e3be6c30e623}">
          <xlrd:rvb i="5546"/>
        </ext>
      </extLst>
    </bk>
    <bk>
      <extLst>
        <ext uri="{3e2802c4-a4d2-4d8b-9148-e3be6c30e623}">
          <xlrd:rvb i="5547"/>
        </ext>
      </extLst>
    </bk>
    <bk>
      <extLst>
        <ext uri="{3e2802c4-a4d2-4d8b-9148-e3be6c30e623}">
          <xlrd:rvb i="5548"/>
        </ext>
      </extLst>
    </bk>
    <bk>
      <extLst>
        <ext uri="{3e2802c4-a4d2-4d8b-9148-e3be6c30e623}">
          <xlrd:rvb i="5549"/>
        </ext>
      </extLst>
    </bk>
    <bk>
      <extLst>
        <ext uri="{3e2802c4-a4d2-4d8b-9148-e3be6c30e623}">
          <xlrd:rvb i="5550"/>
        </ext>
      </extLst>
    </bk>
    <bk>
      <extLst>
        <ext uri="{3e2802c4-a4d2-4d8b-9148-e3be6c30e623}">
          <xlrd:rvb i="5551"/>
        </ext>
      </extLst>
    </bk>
    <bk>
      <extLst>
        <ext uri="{3e2802c4-a4d2-4d8b-9148-e3be6c30e623}">
          <xlrd:rvb i="5552"/>
        </ext>
      </extLst>
    </bk>
    <bk>
      <extLst>
        <ext uri="{3e2802c4-a4d2-4d8b-9148-e3be6c30e623}">
          <xlrd:rvb i="5553"/>
        </ext>
      </extLst>
    </bk>
    <bk>
      <extLst>
        <ext uri="{3e2802c4-a4d2-4d8b-9148-e3be6c30e623}">
          <xlrd:rvb i="5554"/>
        </ext>
      </extLst>
    </bk>
    <bk>
      <extLst>
        <ext uri="{3e2802c4-a4d2-4d8b-9148-e3be6c30e623}">
          <xlrd:rvb i="5555"/>
        </ext>
      </extLst>
    </bk>
    <bk>
      <extLst>
        <ext uri="{3e2802c4-a4d2-4d8b-9148-e3be6c30e623}">
          <xlrd:rvb i="5556"/>
        </ext>
      </extLst>
    </bk>
    <bk>
      <extLst>
        <ext uri="{3e2802c4-a4d2-4d8b-9148-e3be6c30e623}">
          <xlrd:rvb i="5557"/>
        </ext>
      </extLst>
    </bk>
    <bk>
      <extLst>
        <ext uri="{3e2802c4-a4d2-4d8b-9148-e3be6c30e623}">
          <xlrd:rvb i="5558"/>
        </ext>
      </extLst>
    </bk>
    <bk>
      <extLst>
        <ext uri="{3e2802c4-a4d2-4d8b-9148-e3be6c30e623}">
          <xlrd:rvb i="5559"/>
        </ext>
      </extLst>
    </bk>
    <bk>
      <extLst>
        <ext uri="{3e2802c4-a4d2-4d8b-9148-e3be6c30e623}">
          <xlrd:rvb i="5560"/>
        </ext>
      </extLst>
    </bk>
    <bk>
      <extLst>
        <ext uri="{3e2802c4-a4d2-4d8b-9148-e3be6c30e623}">
          <xlrd:rvb i="5561"/>
        </ext>
      </extLst>
    </bk>
    <bk>
      <extLst>
        <ext uri="{3e2802c4-a4d2-4d8b-9148-e3be6c30e623}">
          <xlrd:rvb i="5562"/>
        </ext>
      </extLst>
    </bk>
    <bk>
      <extLst>
        <ext uri="{3e2802c4-a4d2-4d8b-9148-e3be6c30e623}">
          <xlrd:rvb i="5563"/>
        </ext>
      </extLst>
    </bk>
    <bk>
      <extLst>
        <ext uri="{3e2802c4-a4d2-4d8b-9148-e3be6c30e623}">
          <xlrd:rvb i="5564"/>
        </ext>
      </extLst>
    </bk>
    <bk>
      <extLst>
        <ext uri="{3e2802c4-a4d2-4d8b-9148-e3be6c30e623}">
          <xlrd:rvb i="5565"/>
        </ext>
      </extLst>
    </bk>
    <bk>
      <extLst>
        <ext uri="{3e2802c4-a4d2-4d8b-9148-e3be6c30e623}">
          <xlrd:rvb i="5566"/>
        </ext>
      </extLst>
    </bk>
    <bk>
      <extLst>
        <ext uri="{3e2802c4-a4d2-4d8b-9148-e3be6c30e623}">
          <xlrd:rvb i="5567"/>
        </ext>
      </extLst>
    </bk>
    <bk>
      <extLst>
        <ext uri="{3e2802c4-a4d2-4d8b-9148-e3be6c30e623}">
          <xlrd:rvb i="5568"/>
        </ext>
      </extLst>
    </bk>
    <bk>
      <extLst>
        <ext uri="{3e2802c4-a4d2-4d8b-9148-e3be6c30e623}">
          <xlrd:rvb i="5569"/>
        </ext>
      </extLst>
    </bk>
    <bk>
      <extLst>
        <ext uri="{3e2802c4-a4d2-4d8b-9148-e3be6c30e623}">
          <xlrd:rvb i="5570"/>
        </ext>
      </extLst>
    </bk>
    <bk>
      <extLst>
        <ext uri="{3e2802c4-a4d2-4d8b-9148-e3be6c30e623}">
          <xlrd:rvb i="5571"/>
        </ext>
      </extLst>
    </bk>
    <bk>
      <extLst>
        <ext uri="{3e2802c4-a4d2-4d8b-9148-e3be6c30e623}">
          <xlrd:rvb i="5572"/>
        </ext>
      </extLst>
    </bk>
    <bk>
      <extLst>
        <ext uri="{3e2802c4-a4d2-4d8b-9148-e3be6c30e623}">
          <xlrd:rvb i="5573"/>
        </ext>
      </extLst>
    </bk>
    <bk>
      <extLst>
        <ext uri="{3e2802c4-a4d2-4d8b-9148-e3be6c30e623}">
          <xlrd:rvb i="5574"/>
        </ext>
      </extLst>
    </bk>
    <bk>
      <extLst>
        <ext uri="{3e2802c4-a4d2-4d8b-9148-e3be6c30e623}">
          <xlrd:rvb i="5575"/>
        </ext>
      </extLst>
    </bk>
    <bk>
      <extLst>
        <ext uri="{3e2802c4-a4d2-4d8b-9148-e3be6c30e623}">
          <xlrd:rvb i="5576"/>
        </ext>
      </extLst>
    </bk>
    <bk>
      <extLst>
        <ext uri="{3e2802c4-a4d2-4d8b-9148-e3be6c30e623}">
          <xlrd:rvb i="5577"/>
        </ext>
      </extLst>
    </bk>
    <bk>
      <extLst>
        <ext uri="{3e2802c4-a4d2-4d8b-9148-e3be6c30e623}">
          <xlrd:rvb i="5578"/>
        </ext>
      </extLst>
    </bk>
    <bk>
      <extLst>
        <ext uri="{3e2802c4-a4d2-4d8b-9148-e3be6c30e623}">
          <xlrd:rvb i="5579"/>
        </ext>
      </extLst>
    </bk>
    <bk>
      <extLst>
        <ext uri="{3e2802c4-a4d2-4d8b-9148-e3be6c30e623}">
          <xlrd:rvb i="5580"/>
        </ext>
      </extLst>
    </bk>
    <bk>
      <extLst>
        <ext uri="{3e2802c4-a4d2-4d8b-9148-e3be6c30e623}">
          <xlrd:rvb i="5581"/>
        </ext>
      </extLst>
    </bk>
    <bk>
      <extLst>
        <ext uri="{3e2802c4-a4d2-4d8b-9148-e3be6c30e623}">
          <xlrd:rvb i="5582"/>
        </ext>
      </extLst>
    </bk>
    <bk>
      <extLst>
        <ext uri="{3e2802c4-a4d2-4d8b-9148-e3be6c30e623}">
          <xlrd:rvb i="5583"/>
        </ext>
      </extLst>
    </bk>
    <bk>
      <extLst>
        <ext uri="{3e2802c4-a4d2-4d8b-9148-e3be6c30e623}">
          <xlrd:rvb i="5584"/>
        </ext>
      </extLst>
    </bk>
    <bk>
      <extLst>
        <ext uri="{3e2802c4-a4d2-4d8b-9148-e3be6c30e623}">
          <xlrd:rvb i="5585"/>
        </ext>
      </extLst>
    </bk>
    <bk>
      <extLst>
        <ext uri="{3e2802c4-a4d2-4d8b-9148-e3be6c30e623}">
          <xlrd:rvb i="5586"/>
        </ext>
      </extLst>
    </bk>
    <bk>
      <extLst>
        <ext uri="{3e2802c4-a4d2-4d8b-9148-e3be6c30e623}">
          <xlrd:rvb i="5587"/>
        </ext>
      </extLst>
    </bk>
    <bk>
      <extLst>
        <ext uri="{3e2802c4-a4d2-4d8b-9148-e3be6c30e623}">
          <xlrd:rvb i="5588"/>
        </ext>
      </extLst>
    </bk>
    <bk>
      <extLst>
        <ext uri="{3e2802c4-a4d2-4d8b-9148-e3be6c30e623}">
          <xlrd:rvb i="5589"/>
        </ext>
      </extLst>
    </bk>
    <bk>
      <extLst>
        <ext uri="{3e2802c4-a4d2-4d8b-9148-e3be6c30e623}">
          <xlrd:rvb i="5590"/>
        </ext>
      </extLst>
    </bk>
    <bk>
      <extLst>
        <ext uri="{3e2802c4-a4d2-4d8b-9148-e3be6c30e623}">
          <xlrd:rvb i="5591"/>
        </ext>
      </extLst>
    </bk>
    <bk>
      <extLst>
        <ext uri="{3e2802c4-a4d2-4d8b-9148-e3be6c30e623}">
          <xlrd:rvb i="5592"/>
        </ext>
      </extLst>
    </bk>
    <bk>
      <extLst>
        <ext uri="{3e2802c4-a4d2-4d8b-9148-e3be6c30e623}">
          <xlrd:rvb i="5593"/>
        </ext>
      </extLst>
    </bk>
    <bk>
      <extLst>
        <ext uri="{3e2802c4-a4d2-4d8b-9148-e3be6c30e623}">
          <xlrd:rvb i="5594"/>
        </ext>
      </extLst>
    </bk>
    <bk>
      <extLst>
        <ext uri="{3e2802c4-a4d2-4d8b-9148-e3be6c30e623}">
          <xlrd:rvb i="5595"/>
        </ext>
      </extLst>
    </bk>
    <bk>
      <extLst>
        <ext uri="{3e2802c4-a4d2-4d8b-9148-e3be6c30e623}">
          <xlrd:rvb i="5596"/>
        </ext>
      </extLst>
    </bk>
    <bk>
      <extLst>
        <ext uri="{3e2802c4-a4d2-4d8b-9148-e3be6c30e623}">
          <xlrd:rvb i="5597"/>
        </ext>
      </extLst>
    </bk>
    <bk>
      <extLst>
        <ext uri="{3e2802c4-a4d2-4d8b-9148-e3be6c30e623}">
          <xlrd:rvb i="5598"/>
        </ext>
      </extLst>
    </bk>
    <bk>
      <extLst>
        <ext uri="{3e2802c4-a4d2-4d8b-9148-e3be6c30e623}">
          <xlrd:rvb i="5599"/>
        </ext>
      </extLst>
    </bk>
    <bk>
      <extLst>
        <ext uri="{3e2802c4-a4d2-4d8b-9148-e3be6c30e623}">
          <xlrd:rvb i="5600"/>
        </ext>
      </extLst>
    </bk>
    <bk>
      <extLst>
        <ext uri="{3e2802c4-a4d2-4d8b-9148-e3be6c30e623}">
          <xlrd:rvb i="5601"/>
        </ext>
      </extLst>
    </bk>
    <bk>
      <extLst>
        <ext uri="{3e2802c4-a4d2-4d8b-9148-e3be6c30e623}">
          <xlrd:rvb i="5602"/>
        </ext>
      </extLst>
    </bk>
    <bk>
      <extLst>
        <ext uri="{3e2802c4-a4d2-4d8b-9148-e3be6c30e623}">
          <xlrd:rvb i="5603"/>
        </ext>
      </extLst>
    </bk>
    <bk>
      <extLst>
        <ext uri="{3e2802c4-a4d2-4d8b-9148-e3be6c30e623}">
          <xlrd:rvb i="5604"/>
        </ext>
      </extLst>
    </bk>
    <bk>
      <extLst>
        <ext uri="{3e2802c4-a4d2-4d8b-9148-e3be6c30e623}">
          <xlrd:rvb i="5605"/>
        </ext>
      </extLst>
    </bk>
    <bk>
      <extLst>
        <ext uri="{3e2802c4-a4d2-4d8b-9148-e3be6c30e623}">
          <xlrd:rvb i="5606"/>
        </ext>
      </extLst>
    </bk>
    <bk>
      <extLst>
        <ext uri="{3e2802c4-a4d2-4d8b-9148-e3be6c30e623}">
          <xlrd:rvb i="5607"/>
        </ext>
      </extLst>
    </bk>
    <bk>
      <extLst>
        <ext uri="{3e2802c4-a4d2-4d8b-9148-e3be6c30e623}">
          <xlrd:rvb i="5608"/>
        </ext>
      </extLst>
    </bk>
    <bk>
      <extLst>
        <ext uri="{3e2802c4-a4d2-4d8b-9148-e3be6c30e623}">
          <xlrd:rvb i="5609"/>
        </ext>
      </extLst>
    </bk>
    <bk>
      <extLst>
        <ext uri="{3e2802c4-a4d2-4d8b-9148-e3be6c30e623}">
          <xlrd:rvb i="5610"/>
        </ext>
      </extLst>
    </bk>
    <bk>
      <extLst>
        <ext uri="{3e2802c4-a4d2-4d8b-9148-e3be6c30e623}">
          <xlrd:rvb i="5611"/>
        </ext>
      </extLst>
    </bk>
    <bk>
      <extLst>
        <ext uri="{3e2802c4-a4d2-4d8b-9148-e3be6c30e623}">
          <xlrd:rvb i="5612"/>
        </ext>
      </extLst>
    </bk>
    <bk>
      <extLst>
        <ext uri="{3e2802c4-a4d2-4d8b-9148-e3be6c30e623}">
          <xlrd:rvb i="5613"/>
        </ext>
      </extLst>
    </bk>
    <bk>
      <extLst>
        <ext uri="{3e2802c4-a4d2-4d8b-9148-e3be6c30e623}">
          <xlrd:rvb i="5614"/>
        </ext>
      </extLst>
    </bk>
    <bk>
      <extLst>
        <ext uri="{3e2802c4-a4d2-4d8b-9148-e3be6c30e623}">
          <xlrd:rvb i="5615"/>
        </ext>
      </extLst>
    </bk>
    <bk>
      <extLst>
        <ext uri="{3e2802c4-a4d2-4d8b-9148-e3be6c30e623}">
          <xlrd:rvb i="5616"/>
        </ext>
      </extLst>
    </bk>
    <bk>
      <extLst>
        <ext uri="{3e2802c4-a4d2-4d8b-9148-e3be6c30e623}">
          <xlrd:rvb i="5617"/>
        </ext>
      </extLst>
    </bk>
    <bk>
      <extLst>
        <ext uri="{3e2802c4-a4d2-4d8b-9148-e3be6c30e623}">
          <xlrd:rvb i="5618"/>
        </ext>
      </extLst>
    </bk>
    <bk>
      <extLst>
        <ext uri="{3e2802c4-a4d2-4d8b-9148-e3be6c30e623}">
          <xlrd:rvb i="5619"/>
        </ext>
      </extLst>
    </bk>
    <bk>
      <extLst>
        <ext uri="{3e2802c4-a4d2-4d8b-9148-e3be6c30e623}">
          <xlrd:rvb i="5620"/>
        </ext>
      </extLst>
    </bk>
    <bk>
      <extLst>
        <ext uri="{3e2802c4-a4d2-4d8b-9148-e3be6c30e623}">
          <xlrd:rvb i="5621"/>
        </ext>
      </extLst>
    </bk>
    <bk>
      <extLst>
        <ext uri="{3e2802c4-a4d2-4d8b-9148-e3be6c30e623}">
          <xlrd:rvb i="5622"/>
        </ext>
      </extLst>
    </bk>
    <bk>
      <extLst>
        <ext uri="{3e2802c4-a4d2-4d8b-9148-e3be6c30e623}">
          <xlrd:rvb i="5623"/>
        </ext>
      </extLst>
    </bk>
    <bk>
      <extLst>
        <ext uri="{3e2802c4-a4d2-4d8b-9148-e3be6c30e623}">
          <xlrd:rvb i="5624"/>
        </ext>
      </extLst>
    </bk>
    <bk>
      <extLst>
        <ext uri="{3e2802c4-a4d2-4d8b-9148-e3be6c30e623}">
          <xlrd:rvb i="5625"/>
        </ext>
      </extLst>
    </bk>
    <bk>
      <extLst>
        <ext uri="{3e2802c4-a4d2-4d8b-9148-e3be6c30e623}">
          <xlrd:rvb i="5626"/>
        </ext>
      </extLst>
    </bk>
    <bk>
      <extLst>
        <ext uri="{3e2802c4-a4d2-4d8b-9148-e3be6c30e623}">
          <xlrd:rvb i="5627"/>
        </ext>
      </extLst>
    </bk>
    <bk>
      <extLst>
        <ext uri="{3e2802c4-a4d2-4d8b-9148-e3be6c30e623}">
          <xlrd:rvb i="5628"/>
        </ext>
      </extLst>
    </bk>
    <bk>
      <extLst>
        <ext uri="{3e2802c4-a4d2-4d8b-9148-e3be6c30e623}">
          <xlrd:rvb i="5629"/>
        </ext>
      </extLst>
    </bk>
    <bk>
      <extLst>
        <ext uri="{3e2802c4-a4d2-4d8b-9148-e3be6c30e623}">
          <xlrd:rvb i="5630"/>
        </ext>
      </extLst>
    </bk>
    <bk>
      <extLst>
        <ext uri="{3e2802c4-a4d2-4d8b-9148-e3be6c30e623}">
          <xlrd:rvb i="5631"/>
        </ext>
      </extLst>
    </bk>
    <bk>
      <extLst>
        <ext uri="{3e2802c4-a4d2-4d8b-9148-e3be6c30e623}">
          <xlrd:rvb i="5632"/>
        </ext>
      </extLst>
    </bk>
    <bk>
      <extLst>
        <ext uri="{3e2802c4-a4d2-4d8b-9148-e3be6c30e623}">
          <xlrd:rvb i="5633"/>
        </ext>
      </extLst>
    </bk>
    <bk>
      <extLst>
        <ext uri="{3e2802c4-a4d2-4d8b-9148-e3be6c30e623}">
          <xlrd:rvb i="5634"/>
        </ext>
      </extLst>
    </bk>
    <bk>
      <extLst>
        <ext uri="{3e2802c4-a4d2-4d8b-9148-e3be6c30e623}">
          <xlrd:rvb i="5635"/>
        </ext>
      </extLst>
    </bk>
    <bk>
      <extLst>
        <ext uri="{3e2802c4-a4d2-4d8b-9148-e3be6c30e623}">
          <xlrd:rvb i="5636"/>
        </ext>
      </extLst>
    </bk>
    <bk>
      <extLst>
        <ext uri="{3e2802c4-a4d2-4d8b-9148-e3be6c30e623}">
          <xlrd:rvb i="5637"/>
        </ext>
      </extLst>
    </bk>
    <bk>
      <extLst>
        <ext uri="{3e2802c4-a4d2-4d8b-9148-e3be6c30e623}">
          <xlrd:rvb i="5638"/>
        </ext>
      </extLst>
    </bk>
    <bk>
      <extLst>
        <ext uri="{3e2802c4-a4d2-4d8b-9148-e3be6c30e623}">
          <xlrd:rvb i="5639"/>
        </ext>
      </extLst>
    </bk>
    <bk>
      <extLst>
        <ext uri="{3e2802c4-a4d2-4d8b-9148-e3be6c30e623}">
          <xlrd:rvb i="5640"/>
        </ext>
      </extLst>
    </bk>
    <bk>
      <extLst>
        <ext uri="{3e2802c4-a4d2-4d8b-9148-e3be6c30e623}">
          <xlrd:rvb i="5641"/>
        </ext>
      </extLst>
    </bk>
    <bk>
      <extLst>
        <ext uri="{3e2802c4-a4d2-4d8b-9148-e3be6c30e623}">
          <xlrd:rvb i="5642"/>
        </ext>
      </extLst>
    </bk>
    <bk>
      <extLst>
        <ext uri="{3e2802c4-a4d2-4d8b-9148-e3be6c30e623}">
          <xlrd:rvb i="5643"/>
        </ext>
      </extLst>
    </bk>
    <bk>
      <extLst>
        <ext uri="{3e2802c4-a4d2-4d8b-9148-e3be6c30e623}">
          <xlrd:rvb i="5644"/>
        </ext>
      </extLst>
    </bk>
    <bk>
      <extLst>
        <ext uri="{3e2802c4-a4d2-4d8b-9148-e3be6c30e623}">
          <xlrd:rvb i="5645"/>
        </ext>
      </extLst>
    </bk>
    <bk>
      <extLst>
        <ext uri="{3e2802c4-a4d2-4d8b-9148-e3be6c30e623}">
          <xlrd:rvb i="5646"/>
        </ext>
      </extLst>
    </bk>
    <bk>
      <extLst>
        <ext uri="{3e2802c4-a4d2-4d8b-9148-e3be6c30e623}">
          <xlrd:rvb i="5647"/>
        </ext>
      </extLst>
    </bk>
    <bk>
      <extLst>
        <ext uri="{3e2802c4-a4d2-4d8b-9148-e3be6c30e623}">
          <xlrd:rvb i="5648"/>
        </ext>
      </extLst>
    </bk>
    <bk>
      <extLst>
        <ext uri="{3e2802c4-a4d2-4d8b-9148-e3be6c30e623}">
          <xlrd:rvb i="5649"/>
        </ext>
      </extLst>
    </bk>
    <bk>
      <extLst>
        <ext uri="{3e2802c4-a4d2-4d8b-9148-e3be6c30e623}">
          <xlrd:rvb i="5650"/>
        </ext>
      </extLst>
    </bk>
    <bk>
      <extLst>
        <ext uri="{3e2802c4-a4d2-4d8b-9148-e3be6c30e623}">
          <xlrd:rvb i="5651"/>
        </ext>
      </extLst>
    </bk>
    <bk>
      <extLst>
        <ext uri="{3e2802c4-a4d2-4d8b-9148-e3be6c30e623}">
          <xlrd:rvb i="5652"/>
        </ext>
      </extLst>
    </bk>
    <bk>
      <extLst>
        <ext uri="{3e2802c4-a4d2-4d8b-9148-e3be6c30e623}">
          <xlrd:rvb i="5653"/>
        </ext>
      </extLst>
    </bk>
    <bk>
      <extLst>
        <ext uri="{3e2802c4-a4d2-4d8b-9148-e3be6c30e623}">
          <xlrd:rvb i="5654"/>
        </ext>
      </extLst>
    </bk>
    <bk>
      <extLst>
        <ext uri="{3e2802c4-a4d2-4d8b-9148-e3be6c30e623}">
          <xlrd:rvb i="5655"/>
        </ext>
      </extLst>
    </bk>
    <bk>
      <extLst>
        <ext uri="{3e2802c4-a4d2-4d8b-9148-e3be6c30e623}">
          <xlrd:rvb i="5656"/>
        </ext>
      </extLst>
    </bk>
    <bk>
      <extLst>
        <ext uri="{3e2802c4-a4d2-4d8b-9148-e3be6c30e623}">
          <xlrd:rvb i="5657"/>
        </ext>
      </extLst>
    </bk>
    <bk>
      <extLst>
        <ext uri="{3e2802c4-a4d2-4d8b-9148-e3be6c30e623}">
          <xlrd:rvb i="5658"/>
        </ext>
      </extLst>
    </bk>
    <bk>
      <extLst>
        <ext uri="{3e2802c4-a4d2-4d8b-9148-e3be6c30e623}">
          <xlrd:rvb i="5659"/>
        </ext>
      </extLst>
    </bk>
    <bk>
      <extLst>
        <ext uri="{3e2802c4-a4d2-4d8b-9148-e3be6c30e623}">
          <xlrd:rvb i="5660"/>
        </ext>
      </extLst>
    </bk>
    <bk>
      <extLst>
        <ext uri="{3e2802c4-a4d2-4d8b-9148-e3be6c30e623}">
          <xlrd:rvb i="5661"/>
        </ext>
      </extLst>
    </bk>
    <bk>
      <extLst>
        <ext uri="{3e2802c4-a4d2-4d8b-9148-e3be6c30e623}">
          <xlrd:rvb i="5662"/>
        </ext>
      </extLst>
    </bk>
    <bk>
      <extLst>
        <ext uri="{3e2802c4-a4d2-4d8b-9148-e3be6c30e623}">
          <xlrd:rvb i="5663"/>
        </ext>
      </extLst>
    </bk>
    <bk>
      <extLst>
        <ext uri="{3e2802c4-a4d2-4d8b-9148-e3be6c30e623}">
          <xlrd:rvb i="5664"/>
        </ext>
      </extLst>
    </bk>
    <bk>
      <extLst>
        <ext uri="{3e2802c4-a4d2-4d8b-9148-e3be6c30e623}">
          <xlrd:rvb i="5665"/>
        </ext>
      </extLst>
    </bk>
    <bk>
      <extLst>
        <ext uri="{3e2802c4-a4d2-4d8b-9148-e3be6c30e623}">
          <xlrd:rvb i="5666"/>
        </ext>
      </extLst>
    </bk>
    <bk>
      <extLst>
        <ext uri="{3e2802c4-a4d2-4d8b-9148-e3be6c30e623}">
          <xlrd:rvb i="5667"/>
        </ext>
      </extLst>
    </bk>
    <bk>
      <extLst>
        <ext uri="{3e2802c4-a4d2-4d8b-9148-e3be6c30e623}">
          <xlrd:rvb i="5668"/>
        </ext>
      </extLst>
    </bk>
    <bk>
      <extLst>
        <ext uri="{3e2802c4-a4d2-4d8b-9148-e3be6c30e623}">
          <xlrd:rvb i="5669"/>
        </ext>
      </extLst>
    </bk>
    <bk>
      <extLst>
        <ext uri="{3e2802c4-a4d2-4d8b-9148-e3be6c30e623}">
          <xlrd:rvb i="5670"/>
        </ext>
      </extLst>
    </bk>
    <bk>
      <extLst>
        <ext uri="{3e2802c4-a4d2-4d8b-9148-e3be6c30e623}">
          <xlrd:rvb i="5671"/>
        </ext>
      </extLst>
    </bk>
    <bk>
      <extLst>
        <ext uri="{3e2802c4-a4d2-4d8b-9148-e3be6c30e623}">
          <xlrd:rvb i="5672"/>
        </ext>
      </extLst>
    </bk>
    <bk>
      <extLst>
        <ext uri="{3e2802c4-a4d2-4d8b-9148-e3be6c30e623}">
          <xlrd:rvb i="5673"/>
        </ext>
      </extLst>
    </bk>
    <bk>
      <extLst>
        <ext uri="{3e2802c4-a4d2-4d8b-9148-e3be6c30e623}">
          <xlrd:rvb i="5674"/>
        </ext>
      </extLst>
    </bk>
    <bk>
      <extLst>
        <ext uri="{3e2802c4-a4d2-4d8b-9148-e3be6c30e623}">
          <xlrd:rvb i="5675"/>
        </ext>
      </extLst>
    </bk>
    <bk>
      <extLst>
        <ext uri="{3e2802c4-a4d2-4d8b-9148-e3be6c30e623}">
          <xlrd:rvb i="5676"/>
        </ext>
      </extLst>
    </bk>
    <bk>
      <extLst>
        <ext uri="{3e2802c4-a4d2-4d8b-9148-e3be6c30e623}">
          <xlrd:rvb i="5677"/>
        </ext>
      </extLst>
    </bk>
    <bk>
      <extLst>
        <ext uri="{3e2802c4-a4d2-4d8b-9148-e3be6c30e623}">
          <xlrd:rvb i="5678"/>
        </ext>
      </extLst>
    </bk>
    <bk>
      <extLst>
        <ext uri="{3e2802c4-a4d2-4d8b-9148-e3be6c30e623}">
          <xlrd:rvb i="5679"/>
        </ext>
      </extLst>
    </bk>
    <bk>
      <extLst>
        <ext uri="{3e2802c4-a4d2-4d8b-9148-e3be6c30e623}">
          <xlrd:rvb i="5680"/>
        </ext>
      </extLst>
    </bk>
    <bk>
      <extLst>
        <ext uri="{3e2802c4-a4d2-4d8b-9148-e3be6c30e623}">
          <xlrd:rvb i="5681"/>
        </ext>
      </extLst>
    </bk>
    <bk>
      <extLst>
        <ext uri="{3e2802c4-a4d2-4d8b-9148-e3be6c30e623}">
          <xlrd:rvb i="5682"/>
        </ext>
      </extLst>
    </bk>
    <bk>
      <extLst>
        <ext uri="{3e2802c4-a4d2-4d8b-9148-e3be6c30e623}">
          <xlrd:rvb i="5683"/>
        </ext>
      </extLst>
    </bk>
    <bk>
      <extLst>
        <ext uri="{3e2802c4-a4d2-4d8b-9148-e3be6c30e623}">
          <xlrd:rvb i="5684"/>
        </ext>
      </extLst>
    </bk>
    <bk>
      <extLst>
        <ext uri="{3e2802c4-a4d2-4d8b-9148-e3be6c30e623}">
          <xlrd:rvb i="5685"/>
        </ext>
      </extLst>
    </bk>
    <bk>
      <extLst>
        <ext uri="{3e2802c4-a4d2-4d8b-9148-e3be6c30e623}">
          <xlrd:rvb i="5686"/>
        </ext>
      </extLst>
    </bk>
    <bk>
      <extLst>
        <ext uri="{3e2802c4-a4d2-4d8b-9148-e3be6c30e623}">
          <xlrd:rvb i="5687"/>
        </ext>
      </extLst>
    </bk>
    <bk>
      <extLst>
        <ext uri="{3e2802c4-a4d2-4d8b-9148-e3be6c30e623}">
          <xlrd:rvb i="5688"/>
        </ext>
      </extLst>
    </bk>
    <bk>
      <extLst>
        <ext uri="{3e2802c4-a4d2-4d8b-9148-e3be6c30e623}">
          <xlrd:rvb i="5689"/>
        </ext>
      </extLst>
    </bk>
    <bk>
      <extLst>
        <ext uri="{3e2802c4-a4d2-4d8b-9148-e3be6c30e623}">
          <xlrd:rvb i="5690"/>
        </ext>
      </extLst>
    </bk>
    <bk>
      <extLst>
        <ext uri="{3e2802c4-a4d2-4d8b-9148-e3be6c30e623}">
          <xlrd:rvb i="5691"/>
        </ext>
      </extLst>
    </bk>
    <bk>
      <extLst>
        <ext uri="{3e2802c4-a4d2-4d8b-9148-e3be6c30e623}">
          <xlrd:rvb i="5692"/>
        </ext>
      </extLst>
    </bk>
    <bk>
      <extLst>
        <ext uri="{3e2802c4-a4d2-4d8b-9148-e3be6c30e623}">
          <xlrd:rvb i="5693"/>
        </ext>
      </extLst>
    </bk>
    <bk>
      <extLst>
        <ext uri="{3e2802c4-a4d2-4d8b-9148-e3be6c30e623}">
          <xlrd:rvb i="5694"/>
        </ext>
      </extLst>
    </bk>
    <bk>
      <extLst>
        <ext uri="{3e2802c4-a4d2-4d8b-9148-e3be6c30e623}">
          <xlrd:rvb i="5695"/>
        </ext>
      </extLst>
    </bk>
    <bk>
      <extLst>
        <ext uri="{3e2802c4-a4d2-4d8b-9148-e3be6c30e623}">
          <xlrd:rvb i="5696"/>
        </ext>
      </extLst>
    </bk>
    <bk>
      <extLst>
        <ext uri="{3e2802c4-a4d2-4d8b-9148-e3be6c30e623}">
          <xlrd:rvb i="5697"/>
        </ext>
      </extLst>
    </bk>
    <bk>
      <extLst>
        <ext uri="{3e2802c4-a4d2-4d8b-9148-e3be6c30e623}">
          <xlrd:rvb i="5698"/>
        </ext>
      </extLst>
    </bk>
    <bk>
      <extLst>
        <ext uri="{3e2802c4-a4d2-4d8b-9148-e3be6c30e623}">
          <xlrd:rvb i="5699"/>
        </ext>
      </extLst>
    </bk>
    <bk>
      <extLst>
        <ext uri="{3e2802c4-a4d2-4d8b-9148-e3be6c30e623}">
          <xlrd:rvb i="5700"/>
        </ext>
      </extLst>
    </bk>
    <bk>
      <extLst>
        <ext uri="{3e2802c4-a4d2-4d8b-9148-e3be6c30e623}">
          <xlrd:rvb i="5701"/>
        </ext>
      </extLst>
    </bk>
    <bk>
      <extLst>
        <ext uri="{3e2802c4-a4d2-4d8b-9148-e3be6c30e623}">
          <xlrd:rvb i="5702"/>
        </ext>
      </extLst>
    </bk>
    <bk>
      <extLst>
        <ext uri="{3e2802c4-a4d2-4d8b-9148-e3be6c30e623}">
          <xlrd:rvb i="5703"/>
        </ext>
      </extLst>
    </bk>
    <bk>
      <extLst>
        <ext uri="{3e2802c4-a4d2-4d8b-9148-e3be6c30e623}">
          <xlrd:rvb i="5704"/>
        </ext>
      </extLst>
    </bk>
    <bk>
      <extLst>
        <ext uri="{3e2802c4-a4d2-4d8b-9148-e3be6c30e623}">
          <xlrd:rvb i="5705"/>
        </ext>
      </extLst>
    </bk>
    <bk>
      <extLst>
        <ext uri="{3e2802c4-a4d2-4d8b-9148-e3be6c30e623}">
          <xlrd:rvb i="5706"/>
        </ext>
      </extLst>
    </bk>
    <bk>
      <extLst>
        <ext uri="{3e2802c4-a4d2-4d8b-9148-e3be6c30e623}">
          <xlrd:rvb i="5707"/>
        </ext>
      </extLst>
    </bk>
    <bk>
      <extLst>
        <ext uri="{3e2802c4-a4d2-4d8b-9148-e3be6c30e623}">
          <xlrd:rvb i="5708"/>
        </ext>
      </extLst>
    </bk>
    <bk>
      <extLst>
        <ext uri="{3e2802c4-a4d2-4d8b-9148-e3be6c30e623}">
          <xlrd:rvb i="5709"/>
        </ext>
      </extLst>
    </bk>
    <bk>
      <extLst>
        <ext uri="{3e2802c4-a4d2-4d8b-9148-e3be6c30e623}">
          <xlrd:rvb i="5710"/>
        </ext>
      </extLst>
    </bk>
    <bk>
      <extLst>
        <ext uri="{3e2802c4-a4d2-4d8b-9148-e3be6c30e623}">
          <xlrd:rvb i="5711"/>
        </ext>
      </extLst>
    </bk>
    <bk>
      <extLst>
        <ext uri="{3e2802c4-a4d2-4d8b-9148-e3be6c30e623}">
          <xlrd:rvb i="5712"/>
        </ext>
      </extLst>
    </bk>
    <bk>
      <extLst>
        <ext uri="{3e2802c4-a4d2-4d8b-9148-e3be6c30e623}">
          <xlrd:rvb i="5713"/>
        </ext>
      </extLst>
    </bk>
    <bk>
      <extLst>
        <ext uri="{3e2802c4-a4d2-4d8b-9148-e3be6c30e623}">
          <xlrd:rvb i="5714"/>
        </ext>
      </extLst>
    </bk>
    <bk>
      <extLst>
        <ext uri="{3e2802c4-a4d2-4d8b-9148-e3be6c30e623}">
          <xlrd:rvb i="5715"/>
        </ext>
      </extLst>
    </bk>
    <bk>
      <extLst>
        <ext uri="{3e2802c4-a4d2-4d8b-9148-e3be6c30e623}">
          <xlrd:rvb i="5716"/>
        </ext>
      </extLst>
    </bk>
    <bk>
      <extLst>
        <ext uri="{3e2802c4-a4d2-4d8b-9148-e3be6c30e623}">
          <xlrd:rvb i="5717"/>
        </ext>
      </extLst>
    </bk>
    <bk>
      <extLst>
        <ext uri="{3e2802c4-a4d2-4d8b-9148-e3be6c30e623}">
          <xlrd:rvb i="5718"/>
        </ext>
      </extLst>
    </bk>
    <bk>
      <extLst>
        <ext uri="{3e2802c4-a4d2-4d8b-9148-e3be6c30e623}">
          <xlrd:rvb i="5719"/>
        </ext>
      </extLst>
    </bk>
    <bk>
      <extLst>
        <ext uri="{3e2802c4-a4d2-4d8b-9148-e3be6c30e623}">
          <xlrd:rvb i="5720"/>
        </ext>
      </extLst>
    </bk>
    <bk>
      <extLst>
        <ext uri="{3e2802c4-a4d2-4d8b-9148-e3be6c30e623}">
          <xlrd:rvb i="5721"/>
        </ext>
      </extLst>
    </bk>
    <bk>
      <extLst>
        <ext uri="{3e2802c4-a4d2-4d8b-9148-e3be6c30e623}">
          <xlrd:rvb i="5722"/>
        </ext>
      </extLst>
    </bk>
    <bk>
      <extLst>
        <ext uri="{3e2802c4-a4d2-4d8b-9148-e3be6c30e623}">
          <xlrd:rvb i="5723"/>
        </ext>
      </extLst>
    </bk>
    <bk>
      <extLst>
        <ext uri="{3e2802c4-a4d2-4d8b-9148-e3be6c30e623}">
          <xlrd:rvb i="5724"/>
        </ext>
      </extLst>
    </bk>
    <bk>
      <extLst>
        <ext uri="{3e2802c4-a4d2-4d8b-9148-e3be6c30e623}">
          <xlrd:rvb i="5725"/>
        </ext>
      </extLst>
    </bk>
    <bk>
      <extLst>
        <ext uri="{3e2802c4-a4d2-4d8b-9148-e3be6c30e623}">
          <xlrd:rvb i="5726"/>
        </ext>
      </extLst>
    </bk>
    <bk>
      <extLst>
        <ext uri="{3e2802c4-a4d2-4d8b-9148-e3be6c30e623}">
          <xlrd:rvb i="5727"/>
        </ext>
      </extLst>
    </bk>
    <bk>
      <extLst>
        <ext uri="{3e2802c4-a4d2-4d8b-9148-e3be6c30e623}">
          <xlrd:rvb i="5728"/>
        </ext>
      </extLst>
    </bk>
    <bk>
      <extLst>
        <ext uri="{3e2802c4-a4d2-4d8b-9148-e3be6c30e623}">
          <xlrd:rvb i="5729"/>
        </ext>
      </extLst>
    </bk>
    <bk>
      <extLst>
        <ext uri="{3e2802c4-a4d2-4d8b-9148-e3be6c30e623}">
          <xlrd:rvb i="5730"/>
        </ext>
      </extLst>
    </bk>
    <bk>
      <extLst>
        <ext uri="{3e2802c4-a4d2-4d8b-9148-e3be6c30e623}">
          <xlrd:rvb i="5731"/>
        </ext>
      </extLst>
    </bk>
    <bk>
      <extLst>
        <ext uri="{3e2802c4-a4d2-4d8b-9148-e3be6c30e623}">
          <xlrd:rvb i="5732"/>
        </ext>
      </extLst>
    </bk>
    <bk>
      <extLst>
        <ext uri="{3e2802c4-a4d2-4d8b-9148-e3be6c30e623}">
          <xlrd:rvb i="5733"/>
        </ext>
      </extLst>
    </bk>
    <bk>
      <extLst>
        <ext uri="{3e2802c4-a4d2-4d8b-9148-e3be6c30e623}">
          <xlrd:rvb i="5734"/>
        </ext>
      </extLst>
    </bk>
    <bk>
      <extLst>
        <ext uri="{3e2802c4-a4d2-4d8b-9148-e3be6c30e623}">
          <xlrd:rvb i="5735"/>
        </ext>
      </extLst>
    </bk>
    <bk>
      <extLst>
        <ext uri="{3e2802c4-a4d2-4d8b-9148-e3be6c30e623}">
          <xlrd:rvb i="5736"/>
        </ext>
      </extLst>
    </bk>
    <bk>
      <extLst>
        <ext uri="{3e2802c4-a4d2-4d8b-9148-e3be6c30e623}">
          <xlrd:rvb i="5737"/>
        </ext>
      </extLst>
    </bk>
    <bk>
      <extLst>
        <ext uri="{3e2802c4-a4d2-4d8b-9148-e3be6c30e623}">
          <xlrd:rvb i="5738"/>
        </ext>
      </extLst>
    </bk>
    <bk>
      <extLst>
        <ext uri="{3e2802c4-a4d2-4d8b-9148-e3be6c30e623}">
          <xlrd:rvb i="5739"/>
        </ext>
      </extLst>
    </bk>
    <bk>
      <extLst>
        <ext uri="{3e2802c4-a4d2-4d8b-9148-e3be6c30e623}">
          <xlrd:rvb i="5740"/>
        </ext>
      </extLst>
    </bk>
    <bk>
      <extLst>
        <ext uri="{3e2802c4-a4d2-4d8b-9148-e3be6c30e623}">
          <xlrd:rvb i="5741"/>
        </ext>
      </extLst>
    </bk>
    <bk>
      <extLst>
        <ext uri="{3e2802c4-a4d2-4d8b-9148-e3be6c30e623}">
          <xlrd:rvb i="5742"/>
        </ext>
      </extLst>
    </bk>
    <bk>
      <extLst>
        <ext uri="{3e2802c4-a4d2-4d8b-9148-e3be6c30e623}">
          <xlrd:rvb i="5743"/>
        </ext>
      </extLst>
    </bk>
    <bk>
      <extLst>
        <ext uri="{3e2802c4-a4d2-4d8b-9148-e3be6c30e623}">
          <xlrd:rvb i="5744"/>
        </ext>
      </extLst>
    </bk>
    <bk>
      <extLst>
        <ext uri="{3e2802c4-a4d2-4d8b-9148-e3be6c30e623}">
          <xlrd:rvb i="5745"/>
        </ext>
      </extLst>
    </bk>
    <bk>
      <extLst>
        <ext uri="{3e2802c4-a4d2-4d8b-9148-e3be6c30e623}">
          <xlrd:rvb i="5746"/>
        </ext>
      </extLst>
    </bk>
    <bk>
      <extLst>
        <ext uri="{3e2802c4-a4d2-4d8b-9148-e3be6c30e623}">
          <xlrd:rvb i="5747"/>
        </ext>
      </extLst>
    </bk>
    <bk>
      <extLst>
        <ext uri="{3e2802c4-a4d2-4d8b-9148-e3be6c30e623}">
          <xlrd:rvb i="5748"/>
        </ext>
      </extLst>
    </bk>
    <bk>
      <extLst>
        <ext uri="{3e2802c4-a4d2-4d8b-9148-e3be6c30e623}">
          <xlrd:rvb i="5749"/>
        </ext>
      </extLst>
    </bk>
    <bk>
      <extLst>
        <ext uri="{3e2802c4-a4d2-4d8b-9148-e3be6c30e623}">
          <xlrd:rvb i="5750"/>
        </ext>
      </extLst>
    </bk>
    <bk>
      <extLst>
        <ext uri="{3e2802c4-a4d2-4d8b-9148-e3be6c30e623}">
          <xlrd:rvb i="5751"/>
        </ext>
      </extLst>
    </bk>
    <bk>
      <extLst>
        <ext uri="{3e2802c4-a4d2-4d8b-9148-e3be6c30e623}">
          <xlrd:rvb i="5752"/>
        </ext>
      </extLst>
    </bk>
    <bk>
      <extLst>
        <ext uri="{3e2802c4-a4d2-4d8b-9148-e3be6c30e623}">
          <xlrd:rvb i="5753"/>
        </ext>
      </extLst>
    </bk>
    <bk>
      <extLst>
        <ext uri="{3e2802c4-a4d2-4d8b-9148-e3be6c30e623}">
          <xlrd:rvb i="5754"/>
        </ext>
      </extLst>
    </bk>
    <bk>
      <extLst>
        <ext uri="{3e2802c4-a4d2-4d8b-9148-e3be6c30e623}">
          <xlrd:rvb i="5755"/>
        </ext>
      </extLst>
    </bk>
    <bk>
      <extLst>
        <ext uri="{3e2802c4-a4d2-4d8b-9148-e3be6c30e623}">
          <xlrd:rvb i="5756"/>
        </ext>
      </extLst>
    </bk>
    <bk>
      <extLst>
        <ext uri="{3e2802c4-a4d2-4d8b-9148-e3be6c30e623}">
          <xlrd:rvb i="5757"/>
        </ext>
      </extLst>
    </bk>
    <bk>
      <extLst>
        <ext uri="{3e2802c4-a4d2-4d8b-9148-e3be6c30e623}">
          <xlrd:rvb i="5758"/>
        </ext>
      </extLst>
    </bk>
    <bk>
      <extLst>
        <ext uri="{3e2802c4-a4d2-4d8b-9148-e3be6c30e623}">
          <xlrd:rvb i="5759"/>
        </ext>
      </extLst>
    </bk>
    <bk>
      <extLst>
        <ext uri="{3e2802c4-a4d2-4d8b-9148-e3be6c30e623}">
          <xlrd:rvb i="5760"/>
        </ext>
      </extLst>
    </bk>
    <bk>
      <extLst>
        <ext uri="{3e2802c4-a4d2-4d8b-9148-e3be6c30e623}">
          <xlrd:rvb i="5761"/>
        </ext>
      </extLst>
    </bk>
    <bk>
      <extLst>
        <ext uri="{3e2802c4-a4d2-4d8b-9148-e3be6c30e623}">
          <xlrd:rvb i="5762"/>
        </ext>
      </extLst>
    </bk>
    <bk>
      <extLst>
        <ext uri="{3e2802c4-a4d2-4d8b-9148-e3be6c30e623}">
          <xlrd:rvb i="5763"/>
        </ext>
      </extLst>
    </bk>
    <bk>
      <extLst>
        <ext uri="{3e2802c4-a4d2-4d8b-9148-e3be6c30e623}">
          <xlrd:rvb i="5764"/>
        </ext>
      </extLst>
    </bk>
    <bk>
      <extLst>
        <ext uri="{3e2802c4-a4d2-4d8b-9148-e3be6c30e623}">
          <xlrd:rvb i="5765"/>
        </ext>
      </extLst>
    </bk>
    <bk>
      <extLst>
        <ext uri="{3e2802c4-a4d2-4d8b-9148-e3be6c30e623}">
          <xlrd:rvb i="5766"/>
        </ext>
      </extLst>
    </bk>
    <bk>
      <extLst>
        <ext uri="{3e2802c4-a4d2-4d8b-9148-e3be6c30e623}">
          <xlrd:rvb i="5767"/>
        </ext>
      </extLst>
    </bk>
    <bk>
      <extLst>
        <ext uri="{3e2802c4-a4d2-4d8b-9148-e3be6c30e623}">
          <xlrd:rvb i="5768"/>
        </ext>
      </extLst>
    </bk>
    <bk>
      <extLst>
        <ext uri="{3e2802c4-a4d2-4d8b-9148-e3be6c30e623}">
          <xlrd:rvb i="5769"/>
        </ext>
      </extLst>
    </bk>
    <bk>
      <extLst>
        <ext uri="{3e2802c4-a4d2-4d8b-9148-e3be6c30e623}">
          <xlrd:rvb i="5770"/>
        </ext>
      </extLst>
    </bk>
    <bk>
      <extLst>
        <ext uri="{3e2802c4-a4d2-4d8b-9148-e3be6c30e623}">
          <xlrd:rvb i="5771"/>
        </ext>
      </extLst>
    </bk>
    <bk>
      <extLst>
        <ext uri="{3e2802c4-a4d2-4d8b-9148-e3be6c30e623}">
          <xlrd:rvb i="5772"/>
        </ext>
      </extLst>
    </bk>
    <bk>
      <extLst>
        <ext uri="{3e2802c4-a4d2-4d8b-9148-e3be6c30e623}">
          <xlrd:rvb i="5773"/>
        </ext>
      </extLst>
    </bk>
    <bk>
      <extLst>
        <ext uri="{3e2802c4-a4d2-4d8b-9148-e3be6c30e623}">
          <xlrd:rvb i="5774"/>
        </ext>
      </extLst>
    </bk>
    <bk>
      <extLst>
        <ext uri="{3e2802c4-a4d2-4d8b-9148-e3be6c30e623}">
          <xlrd:rvb i="5775"/>
        </ext>
      </extLst>
    </bk>
    <bk>
      <extLst>
        <ext uri="{3e2802c4-a4d2-4d8b-9148-e3be6c30e623}">
          <xlrd:rvb i="5776"/>
        </ext>
      </extLst>
    </bk>
    <bk>
      <extLst>
        <ext uri="{3e2802c4-a4d2-4d8b-9148-e3be6c30e623}">
          <xlrd:rvb i="5777"/>
        </ext>
      </extLst>
    </bk>
    <bk>
      <extLst>
        <ext uri="{3e2802c4-a4d2-4d8b-9148-e3be6c30e623}">
          <xlrd:rvb i="5778"/>
        </ext>
      </extLst>
    </bk>
    <bk>
      <extLst>
        <ext uri="{3e2802c4-a4d2-4d8b-9148-e3be6c30e623}">
          <xlrd:rvb i="5779"/>
        </ext>
      </extLst>
    </bk>
    <bk>
      <extLst>
        <ext uri="{3e2802c4-a4d2-4d8b-9148-e3be6c30e623}">
          <xlrd:rvb i="5780"/>
        </ext>
      </extLst>
    </bk>
    <bk>
      <extLst>
        <ext uri="{3e2802c4-a4d2-4d8b-9148-e3be6c30e623}">
          <xlrd:rvb i="5781"/>
        </ext>
      </extLst>
    </bk>
    <bk>
      <extLst>
        <ext uri="{3e2802c4-a4d2-4d8b-9148-e3be6c30e623}">
          <xlrd:rvb i="5782"/>
        </ext>
      </extLst>
    </bk>
    <bk>
      <extLst>
        <ext uri="{3e2802c4-a4d2-4d8b-9148-e3be6c30e623}">
          <xlrd:rvb i="5783"/>
        </ext>
      </extLst>
    </bk>
    <bk>
      <extLst>
        <ext uri="{3e2802c4-a4d2-4d8b-9148-e3be6c30e623}">
          <xlrd:rvb i="5784"/>
        </ext>
      </extLst>
    </bk>
    <bk>
      <extLst>
        <ext uri="{3e2802c4-a4d2-4d8b-9148-e3be6c30e623}">
          <xlrd:rvb i="5785"/>
        </ext>
      </extLst>
    </bk>
    <bk>
      <extLst>
        <ext uri="{3e2802c4-a4d2-4d8b-9148-e3be6c30e623}">
          <xlrd:rvb i="5786"/>
        </ext>
      </extLst>
    </bk>
    <bk>
      <extLst>
        <ext uri="{3e2802c4-a4d2-4d8b-9148-e3be6c30e623}">
          <xlrd:rvb i="5787"/>
        </ext>
      </extLst>
    </bk>
    <bk>
      <extLst>
        <ext uri="{3e2802c4-a4d2-4d8b-9148-e3be6c30e623}">
          <xlrd:rvb i="5788"/>
        </ext>
      </extLst>
    </bk>
    <bk>
      <extLst>
        <ext uri="{3e2802c4-a4d2-4d8b-9148-e3be6c30e623}">
          <xlrd:rvb i="5789"/>
        </ext>
      </extLst>
    </bk>
    <bk>
      <extLst>
        <ext uri="{3e2802c4-a4d2-4d8b-9148-e3be6c30e623}">
          <xlrd:rvb i="5790"/>
        </ext>
      </extLst>
    </bk>
    <bk>
      <extLst>
        <ext uri="{3e2802c4-a4d2-4d8b-9148-e3be6c30e623}">
          <xlrd:rvb i="5791"/>
        </ext>
      </extLst>
    </bk>
    <bk>
      <extLst>
        <ext uri="{3e2802c4-a4d2-4d8b-9148-e3be6c30e623}">
          <xlrd:rvb i="5792"/>
        </ext>
      </extLst>
    </bk>
    <bk>
      <extLst>
        <ext uri="{3e2802c4-a4d2-4d8b-9148-e3be6c30e623}">
          <xlrd:rvb i="5793"/>
        </ext>
      </extLst>
    </bk>
    <bk>
      <extLst>
        <ext uri="{3e2802c4-a4d2-4d8b-9148-e3be6c30e623}">
          <xlrd:rvb i="5794"/>
        </ext>
      </extLst>
    </bk>
    <bk>
      <extLst>
        <ext uri="{3e2802c4-a4d2-4d8b-9148-e3be6c30e623}">
          <xlrd:rvb i="5795"/>
        </ext>
      </extLst>
    </bk>
    <bk>
      <extLst>
        <ext uri="{3e2802c4-a4d2-4d8b-9148-e3be6c30e623}">
          <xlrd:rvb i="5796"/>
        </ext>
      </extLst>
    </bk>
    <bk>
      <extLst>
        <ext uri="{3e2802c4-a4d2-4d8b-9148-e3be6c30e623}">
          <xlrd:rvb i="5797"/>
        </ext>
      </extLst>
    </bk>
    <bk>
      <extLst>
        <ext uri="{3e2802c4-a4d2-4d8b-9148-e3be6c30e623}">
          <xlrd:rvb i="5798"/>
        </ext>
      </extLst>
    </bk>
    <bk>
      <extLst>
        <ext uri="{3e2802c4-a4d2-4d8b-9148-e3be6c30e623}">
          <xlrd:rvb i="5799"/>
        </ext>
      </extLst>
    </bk>
    <bk>
      <extLst>
        <ext uri="{3e2802c4-a4d2-4d8b-9148-e3be6c30e623}">
          <xlrd:rvb i="5800"/>
        </ext>
      </extLst>
    </bk>
    <bk>
      <extLst>
        <ext uri="{3e2802c4-a4d2-4d8b-9148-e3be6c30e623}">
          <xlrd:rvb i="5801"/>
        </ext>
      </extLst>
    </bk>
    <bk>
      <extLst>
        <ext uri="{3e2802c4-a4d2-4d8b-9148-e3be6c30e623}">
          <xlrd:rvb i="5802"/>
        </ext>
      </extLst>
    </bk>
    <bk>
      <extLst>
        <ext uri="{3e2802c4-a4d2-4d8b-9148-e3be6c30e623}">
          <xlrd:rvb i="5803"/>
        </ext>
      </extLst>
    </bk>
    <bk>
      <extLst>
        <ext uri="{3e2802c4-a4d2-4d8b-9148-e3be6c30e623}">
          <xlrd:rvb i="5804"/>
        </ext>
      </extLst>
    </bk>
    <bk>
      <extLst>
        <ext uri="{3e2802c4-a4d2-4d8b-9148-e3be6c30e623}">
          <xlrd:rvb i="5805"/>
        </ext>
      </extLst>
    </bk>
    <bk>
      <extLst>
        <ext uri="{3e2802c4-a4d2-4d8b-9148-e3be6c30e623}">
          <xlrd:rvb i="5806"/>
        </ext>
      </extLst>
    </bk>
    <bk>
      <extLst>
        <ext uri="{3e2802c4-a4d2-4d8b-9148-e3be6c30e623}">
          <xlrd:rvb i="5807"/>
        </ext>
      </extLst>
    </bk>
    <bk>
      <extLst>
        <ext uri="{3e2802c4-a4d2-4d8b-9148-e3be6c30e623}">
          <xlrd:rvb i="5808"/>
        </ext>
      </extLst>
    </bk>
    <bk>
      <extLst>
        <ext uri="{3e2802c4-a4d2-4d8b-9148-e3be6c30e623}">
          <xlrd:rvb i="5809"/>
        </ext>
      </extLst>
    </bk>
    <bk>
      <extLst>
        <ext uri="{3e2802c4-a4d2-4d8b-9148-e3be6c30e623}">
          <xlrd:rvb i="5810"/>
        </ext>
      </extLst>
    </bk>
    <bk>
      <extLst>
        <ext uri="{3e2802c4-a4d2-4d8b-9148-e3be6c30e623}">
          <xlrd:rvb i="5811"/>
        </ext>
      </extLst>
    </bk>
    <bk>
      <extLst>
        <ext uri="{3e2802c4-a4d2-4d8b-9148-e3be6c30e623}">
          <xlrd:rvb i="5812"/>
        </ext>
      </extLst>
    </bk>
    <bk>
      <extLst>
        <ext uri="{3e2802c4-a4d2-4d8b-9148-e3be6c30e623}">
          <xlrd:rvb i="5813"/>
        </ext>
      </extLst>
    </bk>
    <bk>
      <extLst>
        <ext uri="{3e2802c4-a4d2-4d8b-9148-e3be6c30e623}">
          <xlrd:rvb i="5814"/>
        </ext>
      </extLst>
    </bk>
    <bk>
      <extLst>
        <ext uri="{3e2802c4-a4d2-4d8b-9148-e3be6c30e623}">
          <xlrd:rvb i="5815"/>
        </ext>
      </extLst>
    </bk>
    <bk>
      <extLst>
        <ext uri="{3e2802c4-a4d2-4d8b-9148-e3be6c30e623}">
          <xlrd:rvb i="5816"/>
        </ext>
      </extLst>
    </bk>
    <bk>
      <extLst>
        <ext uri="{3e2802c4-a4d2-4d8b-9148-e3be6c30e623}">
          <xlrd:rvb i="5817"/>
        </ext>
      </extLst>
    </bk>
    <bk>
      <extLst>
        <ext uri="{3e2802c4-a4d2-4d8b-9148-e3be6c30e623}">
          <xlrd:rvb i="5818"/>
        </ext>
      </extLst>
    </bk>
    <bk>
      <extLst>
        <ext uri="{3e2802c4-a4d2-4d8b-9148-e3be6c30e623}">
          <xlrd:rvb i="5819"/>
        </ext>
      </extLst>
    </bk>
    <bk>
      <extLst>
        <ext uri="{3e2802c4-a4d2-4d8b-9148-e3be6c30e623}">
          <xlrd:rvb i="5820"/>
        </ext>
      </extLst>
    </bk>
    <bk>
      <extLst>
        <ext uri="{3e2802c4-a4d2-4d8b-9148-e3be6c30e623}">
          <xlrd:rvb i="5821"/>
        </ext>
      </extLst>
    </bk>
    <bk>
      <extLst>
        <ext uri="{3e2802c4-a4d2-4d8b-9148-e3be6c30e623}">
          <xlrd:rvb i="5822"/>
        </ext>
      </extLst>
    </bk>
    <bk>
      <extLst>
        <ext uri="{3e2802c4-a4d2-4d8b-9148-e3be6c30e623}">
          <xlrd:rvb i="5823"/>
        </ext>
      </extLst>
    </bk>
    <bk>
      <extLst>
        <ext uri="{3e2802c4-a4d2-4d8b-9148-e3be6c30e623}">
          <xlrd:rvb i="5824"/>
        </ext>
      </extLst>
    </bk>
    <bk>
      <extLst>
        <ext uri="{3e2802c4-a4d2-4d8b-9148-e3be6c30e623}">
          <xlrd:rvb i="5825"/>
        </ext>
      </extLst>
    </bk>
    <bk>
      <extLst>
        <ext uri="{3e2802c4-a4d2-4d8b-9148-e3be6c30e623}">
          <xlrd:rvb i="5826"/>
        </ext>
      </extLst>
    </bk>
    <bk>
      <extLst>
        <ext uri="{3e2802c4-a4d2-4d8b-9148-e3be6c30e623}">
          <xlrd:rvb i="5827"/>
        </ext>
      </extLst>
    </bk>
    <bk>
      <extLst>
        <ext uri="{3e2802c4-a4d2-4d8b-9148-e3be6c30e623}">
          <xlrd:rvb i="5828"/>
        </ext>
      </extLst>
    </bk>
    <bk>
      <extLst>
        <ext uri="{3e2802c4-a4d2-4d8b-9148-e3be6c30e623}">
          <xlrd:rvb i="5829"/>
        </ext>
      </extLst>
    </bk>
    <bk>
      <extLst>
        <ext uri="{3e2802c4-a4d2-4d8b-9148-e3be6c30e623}">
          <xlrd:rvb i="5830"/>
        </ext>
      </extLst>
    </bk>
    <bk>
      <extLst>
        <ext uri="{3e2802c4-a4d2-4d8b-9148-e3be6c30e623}">
          <xlrd:rvb i="5831"/>
        </ext>
      </extLst>
    </bk>
    <bk>
      <extLst>
        <ext uri="{3e2802c4-a4d2-4d8b-9148-e3be6c30e623}">
          <xlrd:rvb i="5832"/>
        </ext>
      </extLst>
    </bk>
    <bk>
      <extLst>
        <ext uri="{3e2802c4-a4d2-4d8b-9148-e3be6c30e623}">
          <xlrd:rvb i="5833"/>
        </ext>
      </extLst>
    </bk>
    <bk>
      <extLst>
        <ext uri="{3e2802c4-a4d2-4d8b-9148-e3be6c30e623}">
          <xlrd:rvb i="5834"/>
        </ext>
      </extLst>
    </bk>
    <bk>
      <extLst>
        <ext uri="{3e2802c4-a4d2-4d8b-9148-e3be6c30e623}">
          <xlrd:rvb i="5835"/>
        </ext>
      </extLst>
    </bk>
    <bk>
      <extLst>
        <ext uri="{3e2802c4-a4d2-4d8b-9148-e3be6c30e623}">
          <xlrd:rvb i="5836"/>
        </ext>
      </extLst>
    </bk>
    <bk>
      <extLst>
        <ext uri="{3e2802c4-a4d2-4d8b-9148-e3be6c30e623}">
          <xlrd:rvb i="5837"/>
        </ext>
      </extLst>
    </bk>
    <bk>
      <extLst>
        <ext uri="{3e2802c4-a4d2-4d8b-9148-e3be6c30e623}">
          <xlrd:rvb i="5838"/>
        </ext>
      </extLst>
    </bk>
    <bk>
      <extLst>
        <ext uri="{3e2802c4-a4d2-4d8b-9148-e3be6c30e623}">
          <xlrd:rvb i="5839"/>
        </ext>
      </extLst>
    </bk>
    <bk>
      <extLst>
        <ext uri="{3e2802c4-a4d2-4d8b-9148-e3be6c30e623}">
          <xlrd:rvb i="5840"/>
        </ext>
      </extLst>
    </bk>
    <bk>
      <extLst>
        <ext uri="{3e2802c4-a4d2-4d8b-9148-e3be6c30e623}">
          <xlrd:rvb i="5841"/>
        </ext>
      </extLst>
    </bk>
    <bk>
      <extLst>
        <ext uri="{3e2802c4-a4d2-4d8b-9148-e3be6c30e623}">
          <xlrd:rvb i="5842"/>
        </ext>
      </extLst>
    </bk>
    <bk>
      <extLst>
        <ext uri="{3e2802c4-a4d2-4d8b-9148-e3be6c30e623}">
          <xlrd:rvb i="5843"/>
        </ext>
      </extLst>
    </bk>
    <bk>
      <extLst>
        <ext uri="{3e2802c4-a4d2-4d8b-9148-e3be6c30e623}">
          <xlrd:rvb i="5844"/>
        </ext>
      </extLst>
    </bk>
    <bk>
      <extLst>
        <ext uri="{3e2802c4-a4d2-4d8b-9148-e3be6c30e623}">
          <xlrd:rvb i="5845"/>
        </ext>
      </extLst>
    </bk>
    <bk>
      <extLst>
        <ext uri="{3e2802c4-a4d2-4d8b-9148-e3be6c30e623}">
          <xlrd:rvb i="5846"/>
        </ext>
      </extLst>
    </bk>
    <bk>
      <extLst>
        <ext uri="{3e2802c4-a4d2-4d8b-9148-e3be6c30e623}">
          <xlrd:rvb i="5847"/>
        </ext>
      </extLst>
    </bk>
    <bk>
      <extLst>
        <ext uri="{3e2802c4-a4d2-4d8b-9148-e3be6c30e623}">
          <xlrd:rvb i="5848"/>
        </ext>
      </extLst>
    </bk>
    <bk>
      <extLst>
        <ext uri="{3e2802c4-a4d2-4d8b-9148-e3be6c30e623}">
          <xlrd:rvb i="5849"/>
        </ext>
      </extLst>
    </bk>
    <bk>
      <extLst>
        <ext uri="{3e2802c4-a4d2-4d8b-9148-e3be6c30e623}">
          <xlrd:rvb i="5850"/>
        </ext>
      </extLst>
    </bk>
    <bk>
      <extLst>
        <ext uri="{3e2802c4-a4d2-4d8b-9148-e3be6c30e623}">
          <xlrd:rvb i="5851"/>
        </ext>
      </extLst>
    </bk>
    <bk>
      <extLst>
        <ext uri="{3e2802c4-a4d2-4d8b-9148-e3be6c30e623}">
          <xlrd:rvb i="5852"/>
        </ext>
      </extLst>
    </bk>
    <bk>
      <extLst>
        <ext uri="{3e2802c4-a4d2-4d8b-9148-e3be6c30e623}">
          <xlrd:rvb i="5853"/>
        </ext>
      </extLst>
    </bk>
    <bk>
      <extLst>
        <ext uri="{3e2802c4-a4d2-4d8b-9148-e3be6c30e623}">
          <xlrd:rvb i="5854"/>
        </ext>
      </extLst>
    </bk>
    <bk>
      <extLst>
        <ext uri="{3e2802c4-a4d2-4d8b-9148-e3be6c30e623}">
          <xlrd:rvb i="5855"/>
        </ext>
      </extLst>
    </bk>
    <bk>
      <extLst>
        <ext uri="{3e2802c4-a4d2-4d8b-9148-e3be6c30e623}">
          <xlrd:rvb i="5856"/>
        </ext>
      </extLst>
    </bk>
    <bk>
      <extLst>
        <ext uri="{3e2802c4-a4d2-4d8b-9148-e3be6c30e623}">
          <xlrd:rvb i="5857"/>
        </ext>
      </extLst>
    </bk>
    <bk>
      <extLst>
        <ext uri="{3e2802c4-a4d2-4d8b-9148-e3be6c30e623}">
          <xlrd:rvb i="5858"/>
        </ext>
      </extLst>
    </bk>
    <bk>
      <extLst>
        <ext uri="{3e2802c4-a4d2-4d8b-9148-e3be6c30e623}">
          <xlrd:rvb i="5859"/>
        </ext>
      </extLst>
    </bk>
    <bk>
      <extLst>
        <ext uri="{3e2802c4-a4d2-4d8b-9148-e3be6c30e623}">
          <xlrd:rvb i="5860"/>
        </ext>
      </extLst>
    </bk>
    <bk>
      <extLst>
        <ext uri="{3e2802c4-a4d2-4d8b-9148-e3be6c30e623}">
          <xlrd:rvb i="5861"/>
        </ext>
      </extLst>
    </bk>
    <bk>
      <extLst>
        <ext uri="{3e2802c4-a4d2-4d8b-9148-e3be6c30e623}">
          <xlrd:rvb i="5862"/>
        </ext>
      </extLst>
    </bk>
    <bk>
      <extLst>
        <ext uri="{3e2802c4-a4d2-4d8b-9148-e3be6c30e623}">
          <xlrd:rvb i="5863"/>
        </ext>
      </extLst>
    </bk>
    <bk>
      <extLst>
        <ext uri="{3e2802c4-a4d2-4d8b-9148-e3be6c30e623}">
          <xlrd:rvb i="5864"/>
        </ext>
      </extLst>
    </bk>
    <bk>
      <extLst>
        <ext uri="{3e2802c4-a4d2-4d8b-9148-e3be6c30e623}">
          <xlrd:rvb i="5865"/>
        </ext>
      </extLst>
    </bk>
    <bk>
      <extLst>
        <ext uri="{3e2802c4-a4d2-4d8b-9148-e3be6c30e623}">
          <xlrd:rvb i="5866"/>
        </ext>
      </extLst>
    </bk>
    <bk>
      <extLst>
        <ext uri="{3e2802c4-a4d2-4d8b-9148-e3be6c30e623}">
          <xlrd:rvb i="5867"/>
        </ext>
      </extLst>
    </bk>
    <bk>
      <extLst>
        <ext uri="{3e2802c4-a4d2-4d8b-9148-e3be6c30e623}">
          <xlrd:rvb i="5868"/>
        </ext>
      </extLst>
    </bk>
    <bk>
      <extLst>
        <ext uri="{3e2802c4-a4d2-4d8b-9148-e3be6c30e623}">
          <xlrd:rvb i="5869"/>
        </ext>
      </extLst>
    </bk>
    <bk>
      <extLst>
        <ext uri="{3e2802c4-a4d2-4d8b-9148-e3be6c30e623}">
          <xlrd:rvb i="5870"/>
        </ext>
      </extLst>
    </bk>
    <bk>
      <extLst>
        <ext uri="{3e2802c4-a4d2-4d8b-9148-e3be6c30e623}">
          <xlrd:rvb i="5871"/>
        </ext>
      </extLst>
    </bk>
    <bk>
      <extLst>
        <ext uri="{3e2802c4-a4d2-4d8b-9148-e3be6c30e623}">
          <xlrd:rvb i="5872"/>
        </ext>
      </extLst>
    </bk>
    <bk>
      <extLst>
        <ext uri="{3e2802c4-a4d2-4d8b-9148-e3be6c30e623}">
          <xlrd:rvb i="5873"/>
        </ext>
      </extLst>
    </bk>
    <bk>
      <extLst>
        <ext uri="{3e2802c4-a4d2-4d8b-9148-e3be6c30e623}">
          <xlrd:rvb i="5874"/>
        </ext>
      </extLst>
    </bk>
    <bk>
      <extLst>
        <ext uri="{3e2802c4-a4d2-4d8b-9148-e3be6c30e623}">
          <xlrd:rvb i="5875"/>
        </ext>
      </extLst>
    </bk>
    <bk>
      <extLst>
        <ext uri="{3e2802c4-a4d2-4d8b-9148-e3be6c30e623}">
          <xlrd:rvb i="5876"/>
        </ext>
      </extLst>
    </bk>
    <bk>
      <extLst>
        <ext uri="{3e2802c4-a4d2-4d8b-9148-e3be6c30e623}">
          <xlrd:rvb i="5877"/>
        </ext>
      </extLst>
    </bk>
    <bk>
      <extLst>
        <ext uri="{3e2802c4-a4d2-4d8b-9148-e3be6c30e623}">
          <xlrd:rvb i="5878"/>
        </ext>
      </extLst>
    </bk>
    <bk>
      <extLst>
        <ext uri="{3e2802c4-a4d2-4d8b-9148-e3be6c30e623}">
          <xlrd:rvb i="5879"/>
        </ext>
      </extLst>
    </bk>
    <bk>
      <extLst>
        <ext uri="{3e2802c4-a4d2-4d8b-9148-e3be6c30e623}">
          <xlrd:rvb i="5880"/>
        </ext>
      </extLst>
    </bk>
    <bk>
      <extLst>
        <ext uri="{3e2802c4-a4d2-4d8b-9148-e3be6c30e623}">
          <xlrd:rvb i="5881"/>
        </ext>
      </extLst>
    </bk>
    <bk>
      <extLst>
        <ext uri="{3e2802c4-a4d2-4d8b-9148-e3be6c30e623}">
          <xlrd:rvb i="5882"/>
        </ext>
      </extLst>
    </bk>
    <bk>
      <extLst>
        <ext uri="{3e2802c4-a4d2-4d8b-9148-e3be6c30e623}">
          <xlrd:rvb i="5883"/>
        </ext>
      </extLst>
    </bk>
    <bk>
      <extLst>
        <ext uri="{3e2802c4-a4d2-4d8b-9148-e3be6c30e623}">
          <xlrd:rvb i="5884"/>
        </ext>
      </extLst>
    </bk>
    <bk>
      <extLst>
        <ext uri="{3e2802c4-a4d2-4d8b-9148-e3be6c30e623}">
          <xlrd:rvb i="5885"/>
        </ext>
      </extLst>
    </bk>
    <bk>
      <extLst>
        <ext uri="{3e2802c4-a4d2-4d8b-9148-e3be6c30e623}">
          <xlrd:rvb i="5886"/>
        </ext>
      </extLst>
    </bk>
    <bk>
      <extLst>
        <ext uri="{3e2802c4-a4d2-4d8b-9148-e3be6c30e623}">
          <xlrd:rvb i="5887"/>
        </ext>
      </extLst>
    </bk>
    <bk>
      <extLst>
        <ext uri="{3e2802c4-a4d2-4d8b-9148-e3be6c30e623}">
          <xlrd:rvb i="5888"/>
        </ext>
      </extLst>
    </bk>
    <bk>
      <extLst>
        <ext uri="{3e2802c4-a4d2-4d8b-9148-e3be6c30e623}">
          <xlrd:rvb i="5889"/>
        </ext>
      </extLst>
    </bk>
    <bk>
      <extLst>
        <ext uri="{3e2802c4-a4d2-4d8b-9148-e3be6c30e623}">
          <xlrd:rvb i="5890"/>
        </ext>
      </extLst>
    </bk>
    <bk>
      <extLst>
        <ext uri="{3e2802c4-a4d2-4d8b-9148-e3be6c30e623}">
          <xlrd:rvb i="5891"/>
        </ext>
      </extLst>
    </bk>
    <bk>
      <extLst>
        <ext uri="{3e2802c4-a4d2-4d8b-9148-e3be6c30e623}">
          <xlrd:rvb i="5892"/>
        </ext>
      </extLst>
    </bk>
    <bk>
      <extLst>
        <ext uri="{3e2802c4-a4d2-4d8b-9148-e3be6c30e623}">
          <xlrd:rvb i="5893"/>
        </ext>
      </extLst>
    </bk>
    <bk>
      <extLst>
        <ext uri="{3e2802c4-a4d2-4d8b-9148-e3be6c30e623}">
          <xlrd:rvb i="5894"/>
        </ext>
      </extLst>
    </bk>
    <bk>
      <extLst>
        <ext uri="{3e2802c4-a4d2-4d8b-9148-e3be6c30e623}">
          <xlrd:rvb i="5895"/>
        </ext>
      </extLst>
    </bk>
    <bk>
      <extLst>
        <ext uri="{3e2802c4-a4d2-4d8b-9148-e3be6c30e623}">
          <xlrd:rvb i="5896"/>
        </ext>
      </extLst>
    </bk>
    <bk>
      <extLst>
        <ext uri="{3e2802c4-a4d2-4d8b-9148-e3be6c30e623}">
          <xlrd:rvb i="5897"/>
        </ext>
      </extLst>
    </bk>
    <bk>
      <extLst>
        <ext uri="{3e2802c4-a4d2-4d8b-9148-e3be6c30e623}">
          <xlrd:rvb i="5898"/>
        </ext>
      </extLst>
    </bk>
    <bk>
      <extLst>
        <ext uri="{3e2802c4-a4d2-4d8b-9148-e3be6c30e623}">
          <xlrd:rvb i="5899"/>
        </ext>
      </extLst>
    </bk>
    <bk>
      <extLst>
        <ext uri="{3e2802c4-a4d2-4d8b-9148-e3be6c30e623}">
          <xlrd:rvb i="5900"/>
        </ext>
      </extLst>
    </bk>
    <bk>
      <extLst>
        <ext uri="{3e2802c4-a4d2-4d8b-9148-e3be6c30e623}">
          <xlrd:rvb i="5901"/>
        </ext>
      </extLst>
    </bk>
    <bk>
      <extLst>
        <ext uri="{3e2802c4-a4d2-4d8b-9148-e3be6c30e623}">
          <xlrd:rvb i="5902"/>
        </ext>
      </extLst>
    </bk>
    <bk>
      <extLst>
        <ext uri="{3e2802c4-a4d2-4d8b-9148-e3be6c30e623}">
          <xlrd:rvb i="5903"/>
        </ext>
      </extLst>
    </bk>
    <bk>
      <extLst>
        <ext uri="{3e2802c4-a4d2-4d8b-9148-e3be6c30e623}">
          <xlrd:rvb i="5904"/>
        </ext>
      </extLst>
    </bk>
    <bk>
      <extLst>
        <ext uri="{3e2802c4-a4d2-4d8b-9148-e3be6c30e623}">
          <xlrd:rvb i="5905"/>
        </ext>
      </extLst>
    </bk>
    <bk>
      <extLst>
        <ext uri="{3e2802c4-a4d2-4d8b-9148-e3be6c30e623}">
          <xlrd:rvb i="5906"/>
        </ext>
      </extLst>
    </bk>
    <bk>
      <extLst>
        <ext uri="{3e2802c4-a4d2-4d8b-9148-e3be6c30e623}">
          <xlrd:rvb i="5907"/>
        </ext>
      </extLst>
    </bk>
    <bk>
      <extLst>
        <ext uri="{3e2802c4-a4d2-4d8b-9148-e3be6c30e623}">
          <xlrd:rvb i="5908"/>
        </ext>
      </extLst>
    </bk>
    <bk>
      <extLst>
        <ext uri="{3e2802c4-a4d2-4d8b-9148-e3be6c30e623}">
          <xlrd:rvb i="5909"/>
        </ext>
      </extLst>
    </bk>
    <bk>
      <extLst>
        <ext uri="{3e2802c4-a4d2-4d8b-9148-e3be6c30e623}">
          <xlrd:rvb i="5910"/>
        </ext>
      </extLst>
    </bk>
    <bk>
      <extLst>
        <ext uri="{3e2802c4-a4d2-4d8b-9148-e3be6c30e623}">
          <xlrd:rvb i="5911"/>
        </ext>
      </extLst>
    </bk>
    <bk>
      <extLst>
        <ext uri="{3e2802c4-a4d2-4d8b-9148-e3be6c30e623}">
          <xlrd:rvb i="5912"/>
        </ext>
      </extLst>
    </bk>
    <bk>
      <extLst>
        <ext uri="{3e2802c4-a4d2-4d8b-9148-e3be6c30e623}">
          <xlrd:rvb i="5913"/>
        </ext>
      </extLst>
    </bk>
    <bk>
      <extLst>
        <ext uri="{3e2802c4-a4d2-4d8b-9148-e3be6c30e623}">
          <xlrd:rvb i="5914"/>
        </ext>
      </extLst>
    </bk>
    <bk>
      <extLst>
        <ext uri="{3e2802c4-a4d2-4d8b-9148-e3be6c30e623}">
          <xlrd:rvb i="5915"/>
        </ext>
      </extLst>
    </bk>
    <bk>
      <extLst>
        <ext uri="{3e2802c4-a4d2-4d8b-9148-e3be6c30e623}">
          <xlrd:rvb i="5916"/>
        </ext>
      </extLst>
    </bk>
    <bk>
      <extLst>
        <ext uri="{3e2802c4-a4d2-4d8b-9148-e3be6c30e623}">
          <xlrd:rvb i="5917"/>
        </ext>
      </extLst>
    </bk>
    <bk>
      <extLst>
        <ext uri="{3e2802c4-a4d2-4d8b-9148-e3be6c30e623}">
          <xlrd:rvb i="5918"/>
        </ext>
      </extLst>
    </bk>
    <bk>
      <extLst>
        <ext uri="{3e2802c4-a4d2-4d8b-9148-e3be6c30e623}">
          <xlrd:rvb i="5919"/>
        </ext>
      </extLst>
    </bk>
    <bk>
      <extLst>
        <ext uri="{3e2802c4-a4d2-4d8b-9148-e3be6c30e623}">
          <xlrd:rvb i="5920"/>
        </ext>
      </extLst>
    </bk>
    <bk>
      <extLst>
        <ext uri="{3e2802c4-a4d2-4d8b-9148-e3be6c30e623}">
          <xlrd:rvb i="5921"/>
        </ext>
      </extLst>
    </bk>
    <bk>
      <extLst>
        <ext uri="{3e2802c4-a4d2-4d8b-9148-e3be6c30e623}">
          <xlrd:rvb i="5922"/>
        </ext>
      </extLst>
    </bk>
    <bk>
      <extLst>
        <ext uri="{3e2802c4-a4d2-4d8b-9148-e3be6c30e623}">
          <xlrd:rvb i="5923"/>
        </ext>
      </extLst>
    </bk>
    <bk>
      <extLst>
        <ext uri="{3e2802c4-a4d2-4d8b-9148-e3be6c30e623}">
          <xlrd:rvb i="5924"/>
        </ext>
      </extLst>
    </bk>
    <bk>
      <extLst>
        <ext uri="{3e2802c4-a4d2-4d8b-9148-e3be6c30e623}">
          <xlrd:rvb i="5925"/>
        </ext>
      </extLst>
    </bk>
    <bk>
      <extLst>
        <ext uri="{3e2802c4-a4d2-4d8b-9148-e3be6c30e623}">
          <xlrd:rvb i="5926"/>
        </ext>
      </extLst>
    </bk>
    <bk>
      <extLst>
        <ext uri="{3e2802c4-a4d2-4d8b-9148-e3be6c30e623}">
          <xlrd:rvb i="5927"/>
        </ext>
      </extLst>
    </bk>
    <bk>
      <extLst>
        <ext uri="{3e2802c4-a4d2-4d8b-9148-e3be6c30e623}">
          <xlrd:rvb i="5928"/>
        </ext>
      </extLst>
    </bk>
    <bk>
      <extLst>
        <ext uri="{3e2802c4-a4d2-4d8b-9148-e3be6c30e623}">
          <xlrd:rvb i="5929"/>
        </ext>
      </extLst>
    </bk>
    <bk>
      <extLst>
        <ext uri="{3e2802c4-a4d2-4d8b-9148-e3be6c30e623}">
          <xlrd:rvb i="5930"/>
        </ext>
      </extLst>
    </bk>
    <bk>
      <extLst>
        <ext uri="{3e2802c4-a4d2-4d8b-9148-e3be6c30e623}">
          <xlrd:rvb i="5931"/>
        </ext>
      </extLst>
    </bk>
    <bk>
      <extLst>
        <ext uri="{3e2802c4-a4d2-4d8b-9148-e3be6c30e623}">
          <xlrd:rvb i="5932"/>
        </ext>
      </extLst>
    </bk>
    <bk>
      <extLst>
        <ext uri="{3e2802c4-a4d2-4d8b-9148-e3be6c30e623}">
          <xlrd:rvb i="5933"/>
        </ext>
      </extLst>
    </bk>
    <bk>
      <extLst>
        <ext uri="{3e2802c4-a4d2-4d8b-9148-e3be6c30e623}">
          <xlrd:rvb i="5934"/>
        </ext>
      </extLst>
    </bk>
    <bk>
      <extLst>
        <ext uri="{3e2802c4-a4d2-4d8b-9148-e3be6c30e623}">
          <xlrd:rvb i="5935"/>
        </ext>
      </extLst>
    </bk>
    <bk>
      <extLst>
        <ext uri="{3e2802c4-a4d2-4d8b-9148-e3be6c30e623}">
          <xlrd:rvb i="5936"/>
        </ext>
      </extLst>
    </bk>
    <bk>
      <extLst>
        <ext uri="{3e2802c4-a4d2-4d8b-9148-e3be6c30e623}">
          <xlrd:rvb i="5937"/>
        </ext>
      </extLst>
    </bk>
    <bk>
      <extLst>
        <ext uri="{3e2802c4-a4d2-4d8b-9148-e3be6c30e623}">
          <xlrd:rvb i="5938"/>
        </ext>
      </extLst>
    </bk>
    <bk>
      <extLst>
        <ext uri="{3e2802c4-a4d2-4d8b-9148-e3be6c30e623}">
          <xlrd:rvb i="5939"/>
        </ext>
      </extLst>
    </bk>
    <bk>
      <extLst>
        <ext uri="{3e2802c4-a4d2-4d8b-9148-e3be6c30e623}">
          <xlrd:rvb i="5940"/>
        </ext>
      </extLst>
    </bk>
    <bk>
      <extLst>
        <ext uri="{3e2802c4-a4d2-4d8b-9148-e3be6c30e623}">
          <xlrd:rvb i="5941"/>
        </ext>
      </extLst>
    </bk>
    <bk>
      <extLst>
        <ext uri="{3e2802c4-a4d2-4d8b-9148-e3be6c30e623}">
          <xlrd:rvb i="5942"/>
        </ext>
      </extLst>
    </bk>
    <bk>
      <extLst>
        <ext uri="{3e2802c4-a4d2-4d8b-9148-e3be6c30e623}">
          <xlrd:rvb i="5943"/>
        </ext>
      </extLst>
    </bk>
    <bk>
      <extLst>
        <ext uri="{3e2802c4-a4d2-4d8b-9148-e3be6c30e623}">
          <xlrd:rvb i="5944"/>
        </ext>
      </extLst>
    </bk>
    <bk>
      <extLst>
        <ext uri="{3e2802c4-a4d2-4d8b-9148-e3be6c30e623}">
          <xlrd:rvb i="5945"/>
        </ext>
      </extLst>
    </bk>
    <bk>
      <extLst>
        <ext uri="{3e2802c4-a4d2-4d8b-9148-e3be6c30e623}">
          <xlrd:rvb i="5946"/>
        </ext>
      </extLst>
    </bk>
    <bk>
      <extLst>
        <ext uri="{3e2802c4-a4d2-4d8b-9148-e3be6c30e623}">
          <xlrd:rvb i="5947"/>
        </ext>
      </extLst>
    </bk>
    <bk>
      <extLst>
        <ext uri="{3e2802c4-a4d2-4d8b-9148-e3be6c30e623}">
          <xlrd:rvb i="5948"/>
        </ext>
      </extLst>
    </bk>
    <bk>
      <extLst>
        <ext uri="{3e2802c4-a4d2-4d8b-9148-e3be6c30e623}">
          <xlrd:rvb i="5949"/>
        </ext>
      </extLst>
    </bk>
    <bk>
      <extLst>
        <ext uri="{3e2802c4-a4d2-4d8b-9148-e3be6c30e623}">
          <xlrd:rvb i="5950"/>
        </ext>
      </extLst>
    </bk>
    <bk>
      <extLst>
        <ext uri="{3e2802c4-a4d2-4d8b-9148-e3be6c30e623}">
          <xlrd:rvb i="5951"/>
        </ext>
      </extLst>
    </bk>
    <bk>
      <extLst>
        <ext uri="{3e2802c4-a4d2-4d8b-9148-e3be6c30e623}">
          <xlrd:rvb i="5952"/>
        </ext>
      </extLst>
    </bk>
    <bk>
      <extLst>
        <ext uri="{3e2802c4-a4d2-4d8b-9148-e3be6c30e623}">
          <xlrd:rvb i="5953"/>
        </ext>
      </extLst>
    </bk>
    <bk>
      <extLst>
        <ext uri="{3e2802c4-a4d2-4d8b-9148-e3be6c30e623}">
          <xlrd:rvb i="5954"/>
        </ext>
      </extLst>
    </bk>
    <bk>
      <extLst>
        <ext uri="{3e2802c4-a4d2-4d8b-9148-e3be6c30e623}">
          <xlrd:rvb i="5955"/>
        </ext>
      </extLst>
    </bk>
    <bk>
      <extLst>
        <ext uri="{3e2802c4-a4d2-4d8b-9148-e3be6c30e623}">
          <xlrd:rvb i="5956"/>
        </ext>
      </extLst>
    </bk>
    <bk>
      <extLst>
        <ext uri="{3e2802c4-a4d2-4d8b-9148-e3be6c30e623}">
          <xlrd:rvb i="5957"/>
        </ext>
      </extLst>
    </bk>
    <bk>
      <extLst>
        <ext uri="{3e2802c4-a4d2-4d8b-9148-e3be6c30e623}">
          <xlrd:rvb i="5958"/>
        </ext>
      </extLst>
    </bk>
    <bk>
      <extLst>
        <ext uri="{3e2802c4-a4d2-4d8b-9148-e3be6c30e623}">
          <xlrd:rvb i="5959"/>
        </ext>
      </extLst>
    </bk>
    <bk>
      <extLst>
        <ext uri="{3e2802c4-a4d2-4d8b-9148-e3be6c30e623}">
          <xlrd:rvb i="5960"/>
        </ext>
      </extLst>
    </bk>
    <bk>
      <extLst>
        <ext uri="{3e2802c4-a4d2-4d8b-9148-e3be6c30e623}">
          <xlrd:rvb i="5961"/>
        </ext>
      </extLst>
    </bk>
    <bk>
      <extLst>
        <ext uri="{3e2802c4-a4d2-4d8b-9148-e3be6c30e623}">
          <xlrd:rvb i="5962"/>
        </ext>
      </extLst>
    </bk>
    <bk>
      <extLst>
        <ext uri="{3e2802c4-a4d2-4d8b-9148-e3be6c30e623}">
          <xlrd:rvb i="5963"/>
        </ext>
      </extLst>
    </bk>
    <bk>
      <extLst>
        <ext uri="{3e2802c4-a4d2-4d8b-9148-e3be6c30e623}">
          <xlrd:rvb i="5964"/>
        </ext>
      </extLst>
    </bk>
    <bk>
      <extLst>
        <ext uri="{3e2802c4-a4d2-4d8b-9148-e3be6c30e623}">
          <xlrd:rvb i="5965"/>
        </ext>
      </extLst>
    </bk>
    <bk>
      <extLst>
        <ext uri="{3e2802c4-a4d2-4d8b-9148-e3be6c30e623}">
          <xlrd:rvb i="5966"/>
        </ext>
      </extLst>
    </bk>
    <bk>
      <extLst>
        <ext uri="{3e2802c4-a4d2-4d8b-9148-e3be6c30e623}">
          <xlrd:rvb i="5967"/>
        </ext>
      </extLst>
    </bk>
    <bk>
      <extLst>
        <ext uri="{3e2802c4-a4d2-4d8b-9148-e3be6c30e623}">
          <xlrd:rvb i="5968"/>
        </ext>
      </extLst>
    </bk>
    <bk>
      <extLst>
        <ext uri="{3e2802c4-a4d2-4d8b-9148-e3be6c30e623}">
          <xlrd:rvb i="5969"/>
        </ext>
      </extLst>
    </bk>
    <bk>
      <extLst>
        <ext uri="{3e2802c4-a4d2-4d8b-9148-e3be6c30e623}">
          <xlrd:rvb i="5970"/>
        </ext>
      </extLst>
    </bk>
    <bk>
      <extLst>
        <ext uri="{3e2802c4-a4d2-4d8b-9148-e3be6c30e623}">
          <xlrd:rvb i="5971"/>
        </ext>
      </extLst>
    </bk>
    <bk>
      <extLst>
        <ext uri="{3e2802c4-a4d2-4d8b-9148-e3be6c30e623}">
          <xlrd:rvb i="5972"/>
        </ext>
      </extLst>
    </bk>
    <bk>
      <extLst>
        <ext uri="{3e2802c4-a4d2-4d8b-9148-e3be6c30e623}">
          <xlrd:rvb i="5973"/>
        </ext>
      </extLst>
    </bk>
    <bk>
      <extLst>
        <ext uri="{3e2802c4-a4d2-4d8b-9148-e3be6c30e623}">
          <xlrd:rvb i="5974"/>
        </ext>
      </extLst>
    </bk>
    <bk>
      <extLst>
        <ext uri="{3e2802c4-a4d2-4d8b-9148-e3be6c30e623}">
          <xlrd:rvb i="5975"/>
        </ext>
      </extLst>
    </bk>
    <bk>
      <extLst>
        <ext uri="{3e2802c4-a4d2-4d8b-9148-e3be6c30e623}">
          <xlrd:rvb i="5976"/>
        </ext>
      </extLst>
    </bk>
    <bk>
      <extLst>
        <ext uri="{3e2802c4-a4d2-4d8b-9148-e3be6c30e623}">
          <xlrd:rvb i="5977"/>
        </ext>
      </extLst>
    </bk>
    <bk>
      <extLst>
        <ext uri="{3e2802c4-a4d2-4d8b-9148-e3be6c30e623}">
          <xlrd:rvb i="5978"/>
        </ext>
      </extLst>
    </bk>
    <bk>
      <extLst>
        <ext uri="{3e2802c4-a4d2-4d8b-9148-e3be6c30e623}">
          <xlrd:rvb i="5979"/>
        </ext>
      </extLst>
    </bk>
    <bk>
      <extLst>
        <ext uri="{3e2802c4-a4d2-4d8b-9148-e3be6c30e623}">
          <xlrd:rvb i="5980"/>
        </ext>
      </extLst>
    </bk>
    <bk>
      <extLst>
        <ext uri="{3e2802c4-a4d2-4d8b-9148-e3be6c30e623}">
          <xlrd:rvb i="5981"/>
        </ext>
      </extLst>
    </bk>
    <bk>
      <extLst>
        <ext uri="{3e2802c4-a4d2-4d8b-9148-e3be6c30e623}">
          <xlrd:rvb i="5982"/>
        </ext>
      </extLst>
    </bk>
    <bk>
      <extLst>
        <ext uri="{3e2802c4-a4d2-4d8b-9148-e3be6c30e623}">
          <xlrd:rvb i="5983"/>
        </ext>
      </extLst>
    </bk>
    <bk>
      <extLst>
        <ext uri="{3e2802c4-a4d2-4d8b-9148-e3be6c30e623}">
          <xlrd:rvb i="5984"/>
        </ext>
      </extLst>
    </bk>
    <bk>
      <extLst>
        <ext uri="{3e2802c4-a4d2-4d8b-9148-e3be6c30e623}">
          <xlrd:rvb i="5985"/>
        </ext>
      </extLst>
    </bk>
    <bk>
      <extLst>
        <ext uri="{3e2802c4-a4d2-4d8b-9148-e3be6c30e623}">
          <xlrd:rvb i="5986"/>
        </ext>
      </extLst>
    </bk>
    <bk>
      <extLst>
        <ext uri="{3e2802c4-a4d2-4d8b-9148-e3be6c30e623}">
          <xlrd:rvb i="5987"/>
        </ext>
      </extLst>
    </bk>
    <bk>
      <extLst>
        <ext uri="{3e2802c4-a4d2-4d8b-9148-e3be6c30e623}">
          <xlrd:rvb i="5988"/>
        </ext>
      </extLst>
    </bk>
    <bk>
      <extLst>
        <ext uri="{3e2802c4-a4d2-4d8b-9148-e3be6c30e623}">
          <xlrd:rvb i="5989"/>
        </ext>
      </extLst>
    </bk>
    <bk>
      <extLst>
        <ext uri="{3e2802c4-a4d2-4d8b-9148-e3be6c30e623}">
          <xlrd:rvb i="5990"/>
        </ext>
      </extLst>
    </bk>
    <bk>
      <extLst>
        <ext uri="{3e2802c4-a4d2-4d8b-9148-e3be6c30e623}">
          <xlrd:rvb i="5991"/>
        </ext>
      </extLst>
    </bk>
    <bk>
      <extLst>
        <ext uri="{3e2802c4-a4d2-4d8b-9148-e3be6c30e623}">
          <xlrd:rvb i="5992"/>
        </ext>
      </extLst>
    </bk>
    <bk>
      <extLst>
        <ext uri="{3e2802c4-a4d2-4d8b-9148-e3be6c30e623}">
          <xlrd:rvb i="5993"/>
        </ext>
      </extLst>
    </bk>
    <bk>
      <extLst>
        <ext uri="{3e2802c4-a4d2-4d8b-9148-e3be6c30e623}">
          <xlrd:rvb i="5994"/>
        </ext>
      </extLst>
    </bk>
    <bk>
      <extLst>
        <ext uri="{3e2802c4-a4d2-4d8b-9148-e3be6c30e623}">
          <xlrd:rvb i="5995"/>
        </ext>
      </extLst>
    </bk>
    <bk>
      <extLst>
        <ext uri="{3e2802c4-a4d2-4d8b-9148-e3be6c30e623}">
          <xlrd:rvb i="5996"/>
        </ext>
      </extLst>
    </bk>
    <bk>
      <extLst>
        <ext uri="{3e2802c4-a4d2-4d8b-9148-e3be6c30e623}">
          <xlrd:rvb i="5997"/>
        </ext>
      </extLst>
    </bk>
    <bk>
      <extLst>
        <ext uri="{3e2802c4-a4d2-4d8b-9148-e3be6c30e623}">
          <xlrd:rvb i="5998"/>
        </ext>
      </extLst>
    </bk>
    <bk>
      <extLst>
        <ext uri="{3e2802c4-a4d2-4d8b-9148-e3be6c30e623}">
          <xlrd:rvb i="5999"/>
        </ext>
      </extLst>
    </bk>
    <bk>
      <extLst>
        <ext uri="{3e2802c4-a4d2-4d8b-9148-e3be6c30e623}">
          <xlrd:rvb i="6000"/>
        </ext>
      </extLst>
    </bk>
    <bk>
      <extLst>
        <ext uri="{3e2802c4-a4d2-4d8b-9148-e3be6c30e623}">
          <xlrd:rvb i="6001"/>
        </ext>
      </extLst>
    </bk>
    <bk>
      <extLst>
        <ext uri="{3e2802c4-a4d2-4d8b-9148-e3be6c30e623}">
          <xlrd:rvb i="6002"/>
        </ext>
      </extLst>
    </bk>
    <bk>
      <extLst>
        <ext uri="{3e2802c4-a4d2-4d8b-9148-e3be6c30e623}">
          <xlrd:rvb i="6003"/>
        </ext>
      </extLst>
    </bk>
    <bk>
      <extLst>
        <ext uri="{3e2802c4-a4d2-4d8b-9148-e3be6c30e623}">
          <xlrd:rvb i="6004"/>
        </ext>
      </extLst>
    </bk>
    <bk>
      <extLst>
        <ext uri="{3e2802c4-a4d2-4d8b-9148-e3be6c30e623}">
          <xlrd:rvb i="6005"/>
        </ext>
      </extLst>
    </bk>
    <bk>
      <extLst>
        <ext uri="{3e2802c4-a4d2-4d8b-9148-e3be6c30e623}">
          <xlrd:rvb i="6006"/>
        </ext>
      </extLst>
    </bk>
    <bk>
      <extLst>
        <ext uri="{3e2802c4-a4d2-4d8b-9148-e3be6c30e623}">
          <xlrd:rvb i="6007"/>
        </ext>
      </extLst>
    </bk>
    <bk>
      <extLst>
        <ext uri="{3e2802c4-a4d2-4d8b-9148-e3be6c30e623}">
          <xlrd:rvb i="6008"/>
        </ext>
      </extLst>
    </bk>
    <bk>
      <extLst>
        <ext uri="{3e2802c4-a4d2-4d8b-9148-e3be6c30e623}">
          <xlrd:rvb i="6009"/>
        </ext>
      </extLst>
    </bk>
    <bk>
      <extLst>
        <ext uri="{3e2802c4-a4d2-4d8b-9148-e3be6c30e623}">
          <xlrd:rvb i="6010"/>
        </ext>
      </extLst>
    </bk>
    <bk>
      <extLst>
        <ext uri="{3e2802c4-a4d2-4d8b-9148-e3be6c30e623}">
          <xlrd:rvb i="6011"/>
        </ext>
      </extLst>
    </bk>
    <bk>
      <extLst>
        <ext uri="{3e2802c4-a4d2-4d8b-9148-e3be6c30e623}">
          <xlrd:rvb i="6012"/>
        </ext>
      </extLst>
    </bk>
    <bk>
      <extLst>
        <ext uri="{3e2802c4-a4d2-4d8b-9148-e3be6c30e623}">
          <xlrd:rvb i="6013"/>
        </ext>
      </extLst>
    </bk>
    <bk>
      <extLst>
        <ext uri="{3e2802c4-a4d2-4d8b-9148-e3be6c30e623}">
          <xlrd:rvb i="6014"/>
        </ext>
      </extLst>
    </bk>
    <bk>
      <extLst>
        <ext uri="{3e2802c4-a4d2-4d8b-9148-e3be6c30e623}">
          <xlrd:rvb i="6015"/>
        </ext>
      </extLst>
    </bk>
    <bk>
      <extLst>
        <ext uri="{3e2802c4-a4d2-4d8b-9148-e3be6c30e623}">
          <xlrd:rvb i="6016"/>
        </ext>
      </extLst>
    </bk>
    <bk>
      <extLst>
        <ext uri="{3e2802c4-a4d2-4d8b-9148-e3be6c30e623}">
          <xlrd:rvb i="6017"/>
        </ext>
      </extLst>
    </bk>
    <bk>
      <extLst>
        <ext uri="{3e2802c4-a4d2-4d8b-9148-e3be6c30e623}">
          <xlrd:rvb i="6018"/>
        </ext>
      </extLst>
    </bk>
    <bk>
      <extLst>
        <ext uri="{3e2802c4-a4d2-4d8b-9148-e3be6c30e623}">
          <xlrd:rvb i="6019"/>
        </ext>
      </extLst>
    </bk>
    <bk>
      <extLst>
        <ext uri="{3e2802c4-a4d2-4d8b-9148-e3be6c30e623}">
          <xlrd:rvb i="6020"/>
        </ext>
      </extLst>
    </bk>
    <bk>
      <extLst>
        <ext uri="{3e2802c4-a4d2-4d8b-9148-e3be6c30e623}">
          <xlrd:rvb i="6021"/>
        </ext>
      </extLst>
    </bk>
    <bk>
      <extLst>
        <ext uri="{3e2802c4-a4d2-4d8b-9148-e3be6c30e623}">
          <xlrd:rvb i="6022"/>
        </ext>
      </extLst>
    </bk>
    <bk>
      <extLst>
        <ext uri="{3e2802c4-a4d2-4d8b-9148-e3be6c30e623}">
          <xlrd:rvb i="6023"/>
        </ext>
      </extLst>
    </bk>
    <bk>
      <extLst>
        <ext uri="{3e2802c4-a4d2-4d8b-9148-e3be6c30e623}">
          <xlrd:rvb i="6024"/>
        </ext>
      </extLst>
    </bk>
    <bk>
      <extLst>
        <ext uri="{3e2802c4-a4d2-4d8b-9148-e3be6c30e623}">
          <xlrd:rvb i="6025"/>
        </ext>
      </extLst>
    </bk>
    <bk>
      <extLst>
        <ext uri="{3e2802c4-a4d2-4d8b-9148-e3be6c30e623}">
          <xlrd:rvb i="6026"/>
        </ext>
      </extLst>
    </bk>
    <bk>
      <extLst>
        <ext uri="{3e2802c4-a4d2-4d8b-9148-e3be6c30e623}">
          <xlrd:rvb i="6027"/>
        </ext>
      </extLst>
    </bk>
    <bk>
      <extLst>
        <ext uri="{3e2802c4-a4d2-4d8b-9148-e3be6c30e623}">
          <xlrd:rvb i="6028"/>
        </ext>
      </extLst>
    </bk>
    <bk>
      <extLst>
        <ext uri="{3e2802c4-a4d2-4d8b-9148-e3be6c30e623}">
          <xlrd:rvb i="6029"/>
        </ext>
      </extLst>
    </bk>
    <bk>
      <extLst>
        <ext uri="{3e2802c4-a4d2-4d8b-9148-e3be6c30e623}">
          <xlrd:rvb i="6030"/>
        </ext>
      </extLst>
    </bk>
    <bk>
      <extLst>
        <ext uri="{3e2802c4-a4d2-4d8b-9148-e3be6c30e623}">
          <xlrd:rvb i="6031"/>
        </ext>
      </extLst>
    </bk>
    <bk>
      <extLst>
        <ext uri="{3e2802c4-a4d2-4d8b-9148-e3be6c30e623}">
          <xlrd:rvb i="6032"/>
        </ext>
      </extLst>
    </bk>
    <bk>
      <extLst>
        <ext uri="{3e2802c4-a4d2-4d8b-9148-e3be6c30e623}">
          <xlrd:rvb i="6033"/>
        </ext>
      </extLst>
    </bk>
    <bk>
      <extLst>
        <ext uri="{3e2802c4-a4d2-4d8b-9148-e3be6c30e623}">
          <xlrd:rvb i="6034"/>
        </ext>
      </extLst>
    </bk>
    <bk>
      <extLst>
        <ext uri="{3e2802c4-a4d2-4d8b-9148-e3be6c30e623}">
          <xlrd:rvb i="6035"/>
        </ext>
      </extLst>
    </bk>
    <bk>
      <extLst>
        <ext uri="{3e2802c4-a4d2-4d8b-9148-e3be6c30e623}">
          <xlrd:rvb i="6036"/>
        </ext>
      </extLst>
    </bk>
    <bk>
      <extLst>
        <ext uri="{3e2802c4-a4d2-4d8b-9148-e3be6c30e623}">
          <xlrd:rvb i="6037"/>
        </ext>
      </extLst>
    </bk>
    <bk>
      <extLst>
        <ext uri="{3e2802c4-a4d2-4d8b-9148-e3be6c30e623}">
          <xlrd:rvb i="6038"/>
        </ext>
      </extLst>
    </bk>
    <bk>
      <extLst>
        <ext uri="{3e2802c4-a4d2-4d8b-9148-e3be6c30e623}">
          <xlrd:rvb i="6039"/>
        </ext>
      </extLst>
    </bk>
    <bk>
      <extLst>
        <ext uri="{3e2802c4-a4d2-4d8b-9148-e3be6c30e623}">
          <xlrd:rvb i="6040"/>
        </ext>
      </extLst>
    </bk>
    <bk>
      <extLst>
        <ext uri="{3e2802c4-a4d2-4d8b-9148-e3be6c30e623}">
          <xlrd:rvb i="6041"/>
        </ext>
      </extLst>
    </bk>
    <bk>
      <extLst>
        <ext uri="{3e2802c4-a4d2-4d8b-9148-e3be6c30e623}">
          <xlrd:rvb i="6042"/>
        </ext>
      </extLst>
    </bk>
    <bk>
      <extLst>
        <ext uri="{3e2802c4-a4d2-4d8b-9148-e3be6c30e623}">
          <xlrd:rvb i="6043"/>
        </ext>
      </extLst>
    </bk>
    <bk>
      <extLst>
        <ext uri="{3e2802c4-a4d2-4d8b-9148-e3be6c30e623}">
          <xlrd:rvb i="6044"/>
        </ext>
      </extLst>
    </bk>
    <bk>
      <extLst>
        <ext uri="{3e2802c4-a4d2-4d8b-9148-e3be6c30e623}">
          <xlrd:rvb i="6045"/>
        </ext>
      </extLst>
    </bk>
    <bk>
      <extLst>
        <ext uri="{3e2802c4-a4d2-4d8b-9148-e3be6c30e623}">
          <xlrd:rvb i="6046"/>
        </ext>
      </extLst>
    </bk>
    <bk>
      <extLst>
        <ext uri="{3e2802c4-a4d2-4d8b-9148-e3be6c30e623}">
          <xlrd:rvb i="6047"/>
        </ext>
      </extLst>
    </bk>
    <bk>
      <extLst>
        <ext uri="{3e2802c4-a4d2-4d8b-9148-e3be6c30e623}">
          <xlrd:rvb i="6048"/>
        </ext>
      </extLst>
    </bk>
    <bk>
      <extLst>
        <ext uri="{3e2802c4-a4d2-4d8b-9148-e3be6c30e623}">
          <xlrd:rvb i="6049"/>
        </ext>
      </extLst>
    </bk>
    <bk>
      <extLst>
        <ext uri="{3e2802c4-a4d2-4d8b-9148-e3be6c30e623}">
          <xlrd:rvb i="6050"/>
        </ext>
      </extLst>
    </bk>
    <bk>
      <extLst>
        <ext uri="{3e2802c4-a4d2-4d8b-9148-e3be6c30e623}">
          <xlrd:rvb i="6051"/>
        </ext>
      </extLst>
    </bk>
    <bk>
      <extLst>
        <ext uri="{3e2802c4-a4d2-4d8b-9148-e3be6c30e623}">
          <xlrd:rvb i="6052"/>
        </ext>
      </extLst>
    </bk>
    <bk>
      <extLst>
        <ext uri="{3e2802c4-a4d2-4d8b-9148-e3be6c30e623}">
          <xlrd:rvb i="6053"/>
        </ext>
      </extLst>
    </bk>
    <bk>
      <extLst>
        <ext uri="{3e2802c4-a4d2-4d8b-9148-e3be6c30e623}">
          <xlrd:rvb i="6054"/>
        </ext>
      </extLst>
    </bk>
    <bk>
      <extLst>
        <ext uri="{3e2802c4-a4d2-4d8b-9148-e3be6c30e623}">
          <xlrd:rvb i="6055"/>
        </ext>
      </extLst>
    </bk>
    <bk>
      <extLst>
        <ext uri="{3e2802c4-a4d2-4d8b-9148-e3be6c30e623}">
          <xlrd:rvb i="6056"/>
        </ext>
      </extLst>
    </bk>
    <bk>
      <extLst>
        <ext uri="{3e2802c4-a4d2-4d8b-9148-e3be6c30e623}">
          <xlrd:rvb i="6057"/>
        </ext>
      </extLst>
    </bk>
    <bk>
      <extLst>
        <ext uri="{3e2802c4-a4d2-4d8b-9148-e3be6c30e623}">
          <xlrd:rvb i="6058"/>
        </ext>
      </extLst>
    </bk>
    <bk>
      <extLst>
        <ext uri="{3e2802c4-a4d2-4d8b-9148-e3be6c30e623}">
          <xlrd:rvb i="6059"/>
        </ext>
      </extLst>
    </bk>
    <bk>
      <extLst>
        <ext uri="{3e2802c4-a4d2-4d8b-9148-e3be6c30e623}">
          <xlrd:rvb i="6060"/>
        </ext>
      </extLst>
    </bk>
    <bk>
      <extLst>
        <ext uri="{3e2802c4-a4d2-4d8b-9148-e3be6c30e623}">
          <xlrd:rvb i="6061"/>
        </ext>
      </extLst>
    </bk>
    <bk>
      <extLst>
        <ext uri="{3e2802c4-a4d2-4d8b-9148-e3be6c30e623}">
          <xlrd:rvb i="6062"/>
        </ext>
      </extLst>
    </bk>
    <bk>
      <extLst>
        <ext uri="{3e2802c4-a4d2-4d8b-9148-e3be6c30e623}">
          <xlrd:rvb i="6063"/>
        </ext>
      </extLst>
    </bk>
    <bk>
      <extLst>
        <ext uri="{3e2802c4-a4d2-4d8b-9148-e3be6c30e623}">
          <xlrd:rvb i="6064"/>
        </ext>
      </extLst>
    </bk>
    <bk>
      <extLst>
        <ext uri="{3e2802c4-a4d2-4d8b-9148-e3be6c30e623}">
          <xlrd:rvb i="6065"/>
        </ext>
      </extLst>
    </bk>
    <bk>
      <extLst>
        <ext uri="{3e2802c4-a4d2-4d8b-9148-e3be6c30e623}">
          <xlrd:rvb i="6066"/>
        </ext>
      </extLst>
    </bk>
    <bk>
      <extLst>
        <ext uri="{3e2802c4-a4d2-4d8b-9148-e3be6c30e623}">
          <xlrd:rvb i="6067"/>
        </ext>
      </extLst>
    </bk>
    <bk>
      <extLst>
        <ext uri="{3e2802c4-a4d2-4d8b-9148-e3be6c30e623}">
          <xlrd:rvb i="6068"/>
        </ext>
      </extLst>
    </bk>
    <bk>
      <extLst>
        <ext uri="{3e2802c4-a4d2-4d8b-9148-e3be6c30e623}">
          <xlrd:rvb i="6069"/>
        </ext>
      </extLst>
    </bk>
    <bk>
      <extLst>
        <ext uri="{3e2802c4-a4d2-4d8b-9148-e3be6c30e623}">
          <xlrd:rvb i="6070"/>
        </ext>
      </extLst>
    </bk>
    <bk>
      <extLst>
        <ext uri="{3e2802c4-a4d2-4d8b-9148-e3be6c30e623}">
          <xlrd:rvb i="6071"/>
        </ext>
      </extLst>
    </bk>
    <bk>
      <extLst>
        <ext uri="{3e2802c4-a4d2-4d8b-9148-e3be6c30e623}">
          <xlrd:rvb i="6072"/>
        </ext>
      </extLst>
    </bk>
    <bk>
      <extLst>
        <ext uri="{3e2802c4-a4d2-4d8b-9148-e3be6c30e623}">
          <xlrd:rvb i="6073"/>
        </ext>
      </extLst>
    </bk>
    <bk>
      <extLst>
        <ext uri="{3e2802c4-a4d2-4d8b-9148-e3be6c30e623}">
          <xlrd:rvb i="6074"/>
        </ext>
      </extLst>
    </bk>
    <bk>
      <extLst>
        <ext uri="{3e2802c4-a4d2-4d8b-9148-e3be6c30e623}">
          <xlrd:rvb i="6075"/>
        </ext>
      </extLst>
    </bk>
    <bk>
      <extLst>
        <ext uri="{3e2802c4-a4d2-4d8b-9148-e3be6c30e623}">
          <xlrd:rvb i="6076"/>
        </ext>
      </extLst>
    </bk>
    <bk>
      <extLst>
        <ext uri="{3e2802c4-a4d2-4d8b-9148-e3be6c30e623}">
          <xlrd:rvb i="6077"/>
        </ext>
      </extLst>
    </bk>
    <bk>
      <extLst>
        <ext uri="{3e2802c4-a4d2-4d8b-9148-e3be6c30e623}">
          <xlrd:rvb i="6078"/>
        </ext>
      </extLst>
    </bk>
    <bk>
      <extLst>
        <ext uri="{3e2802c4-a4d2-4d8b-9148-e3be6c30e623}">
          <xlrd:rvb i="6079"/>
        </ext>
      </extLst>
    </bk>
    <bk>
      <extLst>
        <ext uri="{3e2802c4-a4d2-4d8b-9148-e3be6c30e623}">
          <xlrd:rvb i="6080"/>
        </ext>
      </extLst>
    </bk>
    <bk>
      <extLst>
        <ext uri="{3e2802c4-a4d2-4d8b-9148-e3be6c30e623}">
          <xlrd:rvb i="6081"/>
        </ext>
      </extLst>
    </bk>
    <bk>
      <extLst>
        <ext uri="{3e2802c4-a4d2-4d8b-9148-e3be6c30e623}">
          <xlrd:rvb i="6082"/>
        </ext>
      </extLst>
    </bk>
    <bk>
      <extLst>
        <ext uri="{3e2802c4-a4d2-4d8b-9148-e3be6c30e623}">
          <xlrd:rvb i="6083"/>
        </ext>
      </extLst>
    </bk>
    <bk>
      <extLst>
        <ext uri="{3e2802c4-a4d2-4d8b-9148-e3be6c30e623}">
          <xlrd:rvb i="6084"/>
        </ext>
      </extLst>
    </bk>
    <bk>
      <extLst>
        <ext uri="{3e2802c4-a4d2-4d8b-9148-e3be6c30e623}">
          <xlrd:rvb i="6085"/>
        </ext>
      </extLst>
    </bk>
    <bk>
      <extLst>
        <ext uri="{3e2802c4-a4d2-4d8b-9148-e3be6c30e623}">
          <xlrd:rvb i="6086"/>
        </ext>
      </extLst>
    </bk>
    <bk>
      <extLst>
        <ext uri="{3e2802c4-a4d2-4d8b-9148-e3be6c30e623}">
          <xlrd:rvb i="6087"/>
        </ext>
      </extLst>
    </bk>
    <bk>
      <extLst>
        <ext uri="{3e2802c4-a4d2-4d8b-9148-e3be6c30e623}">
          <xlrd:rvb i="6088"/>
        </ext>
      </extLst>
    </bk>
    <bk>
      <extLst>
        <ext uri="{3e2802c4-a4d2-4d8b-9148-e3be6c30e623}">
          <xlrd:rvb i="6089"/>
        </ext>
      </extLst>
    </bk>
    <bk>
      <extLst>
        <ext uri="{3e2802c4-a4d2-4d8b-9148-e3be6c30e623}">
          <xlrd:rvb i="6090"/>
        </ext>
      </extLst>
    </bk>
    <bk>
      <extLst>
        <ext uri="{3e2802c4-a4d2-4d8b-9148-e3be6c30e623}">
          <xlrd:rvb i="6091"/>
        </ext>
      </extLst>
    </bk>
    <bk>
      <extLst>
        <ext uri="{3e2802c4-a4d2-4d8b-9148-e3be6c30e623}">
          <xlrd:rvb i="6092"/>
        </ext>
      </extLst>
    </bk>
    <bk>
      <extLst>
        <ext uri="{3e2802c4-a4d2-4d8b-9148-e3be6c30e623}">
          <xlrd:rvb i="6093"/>
        </ext>
      </extLst>
    </bk>
    <bk>
      <extLst>
        <ext uri="{3e2802c4-a4d2-4d8b-9148-e3be6c30e623}">
          <xlrd:rvb i="6094"/>
        </ext>
      </extLst>
    </bk>
    <bk>
      <extLst>
        <ext uri="{3e2802c4-a4d2-4d8b-9148-e3be6c30e623}">
          <xlrd:rvb i="6095"/>
        </ext>
      </extLst>
    </bk>
    <bk>
      <extLst>
        <ext uri="{3e2802c4-a4d2-4d8b-9148-e3be6c30e623}">
          <xlrd:rvb i="6096"/>
        </ext>
      </extLst>
    </bk>
    <bk>
      <extLst>
        <ext uri="{3e2802c4-a4d2-4d8b-9148-e3be6c30e623}">
          <xlrd:rvb i="6097"/>
        </ext>
      </extLst>
    </bk>
    <bk>
      <extLst>
        <ext uri="{3e2802c4-a4d2-4d8b-9148-e3be6c30e623}">
          <xlrd:rvb i="6098"/>
        </ext>
      </extLst>
    </bk>
    <bk>
      <extLst>
        <ext uri="{3e2802c4-a4d2-4d8b-9148-e3be6c30e623}">
          <xlrd:rvb i="6099"/>
        </ext>
      </extLst>
    </bk>
    <bk>
      <extLst>
        <ext uri="{3e2802c4-a4d2-4d8b-9148-e3be6c30e623}">
          <xlrd:rvb i="6100"/>
        </ext>
      </extLst>
    </bk>
    <bk>
      <extLst>
        <ext uri="{3e2802c4-a4d2-4d8b-9148-e3be6c30e623}">
          <xlrd:rvb i="6101"/>
        </ext>
      </extLst>
    </bk>
    <bk>
      <extLst>
        <ext uri="{3e2802c4-a4d2-4d8b-9148-e3be6c30e623}">
          <xlrd:rvb i="6102"/>
        </ext>
      </extLst>
    </bk>
    <bk>
      <extLst>
        <ext uri="{3e2802c4-a4d2-4d8b-9148-e3be6c30e623}">
          <xlrd:rvb i="6103"/>
        </ext>
      </extLst>
    </bk>
    <bk>
      <extLst>
        <ext uri="{3e2802c4-a4d2-4d8b-9148-e3be6c30e623}">
          <xlrd:rvb i="6104"/>
        </ext>
      </extLst>
    </bk>
    <bk>
      <extLst>
        <ext uri="{3e2802c4-a4d2-4d8b-9148-e3be6c30e623}">
          <xlrd:rvb i="6105"/>
        </ext>
      </extLst>
    </bk>
    <bk>
      <extLst>
        <ext uri="{3e2802c4-a4d2-4d8b-9148-e3be6c30e623}">
          <xlrd:rvb i="6106"/>
        </ext>
      </extLst>
    </bk>
    <bk>
      <extLst>
        <ext uri="{3e2802c4-a4d2-4d8b-9148-e3be6c30e623}">
          <xlrd:rvb i="6107"/>
        </ext>
      </extLst>
    </bk>
    <bk>
      <extLst>
        <ext uri="{3e2802c4-a4d2-4d8b-9148-e3be6c30e623}">
          <xlrd:rvb i="6108"/>
        </ext>
      </extLst>
    </bk>
    <bk>
      <extLst>
        <ext uri="{3e2802c4-a4d2-4d8b-9148-e3be6c30e623}">
          <xlrd:rvb i="6109"/>
        </ext>
      </extLst>
    </bk>
    <bk>
      <extLst>
        <ext uri="{3e2802c4-a4d2-4d8b-9148-e3be6c30e623}">
          <xlrd:rvb i="6110"/>
        </ext>
      </extLst>
    </bk>
    <bk>
      <extLst>
        <ext uri="{3e2802c4-a4d2-4d8b-9148-e3be6c30e623}">
          <xlrd:rvb i="6111"/>
        </ext>
      </extLst>
    </bk>
    <bk>
      <extLst>
        <ext uri="{3e2802c4-a4d2-4d8b-9148-e3be6c30e623}">
          <xlrd:rvb i="6112"/>
        </ext>
      </extLst>
    </bk>
    <bk>
      <extLst>
        <ext uri="{3e2802c4-a4d2-4d8b-9148-e3be6c30e623}">
          <xlrd:rvb i="6113"/>
        </ext>
      </extLst>
    </bk>
    <bk>
      <extLst>
        <ext uri="{3e2802c4-a4d2-4d8b-9148-e3be6c30e623}">
          <xlrd:rvb i="6114"/>
        </ext>
      </extLst>
    </bk>
    <bk>
      <extLst>
        <ext uri="{3e2802c4-a4d2-4d8b-9148-e3be6c30e623}">
          <xlrd:rvb i="6115"/>
        </ext>
      </extLst>
    </bk>
    <bk>
      <extLst>
        <ext uri="{3e2802c4-a4d2-4d8b-9148-e3be6c30e623}">
          <xlrd:rvb i="6116"/>
        </ext>
      </extLst>
    </bk>
    <bk>
      <extLst>
        <ext uri="{3e2802c4-a4d2-4d8b-9148-e3be6c30e623}">
          <xlrd:rvb i="6117"/>
        </ext>
      </extLst>
    </bk>
    <bk>
      <extLst>
        <ext uri="{3e2802c4-a4d2-4d8b-9148-e3be6c30e623}">
          <xlrd:rvb i="6118"/>
        </ext>
      </extLst>
    </bk>
    <bk>
      <extLst>
        <ext uri="{3e2802c4-a4d2-4d8b-9148-e3be6c30e623}">
          <xlrd:rvb i="6119"/>
        </ext>
      </extLst>
    </bk>
    <bk>
      <extLst>
        <ext uri="{3e2802c4-a4d2-4d8b-9148-e3be6c30e623}">
          <xlrd:rvb i="6120"/>
        </ext>
      </extLst>
    </bk>
    <bk>
      <extLst>
        <ext uri="{3e2802c4-a4d2-4d8b-9148-e3be6c30e623}">
          <xlrd:rvb i="6121"/>
        </ext>
      </extLst>
    </bk>
    <bk>
      <extLst>
        <ext uri="{3e2802c4-a4d2-4d8b-9148-e3be6c30e623}">
          <xlrd:rvb i="6122"/>
        </ext>
      </extLst>
    </bk>
    <bk>
      <extLst>
        <ext uri="{3e2802c4-a4d2-4d8b-9148-e3be6c30e623}">
          <xlrd:rvb i="6123"/>
        </ext>
      </extLst>
    </bk>
    <bk>
      <extLst>
        <ext uri="{3e2802c4-a4d2-4d8b-9148-e3be6c30e623}">
          <xlrd:rvb i="6124"/>
        </ext>
      </extLst>
    </bk>
    <bk>
      <extLst>
        <ext uri="{3e2802c4-a4d2-4d8b-9148-e3be6c30e623}">
          <xlrd:rvb i="6125"/>
        </ext>
      </extLst>
    </bk>
    <bk>
      <extLst>
        <ext uri="{3e2802c4-a4d2-4d8b-9148-e3be6c30e623}">
          <xlrd:rvb i="6126"/>
        </ext>
      </extLst>
    </bk>
    <bk>
      <extLst>
        <ext uri="{3e2802c4-a4d2-4d8b-9148-e3be6c30e623}">
          <xlrd:rvb i="6127"/>
        </ext>
      </extLst>
    </bk>
    <bk>
      <extLst>
        <ext uri="{3e2802c4-a4d2-4d8b-9148-e3be6c30e623}">
          <xlrd:rvb i="6128"/>
        </ext>
      </extLst>
    </bk>
    <bk>
      <extLst>
        <ext uri="{3e2802c4-a4d2-4d8b-9148-e3be6c30e623}">
          <xlrd:rvb i="6129"/>
        </ext>
      </extLst>
    </bk>
    <bk>
      <extLst>
        <ext uri="{3e2802c4-a4d2-4d8b-9148-e3be6c30e623}">
          <xlrd:rvb i="6130"/>
        </ext>
      </extLst>
    </bk>
    <bk>
      <extLst>
        <ext uri="{3e2802c4-a4d2-4d8b-9148-e3be6c30e623}">
          <xlrd:rvb i="6131"/>
        </ext>
      </extLst>
    </bk>
    <bk>
      <extLst>
        <ext uri="{3e2802c4-a4d2-4d8b-9148-e3be6c30e623}">
          <xlrd:rvb i="6132"/>
        </ext>
      </extLst>
    </bk>
    <bk>
      <extLst>
        <ext uri="{3e2802c4-a4d2-4d8b-9148-e3be6c30e623}">
          <xlrd:rvb i="6133"/>
        </ext>
      </extLst>
    </bk>
    <bk>
      <extLst>
        <ext uri="{3e2802c4-a4d2-4d8b-9148-e3be6c30e623}">
          <xlrd:rvb i="6134"/>
        </ext>
      </extLst>
    </bk>
    <bk>
      <extLst>
        <ext uri="{3e2802c4-a4d2-4d8b-9148-e3be6c30e623}">
          <xlrd:rvb i="6135"/>
        </ext>
      </extLst>
    </bk>
    <bk>
      <extLst>
        <ext uri="{3e2802c4-a4d2-4d8b-9148-e3be6c30e623}">
          <xlrd:rvb i="6136"/>
        </ext>
      </extLst>
    </bk>
    <bk>
      <extLst>
        <ext uri="{3e2802c4-a4d2-4d8b-9148-e3be6c30e623}">
          <xlrd:rvb i="6137"/>
        </ext>
      </extLst>
    </bk>
    <bk>
      <extLst>
        <ext uri="{3e2802c4-a4d2-4d8b-9148-e3be6c30e623}">
          <xlrd:rvb i="6138"/>
        </ext>
      </extLst>
    </bk>
    <bk>
      <extLst>
        <ext uri="{3e2802c4-a4d2-4d8b-9148-e3be6c30e623}">
          <xlrd:rvb i="6139"/>
        </ext>
      </extLst>
    </bk>
    <bk>
      <extLst>
        <ext uri="{3e2802c4-a4d2-4d8b-9148-e3be6c30e623}">
          <xlrd:rvb i="6140"/>
        </ext>
      </extLst>
    </bk>
    <bk>
      <extLst>
        <ext uri="{3e2802c4-a4d2-4d8b-9148-e3be6c30e623}">
          <xlrd:rvb i="6141"/>
        </ext>
      </extLst>
    </bk>
    <bk>
      <extLst>
        <ext uri="{3e2802c4-a4d2-4d8b-9148-e3be6c30e623}">
          <xlrd:rvb i="6142"/>
        </ext>
      </extLst>
    </bk>
    <bk>
      <extLst>
        <ext uri="{3e2802c4-a4d2-4d8b-9148-e3be6c30e623}">
          <xlrd:rvb i="6143"/>
        </ext>
      </extLst>
    </bk>
    <bk>
      <extLst>
        <ext uri="{3e2802c4-a4d2-4d8b-9148-e3be6c30e623}">
          <xlrd:rvb i="6144"/>
        </ext>
      </extLst>
    </bk>
    <bk>
      <extLst>
        <ext uri="{3e2802c4-a4d2-4d8b-9148-e3be6c30e623}">
          <xlrd:rvb i="6145"/>
        </ext>
      </extLst>
    </bk>
    <bk>
      <extLst>
        <ext uri="{3e2802c4-a4d2-4d8b-9148-e3be6c30e623}">
          <xlrd:rvb i="6146"/>
        </ext>
      </extLst>
    </bk>
    <bk>
      <extLst>
        <ext uri="{3e2802c4-a4d2-4d8b-9148-e3be6c30e623}">
          <xlrd:rvb i="6147"/>
        </ext>
      </extLst>
    </bk>
    <bk>
      <extLst>
        <ext uri="{3e2802c4-a4d2-4d8b-9148-e3be6c30e623}">
          <xlrd:rvb i="6148"/>
        </ext>
      </extLst>
    </bk>
    <bk>
      <extLst>
        <ext uri="{3e2802c4-a4d2-4d8b-9148-e3be6c30e623}">
          <xlrd:rvb i="6149"/>
        </ext>
      </extLst>
    </bk>
    <bk>
      <extLst>
        <ext uri="{3e2802c4-a4d2-4d8b-9148-e3be6c30e623}">
          <xlrd:rvb i="6150"/>
        </ext>
      </extLst>
    </bk>
    <bk>
      <extLst>
        <ext uri="{3e2802c4-a4d2-4d8b-9148-e3be6c30e623}">
          <xlrd:rvb i="6151"/>
        </ext>
      </extLst>
    </bk>
    <bk>
      <extLst>
        <ext uri="{3e2802c4-a4d2-4d8b-9148-e3be6c30e623}">
          <xlrd:rvb i="6152"/>
        </ext>
      </extLst>
    </bk>
    <bk>
      <extLst>
        <ext uri="{3e2802c4-a4d2-4d8b-9148-e3be6c30e623}">
          <xlrd:rvb i="6153"/>
        </ext>
      </extLst>
    </bk>
    <bk>
      <extLst>
        <ext uri="{3e2802c4-a4d2-4d8b-9148-e3be6c30e623}">
          <xlrd:rvb i="6154"/>
        </ext>
      </extLst>
    </bk>
    <bk>
      <extLst>
        <ext uri="{3e2802c4-a4d2-4d8b-9148-e3be6c30e623}">
          <xlrd:rvb i="6155"/>
        </ext>
      </extLst>
    </bk>
    <bk>
      <extLst>
        <ext uri="{3e2802c4-a4d2-4d8b-9148-e3be6c30e623}">
          <xlrd:rvb i="6156"/>
        </ext>
      </extLst>
    </bk>
    <bk>
      <extLst>
        <ext uri="{3e2802c4-a4d2-4d8b-9148-e3be6c30e623}">
          <xlrd:rvb i="6157"/>
        </ext>
      </extLst>
    </bk>
    <bk>
      <extLst>
        <ext uri="{3e2802c4-a4d2-4d8b-9148-e3be6c30e623}">
          <xlrd:rvb i="6158"/>
        </ext>
      </extLst>
    </bk>
    <bk>
      <extLst>
        <ext uri="{3e2802c4-a4d2-4d8b-9148-e3be6c30e623}">
          <xlrd:rvb i="6159"/>
        </ext>
      </extLst>
    </bk>
    <bk>
      <extLst>
        <ext uri="{3e2802c4-a4d2-4d8b-9148-e3be6c30e623}">
          <xlrd:rvb i="6160"/>
        </ext>
      </extLst>
    </bk>
    <bk>
      <extLst>
        <ext uri="{3e2802c4-a4d2-4d8b-9148-e3be6c30e623}">
          <xlrd:rvb i="6161"/>
        </ext>
      </extLst>
    </bk>
    <bk>
      <extLst>
        <ext uri="{3e2802c4-a4d2-4d8b-9148-e3be6c30e623}">
          <xlrd:rvb i="6162"/>
        </ext>
      </extLst>
    </bk>
    <bk>
      <extLst>
        <ext uri="{3e2802c4-a4d2-4d8b-9148-e3be6c30e623}">
          <xlrd:rvb i="6163"/>
        </ext>
      </extLst>
    </bk>
    <bk>
      <extLst>
        <ext uri="{3e2802c4-a4d2-4d8b-9148-e3be6c30e623}">
          <xlrd:rvb i="6164"/>
        </ext>
      </extLst>
    </bk>
    <bk>
      <extLst>
        <ext uri="{3e2802c4-a4d2-4d8b-9148-e3be6c30e623}">
          <xlrd:rvb i="6165"/>
        </ext>
      </extLst>
    </bk>
    <bk>
      <extLst>
        <ext uri="{3e2802c4-a4d2-4d8b-9148-e3be6c30e623}">
          <xlrd:rvb i="6166"/>
        </ext>
      </extLst>
    </bk>
    <bk>
      <extLst>
        <ext uri="{3e2802c4-a4d2-4d8b-9148-e3be6c30e623}">
          <xlrd:rvb i="6167"/>
        </ext>
      </extLst>
    </bk>
    <bk>
      <extLst>
        <ext uri="{3e2802c4-a4d2-4d8b-9148-e3be6c30e623}">
          <xlrd:rvb i="6168"/>
        </ext>
      </extLst>
    </bk>
    <bk>
      <extLst>
        <ext uri="{3e2802c4-a4d2-4d8b-9148-e3be6c30e623}">
          <xlrd:rvb i="6169"/>
        </ext>
      </extLst>
    </bk>
    <bk>
      <extLst>
        <ext uri="{3e2802c4-a4d2-4d8b-9148-e3be6c30e623}">
          <xlrd:rvb i="6170"/>
        </ext>
      </extLst>
    </bk>
    <bk>
      <extLst>
        <ext uri="{3e2802c4-a4d2-4d8b-9148-e3be6c30e623}">
          <xlrd:rvb i="6171"/>
        </ext>
      </extLst>
    </bk>
    <bk>
      <extLst>
        <ext uri="{3e2802c4-a4d2-4d8b-9148-e3be6c30e623}">
          <xlrd:rvb i="6172"/>
        </ext>
      </extLst>
    </bk>
    <bk>
      <extLst>
        <ext uri="{3e2802c4-a4d2-4d8b-9148-e3be6c30e623}">
          <xlrd:rvb i="6173"/>
        </ext>
      </extLst>
    </bk>
    <bk>
      <extLst>
        <ext uri="{3e2802c4-a4d2-4d8b-9148-e3be6c30e623}">
          <xlrd:rvb i="6174"/>
        </ext>
      </extLst>
    </bk>
    <bk>
      <extLst>
        <ext uri="{3e2802c4-a4d2-4d8b-9148-e3be6c30e623}">
          <xlrd:rvb i="6175"/>
        </ext>
      </extLst>
    </bk>
    <bk>
      <extLst>
        <ext uri="{3e2802c4-a4d2-4d8b-9148-e3be6c30e623}">
          <xlrd:rvb i="6176"/>
        </ext>
      </extLst>
    </bk>
    <bk>
      <extLst>
        <ext uri="{3e2802c4-a4d2-4d8b-9148-e3be6c30e623}">
          <xlrd:rvb i="6177"/>
        </ext>
      </extLst>
    </bk>
    <bk>
      <extLst>
        <ext uri="{3e2802c4-a4d2-4d8b-9148-e3be6c30e623}">
          <xlrd:rvb i="6178"/>
        </ext>
      </extLst>
    </bk>
    <bk>
      <extLst>
        <ext uri="{3e2802c4-a4d2-4d8b-9148-e3be6c30e623}">
          <xlrd:rvb i="6179"/>
        </ext>
      </extLst>
    </bk>
    <bk>
      <extLst>
        <ext uri="{3e2802c4-a4d2-4d8b-9148-e3be6c30e623}">
          <xlrd:rvb i="6180"/>
        </ext>
      </extLst>
    </bk>
    <bk>
      <extLst>
        <ext uri="{3e2802c4-a4d2-4d8b-9148-e3be6c30e623}">
          <xlrd:rvb i="6181"/>
        </ext>
      </extLst>
    </bk>
    <bk>
      <extLst>
        <ext uri="{3e2802c4-a4d2-4d8b-9148-e3be6c30e623}">
          <xlrd:rvb i="6182"/>
        </ext>
      </extLst>
    </bk>
    <bk>
      <extLst>
        <ext uri="{3e2802c4-a4d2-4d8b-9148-e3be6c30e623}">
          <xlrd:rvb i="6183"/>
        </ext>
      </extLst>
    </bk>
    <bk>
      <extLst>
        <ext uri="{3e2802c4-a4d2-4d8b-9148-e3be6c30e623}">
          <xlrd:rvb i="6184"/>
        </ext>
      </extLst>
    </bk>
    <bk>
      <extLst>
        <ext uri="{3e2802c4-a4d2-4d8b-9148-e3be6c30e623}">
          <xlrd:rvb i="6185"/>
        </ext>
      </extLst>
    </bk>
    <bk>
      <extLst>
        <ext uri="{3e2802c4-a4d2-4d8b-9148-e3be6c30e623}">
          <xlrd:rvb i="6186"/>
        </ext>
      </extLst>
    </bk>
    <bk>
      <extLst>
        <ext uri="{3e2802c4-a4d2-4d8b-9148-e3be6c30e623}">
          <xlrd:rvb i="6187"/>
        </ext>
      </extLst>
    </bk>
    <bk>
      <extLst>
        <ext uri="{3e2802c4-a4d2-4d8b-9148-e3be6c30e623}">
          <xlrd:rvb i="6188"/>
        </ext>
      </extLst>
    </bk>
    <bk>
      <extLst>
        <ext uri="{3e2802c4-a4d2-4d8b-9148-e3be6c30e623}">
          <xlrd:rvb i="6189"/>
        </ext>
      </extLst>
    </bk>
    <bk>
      <extLst>
        <ext uri="{3e2802c4-a4d2-4d8b-9148-e3be6c30e623}">
          <xlrd:rvb i="6190"/>
        </ext>
      </extLst>
    </bk>
    <bk>
      <extLst>
        <ext uri="{3e2802c4-a4d2-4d8b-9148-e3be6c30e623}">
          <xlrd:rvb i="6191"/>
        </ext>
      </extLst>
    </bk>
    <bk>
      <extLst>
        <ext uri="{3e2802c4-a4d2-4d8b-9148-e3be6c30e623}">
          <xlrd:rvb i="6192"/>
        </ext>
      </extLst>
    </bk>
    <bk>
      <extLst>
        <ext uri="{3e2802c4-a4d2-4d8b-9148-e3be6c30e623}">
          <xlrd:rvb i="6193"/>
        </ext>
      </extLst>
    </bk>
    <bk>
      <extLst>
        <ext uri="{3e2802c4-a4d2-4d8b-9148-e3be6c30e623}">
          <xlrd:rvb i="6194"/>
        </ext>
      </extLst>
    </bk>
    <bk>
      <extLst>
        <ext uri="{3e2802c4-a4d2-4d8b-9148-e3be6c30e623}">
          <xlrd:rvb i="6195"/>
        </ext>
      </extLst>
    </bk>
    <bk>
      <extLst>
        <ext uri="{3e2802c4-a4d2-4d8b-9148-e3be6c30e623}">
          <xlrd:rvb i="6196"/>
        </ext>
      </extLst>
    </bk>
    <bk>
      <extLst>
        <ext uri="{3e2802c4-a4d2-4d8b-9148-e3be6c30e623}">
          <xlrd:rvb i="6197"/>
        </ext>
      </extLst>
    </bk>
    <bk>
      <extLst>
        <ext uri="{3e2802c4-a4d2-4d8b-9148-e3be6c30e623}">
          <xlrd:rvb i="6198"/>
        </ext>
      </extLst>
    </bk>
    <bk>
      <extLst>
        <ext uri="{3e2802c4-a4d2-4d8b-9148-e3be6c30e623}">
          <xlrd:rvb i="6199"/>
        </ext>
      </extLst>
    </bk>
    <bk>
      <extLst>
        <ext uri="{3e2802c4-a4d2-4d8b-9148-e3be6c30e623}">
          <xlrd:rvb i="6200"/>
        </ext>
      </extLst>
    </bk>
    <bk>
      <extLst>
        <ext uri="{3e2802c4-a4d2-4d8b-9148-e3be6c30e623}">
          <xlrd:rvb i="6201"/>
        </ext>
      </extLst>
    </bk>
    <bk>
      <extLst>
        <ext uri="{3e2802c4-a4d2-4d8b-9148-e3be6c30e623}">
          <xlrd:rvb i="6202"/>
        </ext>
      </extLst>
    </bk>
    <bk>
      <extLst>
        <ext uri="{3e2802c4-a4d2-4d8b-9148-e3be6c30e623}">
          <xlrd:rvb i="6203"/>
        </ext>
      </extLst>
    </bk>
    <bk>
      <extLst>
        <ext uri="{3e2802c4-a4d2-4d8b-9148-e3be6c30e623}">
          <xlrd:rvb i="6204"/>
        </ext>
      </extLst>
    </bk>
    <bk>
      <extLst>
        <ext uri="{3e2802c4-a4d2-4d8b-9148-e3be6c30e623}">
          <xlrd:rvb i="6205"/>
        </ext>
      </extLst>
    </bk>
    <bk>
      <extLst>
        <ext uri="{3e2802c4-a4d2-4d8b-9148-e3be6c30e623}">
          <xlrd:rvb i="6206"/>
        </ext>
      </extLst>
    </bk>
    <bk>
      <extLst>
        <ext uri="{3e2802c4-a4d2-4d8b-9148-e3be6c30e623}">
          <xlrd:rvb i="6207"/>
        </ext>
      </extLst>
    </bk>
    <bk>
      <extLst>
        <ext uri="{3e2802c4-a4d2-4d8b-9148-e3be6c30e623}">
          <xlrd:rvb i="6208"/>
        </ext>
      </extLst>
    </bk>
    <bk>
      <extLst>
        <ext uri="{3e2802c4-a4d2-4d8b-9148-e3be6c30e623}">
          <xlrd:rvb i="6209"/>
        </ext>
      </extLst>
    </bk>
    <bk>
      <extLst>
        <ext uri="{3e2802c4-a4d2-4d8b-9148-e3be6c30e623}">
          <xlrd:rvb i="6210"/>
        </ext>
      </extLst>
    </bk>
    <bk>
      <extLst>
        <ext uri="{3e2802c4-a4d2-4d8b-9148-e3be6c30e623}">
          <xlrd:rvb i="6211"/>
        </ext>
      </extLst>
    </bk>
    <bk>
      <extLst>
        <ext uri="{3e2802c4-a4d2-4d8b-9148-e3be6c30e623}">
          <xlrd:rvb i="6212"/>
        </ext>
      </extLst>
    </bk>
    <bk>
      <extLst>
        <ext uri="{3e2802c4-a4d2-4d8b-9148-e3be6c30e623}">
          <xlrd:rvb i="6213"/>
        </ext>
      </extLst>
    </bk>
    <bk>
      <extLst>
        <ext uri="{3e2802c4-a4d2-4d8b-9148-e3be6c30e623}">
          <xlrd:rvb i="6214"/>
        </ext>
      </extLst>
    </bk>
    <bk>
      <extLst>
        <ext uri="{3e2802c4-a4d2-4d8b-9148-e3be6c30e623}">
          <xlrd:rvb i="6215"/>
        </ext>
      </extLst>
    </bk>
    <bk>
      <extLst>
        <ext uri="{3e2802c4-a4d2-4d8b-9148-e3be6c30e623}">
          <xlrd:rvb i="6216"/>
        </ext>
      </extLst>
    </bk>
    <bk>
      <extLst>
        <ext uri="{3e2802c4-a4d2-4d8b-9148-e3be6c30e623}">
          <xlrd:rvb i="6217"/>
        </ext>
      </extLst>
    </bk>
    <bk>
      <extLst>
        <ext uri="{3e2802c4-a4d2-4d8b-9148-e3be6c30e623}">
          <xlrd:rvb i="6218"/>
        </ext>
      </extLst>
    </bk>
    <bk>
      <extLst>
        <ext uri="{3e2802c4-a4d2-4d8b-9148-e3be6c30e623}">
          <xlrd:rvb i="6219"/>
        </ext>
      </extLst>
    </bk>
    <bk>
      <extLst>
        <ext uri="{3e2802c4-a4d2-4d8b-9148-e3be6c30e623}">
          <xlrd:rvb i="6220"/>
        </ext>
      </extLst>
    </bk>
    <bk>
      <extLst>
        <ext uri="{3e2802c4-a4d2-4d8b-9148-e3be6c30e623}">
          <xlrd:rvb i="6221"/>
        </ext>
      </extLst>
    </bk>
    <bk>
      <extLst>
        <ext uri="{3e2802c4-a4d2-4d8b-9148-e3be6c30e623}">
          <xlrd:rvb i="6222"/>
        </ext>
      </extLst>
    </bk>
    <bk>
      <extLst>
        <ext uri="{3e2802c4-a4d2-4d8b-9148-e3be6c30e623}">
          <xlrd:rvb i="6223"/>
        </ext>
      </extLst>
    </bk>
    <bk>
      <extLst>
        <ext uri="{3e2802c4-a4d2-4d8b-9148-e3be6c30e623}">
          <xlrd:rvb i="6224"/>
        </ext>
      </extLst>
    </bk>
    <bk>
      <extLst>
        <ext uri="{3e2802c4-a4d2-4d8b-9148-e3be6c30e623}">
          <xlrd:rvb i="6225"/>
        </ext>
      </extLst>
    </bk>
    <bk>
      <extLst>
        <ext uri="{3e2802c4-a4d2-4d8b-9148-e3be6c30e623}">
          <xlrd:rvb i="6226"/>
        </ext>
      </extLst>
    </bk>
    <bk>
      <extLst>
        <ext uri="{3e2802c4-a4d2-4d8b-9148-e3be6c30e623}">
          <xlrd:rvb i="6227"/>
        </ext>
      </extLst>
    </bk>
    <bk>
      <extLst>
        <ext uri="{3e2802c4-a4d2-4d8b-9148-e3be6c30e623}">
          <xlrd:rvb i="6228"/>
        </ext>
      </extLst>
    </bk>
    <bk>
      <extLst>
        <ext uri="{3e2802c4-a4d2-4d8b-9148-e3be6c30e623}">
          <xlrd:rvb i="6229"/>
        </ext>
      </extLst>
    </bk>
    <bk>
      <extLst>
        <ext uri="{3e2802c4-a4d2-4d8b-9148-e3be6c30e623}">
          <xlrd:rvb i="6230"/>
        </ext>
      </extLst>
    </bk>
    <bk>
      <extLst>
        <ext uri="{3e2802c4-a4d2-4d8b-9148-e3be6c30e623}">
          <xlrd:rvb i="6231"/>
        </ext>
      </extLst>
    </bk>
    <bk>
      <extLst>
        <ext uri="{3e2802c4-a4d2-4d8b-9148-e3be6c30e623}">
          <xlrd:rvb i="6232"/>
        </ext>
      </extLst>
    </bk>
    <bk>
      <extLst>
        <ext uri="{3e2802c4-a4d2-4d8b-9148-e3be6c30e623}">
          <xlrd:rvb i="6233"/>
        </ext>
      </extLst>
    </bk>
    <bk>
      <extLst>
        <ext uri="{3e2802c4-a4d2-4d8b-9148-e3be6c30e623}">
          <xlrd:rvb i="6234"/>
        </ext>
      </extLst>
    </bk>
    <bk>
      <extLst>
        <ext uri="{3e2802c4-a4d2-4d8b-9148-e3be6c30e623}">
          <xlrd:rvb i="6235"/>
        </ext>
      </extLst>
    </bk>
    <bk>
      <extLst>
        <ext uri="{3e2802c4-a4d2-4d8b-9148-e3be6c30e623}">
          <xlrd:rvb i="6236"/>
        </ext>
      </extLst>
    </bk>
    <bk>
      <extLst>
        <ext uri="{3e2802c4-a4d2-4d8b-9148-e3be6c30e623}">
          <xlrd:rvb i="6237"/>
        </ext>
      </extLst>
    </bk>
    <bk>
      <extLst>
        <ext uri="{3e2802c4-a4d2-4d8b-9148-e3be6c30e623}">
          <xlrd:rvb i="6238"/>
        </ext>
      </extLst>
    </bk>
    <bk>
      <extLst>
        <ext uri="{3e2802c4-a4d2-4d8b-9148-e3be6c30e623}">
          <xlrd:rvb i="6239"/>
        </ext>
      </extLst>
    </bk>
    <bk>
      <extLst>
        <ext uri="{3e2802c4-a4d2-4d8b-9148-e3be6c30e623}">
          <xlrd:rvb i="6240"/>
        </ext>
      </extLst>
    </bk>
    <bk>
      <extLst>
        <ext uri="{3e2802c4-a4d2-4d8b-9148-e3be6c30e623}">
          <xlrd:rvb i="6241"/>
        </ext>
      </extLst>
    </bk>
    <bk>
      <extLst>
        <ext uri="{3e2802c4-a4d2-4d8b-9148-e3be6c30e623}">
          <xlrd:rvb i="6242"/>
        </ext>
      </extLst>
    </bk>
    <bk>
      <extLst>
        <ext uri="{3e2802c4-a4d2-4d8b-9148-e3be6c30e623}">
          <xlrd:rvb i="6243"/>
        </ext>
      </extLst>
    </bk>
    <bk>
      <extLst>
        <ext uri="{3e2802c4-a4d2-4d8b-9148-e3be6c30e623}">
          <xlrd:rvb i="6244"/>
        </ext>
      </extLst>
    </bk>
    <bk>
      <extLst>
        <ext uri="{3e2802c4-a4d2-4d8b-9148-e3be6c30e623}">
          <xlrd:rvb i="6245"/>
        </ext>
      </extLst>
    </bk>
    <bk>
      <extLst>
        <ext uri="{3e2802c4-a4d2-4d8b-9148-e3be6c30e623}">
          <xlrd:rvb i="6246"/>
        </ext>
      </extLst>
    </bk>
    <bk>
      <extLst>
        <ext uri="{3e2802c4-a4d2-4d8b-9148-e3be6c30e623}">
          <xlrd:rvb i="6247"/>
        </ext>
      </extLst>
    </bk>
    <bk>
      <extLst>
        <ext uri="{3e2802c4-a4d2-4d8b-9148-e3be6c30e623}">
          <xlrd:rvb i="6248"/>
        </ext>
      </extLst>
    </bk>
    <bk>
      <extLst>
        <ext uri="{3e2802c4-a4d2-4d8b-9148-e3be6c30e623}">
          <xlrd:rvb i="6249"/>
        </ext>
      </extLst>
    </bk>
    <bk>
      <extLst>
        <ext uri="{3e2802c4-a4d2-4d8b-9148-e3be6c30e623}">
          <xlrd:rvb i="6250"/>
        </ext>
      </extLst>
    </bk>
    <bk>
      <extLst>
        <ext uri="{3e2802c4-a4d2-4d8b-9148-e3be6c30e623}">
          <xlrd:rvb i="6251"/>
        </ext>
      </extLst>
    </bk>
    <bk>
      <extLst>
        <ext uri="{3e2802c4-a4d2-4d8b-9148-e3be6c30e623}">
          <xlrd:rvb i="6252"/>
        </ext>
      </extLst>
    </bk>
    <bk>
      <extLst>
        <ext uri="{3e2802c4-a4d2-4d8b-9148-e3be6c30e623}">
          <xlrd:rvb i="6253"/>
        </ext>
      </extLst>
    </bk>
    <bk>
      <extLst>
        <ext uri="{3e2802c4-a4d2-4d8b-9148-e3be6c30e623}">
          <xlrd:rvb i="6254"/>
        </ext>
      </extLst>
    </bk>
    <bk>
      <extLst>
        <ext uri="{3e2802c4-a4d2-4d8b-9148-e3be6c30e623}">
          <xlrd:rvb i="6255"/>
        </ext>
      </extLst>
    </bk>
    <bk>
      <extLst>
        <ext uri="{3e2802c4-a4d2-4d8b-9148-e3be6c30e623}">
          <xlrd:rvb i="6256"/>
        </ext>
      </extLst>
    </bk>
    <bk>
      <extLst>
        <ext uri="{3e2802c4-a4d2-4d8b-9148-e3be6c30e623}">
          <xlrd:rvb i="6257"/>
        </ext>
      </extLst>
    </bk>
    <bk>
      <extLst>
        <ext uri="{3e2802c4-a4d2-4d8b-9148-e3be6c30e623}">
          <xlrd:rvb i="6258"/>
        </ext>
      </extLst>
    </bk>
    <bk>
      <extLst>
        <ext uri="{3e2802c4-a4d2-4d8b-9148-e3be6c30e623}">
          <xlrd:rvb i="6259"/>
        </ext>
      </extLst>
    </bk>
    <bk>
      <extLst>
        <ext uri="{3e2802c4-a4d2-4d8b-9148-e3be6c30e623}">
          <xlrd:rvb i="6260"/>
        </ext>
      </extLst>
    </bk>
    <bk>
      <extLst>
        <ext uri="{3e2802c4-a4d2-4d8b-9148-e3be6c30e623}">
          <xlrd:rvb i="6261"/>
        </ext>
      </extLst>
    </bk>
    <bk>
      <extLst>
        <ext uri="{3e2802c4-a4d2-4d8b-9148-e3be6c30e623}">
          <xlrd:rvb i="6262"/>
        </ext>
      </extLst>
    </bk>
    <bk>
      <extLst>
        <ext uri="{3e2802c4-a4d2-4d8b-9148-e3be6c30e623}">
          <xlrd:rvb i="6263"/>
        </ext>
      </extLst>
    </bk>
    <bk>
      <extLst>
        <ext uri="{3e2802c4-a4d2-4d8b-9148-e3be6c30e623}">
          <xlrd:rvb i="6264"/>
        </ext>
      </extLst>
    </bk>
    <bk>
      <extLst>
        <ext uri="{3e2802c4-a4d2-4d8b-9148-e3be6c30e623}">
          <xlrd:rvb i="6265"/>
        </ext>
      </extLst>
    </bk>
    <bk>
      <extLst>
        <ext uri="{3e2802c4-a4d2-4d8b-9148-e3be6c30e623}">
          <xlrd:rvb i="6266"/>
        </ext>
      </extLst>
    </bk>
    <bk>
      <extLst>
        <ext uri="{3e2802c4-a4d2-4d8b-9148-e3be6c30e623}">
          <xlrd:rvb i="6267"/>
        </ext>
      </extLst>
    </bk>
    <bk>
      <extLst>
        <ext uri="{3e2802c4-a4d2-4d8b-9148-e3be6c30e623}">
          <xlrd:rvb i="6268"/>
        </ext>
      </extLst>
    </bk>
    <bk>
      <extLst>
        <ext uri="{3e2802c4-a4d2-4d8b-9148-e3be6c30e623}">
          <xlrd:rvb i="6269"/>
        </ext>
      </extLst>
    </bk>
    <bk>
      <extLst>
        <ext uri="{3e2802c4-a4d2-4d8b-9148-e3be6c30e623}">
          <xlrd:rvb i="6270"/>
        </ext>
      </extLst>
    </bk>
    <bk>
      <extLst>
        <ext uri="{3e2802c4-a4d2-4d8b-9148-e3be6c30e623}">
          <xlrd:rvb i="6271"/>
        </ext>
      </extLst>
    </bk>
    <bk>
      <extLst>
        <ext uri="{3e2802c4-a4d2-4d8b-9148-e3be6c30e623}">
          <xlrd:rvb i="6272"/>
        </ext>
      </extLst>
    </bk>
    <bk>
      <extLst>
        <ext uri="{3e2802c4-a4d2-4d8b-9148-e3be6c30e623}">
          <xlrd:rvb i="6273"/>
        </ext>
      </extLst>
    </bk>
    <bk>
      <extLst>
        <ext uri="{3e2802c4-a4d2-4d8b-9148-e3be6c30e623}">
          <xlrd:rvb i="6274"/>
        </ext>
      </extLst>
    </bk>
    <bk>
      <extLst>
        <ext uri="{3e2802c4-a4d2-4d8b-9148-e3be6c30e623}">
          <xlrd:rvb i="6275"/>
        </ext>
      </extLst>
    </bk>
    <bk>
      <extLst>
        <ext uri="{3e2802c4-a4d2-4d8b-9148-e3be6c30e623}">
          <xlrd:rvb i="6276"/>
        </ext>
      </extLst>
    </bk>
    <bk>
      <extLst>
        <ext uri="{3e2802c4-a4d2-4d8b-9148-e3be6c30e623}">
          <xlrd:rvb i="6277"/>
        </ext>
      </extLst>
    </bk>
    <bk>
      <extLst>
        <ext uri="{3e2802c4-a4d2-4d8b-9148-e3be6c30e623}">
          <xlrd:rvb i="6278"/>
        </ext>
      </extLst>
    </bk>
    <bk>
      <extLst>
        <ext uri="{3e2802c4-a4d2-4d8b-9148-e3be6c30e623}">
          <xlrd:rvb i="6279"/>
        </ext>
      </extLst>
    </bk>
    <bk>
      <extLst>
        <ext uri="{3e2802c4-a4d2-4d8b-9148-e3be6c30e623}">
          <xlrd:rvb i="6280"/>
        </ext>
      </extLst>
    </bk>
    <bk>
      <extLst>
        <ext uri="{3e2802c4-a4d2-4d8b-9148-e3be6c30e623}">
          <xlrd:rvb i="6281"/>
        </ext>
      </extLst>
    </bk>
    <bk>
      <extLst>
        <ext uri="{3e2802c4-a4d2-4d8b-9148-e3be6c30e623}">
          <xlrd:rvb i="6282"/>
        </ext>
      </extLst>
    </bk>
    <bk>
      <extLst>
        <ext uri="{3e2802c4-a4d2-4d8b-9148-e3be6c30e623}">
          <xlrd:rvb i="6283"/>
        </ext>
      </extLst>
    </bk>
    <bk>
      <extLst>
        <ext uri="{3e2802c4-a4d2-4d8b-9148-e3be6c30e623}">
          <xlrd:rvb i="6284"/>
        </ext>
      </extLst>
    </bk>
    <bk>
      <extLst>
        <ext uri="{3e2802c4-a4d2-4d8b-9148-e3be6c30e623}">
          <xlrd:rvb i="6285"/>
        </ext>
      </extLst>
    </bk>
    <bk>
      <extLst>
        <ext uri="{3e2802c4-a4d2-4d8b-9148-e3be6c30e623}">
          <xlrd:rvb i="6286"/>
        </ext>
      </extLst>
    </bk>
    <bk>
      <extLst>
        <ext uri="{3e2802c4-a4d2-4d8b-9148-e3be6c30e623}">
          <xlrd:rvb i="6287"/>
        </ext>
      </extLst>
    </bk>
    <bk>
      <extLst>
        <ext uri="{3e2802c4-a4d2-4d8b-9148-e3be6c30e623}">
          <xlrd:rvb i="6288"/>
        </ext>
      </extLst>
    </bk>
    <bk>
      <extLst>
        <ext uri="{3e2802c4-a4d2-4d8b-9148-e3be6c30e623}">
          <xlrd:rvb i="6289"/>
        </ext>
      </extLst>
    </bk>
    <bk>
      <extLst>
        <ext uri="{3e2802c4-a4d2-4d8b-9148-e3be6c30e623}">
          <xlrd:rvb i="6290"/>
        </ext>
      </extLst>
    </bk>
    <bk>
      <extLst>
        <ext uri="{3e2802c4-a4d2-4d8b-9148-e3be6c30e623}">
          <xlrd:rvb i="6291"/>
        </ext>
      </extLst>
    </bk>
    <bk>
      <extLst>
        <ext uri="{3e2802c4-a4d2-4d8b-9148-e3be6c30e623}">
          <xlrd:rvb i="6292"/>
        </ext>
      </extLst>
    </bk>
    <bk>
      <extLst>
        <ext uri="{3e2802c4-a4d2-4d8b-9148-e3be6c30e623}">
          <xlrd:rvb i="6293"/>
        </ext>
      </extLst>
    </bk>
    <bk>
      <extLst>
        <ext uri="{3e2802c4-a4d2-4d8b-9148-e3be6c30e623}">
          <xlrd:rvb i="6294"/>
        </ext>
      </extLst>
    </bk>
    <bk>
      <extLst>
        <ext uri="{3e2802c4-a4d2-4d8b-9148-e3be6c30e623}">
          <xlrd:rvb i="6295"/>
        </ext>
      </extLst>
    </bk>
    <bk>
      <extLst>
        <ext uri="{3e2802c4-a4d2-4d8b-9148-e3be6c30e623}">
          <xlrd:rvb i="6296"/>
        </ext>
      </extLst>
    </bk>
    <bk>
      <extLst>
        <ext uri="{3e2802c4-a4d2-4d8b-9148-e3be6c30e623}">
          <xlrd:rvb i="6297"/>
        </ext>
      </extLst>
    </bk>
    <bk>
      <extLst>
        <ext uri="{3e2802c4-a4d2-4d8b-9148-e3be6c30e623}">
          <xlrd:rvb i="6298"/>
        </ext>
      </extLst>
    </bk>
    <bk>
      <extLst>
        <ext uri="{3e2802c4-a4d2-4d8b-9148-e3be6c30e623}">
          <xlrd:rvb i="6299"/>
        </ext>
      </extLst>
    </bk>
    <bk>
      <extLst>
        <ext uri="{3e2802c4-a4d2-4d8b-9148-e3be6c30e623}">
          <xlrd:rvb i="6300"/>
        </ext>
      </extLst>
    </bk>
    <bk>
      <extLst>
        <ext uri="{3e2802c4-a4d2-4d8b-9148-e3be6c30e623}">
          <xlrd:rvb i="6301"/>
        </ext>
      </extLst>
    </bk>
    <bk>
      <extLst>
        <ext uri="{3e2802c4-a4d2-4d8b-9148-e3be6c30e623}">
          <xlrd:rvb i="6302"/>
        </ext>
      </extLst>
    </bk>
    <bk>
      <extLst>
        <ext uri="{3e2802c4-a4d2-4d8b-9148-e3be6c30e623}">
          <xlrd:rvb i="6303"/>
        </ext>
      </extLst>
    </bk>
    <bk>
      <extLst>
        <ext uri="{3e2802c4-a4d2-4d8b-9148-e3be6c30e623}">
          <xlrd:rvb i="6304"/>
        </ext>
      </extLst>
    </bk>
    <bk>
      <extLst>
        <ext uri="{3e2802c4-a4d2-4d8b-9148-e3be6c30e623}">
          <xlrd:rvb i="6305"/>
        </ext>
      </extLst>
    </bk>
    <bk>
      <extLst>
        <ext uri="{3e2802c4-a4d2-4d8b-9148-e3be6c30e623}">
          <xlrd:rvb i="6306"/>
        </ext>
      </extLst>
    </bk>
    <bk>
      <extLst>
        <ext uri="{3e2802c4-a4d2-4d8b-9148-e3be6c30e623}">
          <xlrd:rvb i="6307"/>
        </ext>
      </extLst>
    </bk>
    <bk>
      <extLst>
        <ext uri="{3e2802c4-a4d2-4d8b-9148-e3be6c30e623}">
          <xlrd:rvb i="6308"/>
        </ext>
      </extLst>
    </bk>
    <bk>
      <extLst>
        <ext uri="{3e2802c4-a4d2-4d8b-9148-e3be6c30e623}">
          <xlrd:rvb i="6309"/>
        </ext>
      </extLst>
    </bk>
    <bk>
      <extLst>
        <ext uri="{3e2802c4-a4d2-4d8b-9148-e3be6c30e623}">
          <xlrd:rvb i="6310"/>
        </ext>
      </extLst>
    </bk>
    <bk>
      <extLst>
        <ext uri="{3e2802c4-a4d2-4d8b-9148-e3be6c30e623}">
          <xlrd:rvb i="6311"/>
        </ext>
      </extLst>
    </bk>
    <bk>
      <extLst>
        <ext uri="{3e2802c4-a4d2-4d8b-9148-e3be6c30e623}">
          <xlrd:rvb i="6312"/>
        </ext>
      </extLst>
    </bk>
    <bk>
      <extLst>
        <ext uri="{3e2802c4-a4d2-4d8b-9148-e3be6c30e623}">
          <xlrd:rvb i="6313"/>
        </ext>
      </extLst>
    </bk>
    <bk>
      <extLst>
        <ext uri="{3e2802c4-a4d2-4d8b-9148-e3be6c30e623}">
          <xlrd:rvb i="6314"/>
        </ext>
      </extLst>
    </bk>
    <bk>
      <extLst>
        <ext uri="{3e2802c4-a4d2-4d8b-9148-e3be6c30e623}">
          <xlrd:rvb i="6315"/>
        </ext>
      </extLst>
    </bk>
    <bk>
      <extLst>
        <ext uri="{3e2802c4-a4d2-4d8b-9148-e3be6c30e623}">
          <xlrd:rvb i="6316"/>
        </ext>
      </extLst>
    </bk>
    <bk>
      <extLst>
        <ext uri="{3e2802c4-a4d2-4d8b-9148-e3be6c30e623}">
          <xlrd:rvb i="6317"/>
        </ext>
      </extLst>
    </bk>
    <bk>
      <extLst>
        <ext uri="{3e2802c4-a4d2-4d8b-9148-e3be6c30e623}">
          <xlrd:rvb i="6318"/>
        </ext>
      </extLst>
    </bk>
    <bk>
      <extLst>
        <ext uri="{3e2802c4-a4d2-4d8b-9148-e3be6c30e623}">
          <xlrd:rvb i="6319"/>
        </ext>
      </extLst>
    </bk>
    <bk>
      <extLst>
        <ext uri="{3e2802c4-a4d2-4d8b-9148-e3be6c30e623}">
          <xlrd:rvb i="6320"/>
        </ext>
      </extLst>
    </bk>
    <bk>
      <extLst>
        <ext uri="{3e2802c4-a4d2-4d8b-9148-e3be6c30e623}">
          <xlrd:rvb i="6321"/>
        </ext>
      </extLst>
    </bk>
    <bk>
      <extLst>
        <ext uri="{3e2802c4-a4d2-4d8b-9148-e3be6c30e623}">
          <xlrd:rvb i="6322"/>
        </ext>
      </extLst>
    </bk>
    <bk>
      <extLst>
        <ext uri="{3e2802c4-a4d2-4d8b-9148-e3be6c30e623}">
          <xlrd:rvb i="6323"/>
        </ext>
      </extLst>
    </bk>
    <bk>
      <extLst>
        <ext uri="{3e2802c4-a4d2-4d8b-9148-e3be6c30e623}">
          <xlrd:rvb i="6324"/>
        </ext>
      </extLst>
    </bk>
    <bk>
      <extLst>
        <ext uri="{3e2802c4-a4d2-4d8b-9148-e3be6c30e623}">
          <xlrd:rvb i="6325"/>
        </ext>
      </extLst>
    </bk>
    <bk>
      <extLst>
        <ext uri="{3e2802c4-a4d2-4d8b-9148-e3be6c30e623}">
          <xlrd:rvb i="6326"/>
        </ext>
      </extLst>
    </bk>
    <bk>
      <extLst>
        <ext uri="{3e2802c4-a4d2-4d8b-9148-e3be6c30e623}">
          <xlrd:rvb i="6327"/>
        </ext>
      </extLst>
    </bk>
    <bk>
      <extLst>
        <ext uri="{3e2802c4-a4d2-4d8b-9148-e3be6c30e623}">
          <xlrd:rvb i="6328"/>
        </ext>
      </extLst>
    </bk>
    <bk>
      <extLst>
        <ext uri="{3e2802c4-a4d2-4d8b-9148-e3be6c30e623}">
          <xlrd:rvb i="6329"/>
        </ext>
      </extLst>
    </bk>
    <bk>
      <extLst>
        <ext uri="{3e2802c4-a4d2-4d8b-9148-e3be6c30e623}">
          <xlrd:rvb i="6330"/>
        </ext>
      </extLst>
    </bk>
    <bk>
      <extLst>
        <ext uri="{3e2802c4-a4d2-4d8b-9148-e3be6c30e623}">
          <xlrd:rvb i="6331"/>
        </ext>
      </extLst>
    </bk>
    <bk>
      <extLst>
        <ext uri="{3e2802c4-a4d2-4d8b-9148-e3be6c30e623}">
          <xlrd:rvb i="6332"/>
        </ext>
      </extLst>
    </bk>
    <bk>
      <extLst>
        <ext uri="{3e2802c4-a4d2-4d8b-9148-e3be6c30e623}">
          <xlrd:rvb i="6333"/>
        </ext>
      </extLst>
    </bk>
    <bk>
      <extLst>
        <ext uri="{3e2802c4-a4d2-4d8b-9148-e3be6c30e623}">
          <xlrd:rvb i="6334"/>
        </ext>
      </extLst>
    </bk>
    <bk>
      <extLst>
        <ext uri="{3e2802c4-a4d2-4d8b-9148-e3be6c30e623}">
          <xlrd:rvb i="6335"/>
        </ext>
      </extLst>
    </bk>
    <bk>
      <extLst>
        <ext uri="{3e2802c4-a4d2-4d8b-9148-e3be6c30e623}">
          <xlrd:rvb i="6336"/>
        </ext>
      </extLst>
    </bk>
    <bk>
      <extLst>
        <ext uri="{3e2802c4-a4d2-4d8b-9148-e3be6c30e623}">
          <xlrd:rvb i="6337"/>
        </ext>
      </extLst>
    </bk>
    <bk>
      <extLst>
        <ext uri="{3e2802c4-a4d2-4d8b-9148-e3be6c30e623}">
          <xlrd:rvb i="6338"/>
        </ext>
      </extLst>
    </bk>
    <bk>
      <extLst>
        <ext uri="{3e2802c4-a4d2-4d8b-9148-e3be6c30e623}">
          <xlrd:rvb i="6339"/>
        </ext>
      </extLst>
    </bk>
    <bk>
      <extLst>
        <ext uri="{3e2802c4-a4d2-4d8b-9148-e3be6c30e623}">
          <xlrd:rvb i="6340"/>
        </ext>
      </extLst>
    </bk>
    <bk>
      <extLst>
        <ext uri="{3e2802c4-a4d2-4d8b-9148-e3be6c30e623}">
          <xlrd:rvb i="6341"/>
        </ext>
      </extLst>
    </bk>
    <bk>
      <extLst>
        <ext uri="{3e2802c4-a4d2-4d8b-9148-e3be6c30e623}">
          <xlrd:rvb i="6342"/>
        </ext>
      </extLst>
    </bk>
    <bk>
      <extLst>
        <ext uri="{3e2802c4-a4d2-4d8b-9148-e3be6c30e623}">
          <xlrd:rvb i="6343"/>
        </ext>
      </extLst>
    </bk>
    <bk>
      <extLst>
        <ext uri="{3e2802c4-a4d2-4d8b-9148-e3be6c30e623}">
          <xlrd:rvb i="6344"/>
        </ext>
      </extLst>
    </bk>
    <bk>
      <extLst>
        <ext uri="{3e2802c4-a4d2-4d8b-9148-e3be6c30e623}">
          <xlrd:rvb i="6345"/>
        </ext>
      </extLst>
    </bk>
    <bk>
      <extLst>
        <ext uri="{3e2802c4-a4d2-4d8b-9148-e3be6c30e623}">
          <xlrd:rvb i="6346"/>
        </ext>
      </extLst>
    </bk>
    <bk>
      <extLst>
        <ext uri="{3e2802c4-a4d2-4d8b-9148-e3be6c30e623}">
          <xlrd:rvb i="6347"/>
        </ext>
      </extLst>
    </bk>
    <bk>
      <extLst>
        <ext uri="{3e2802c4-a4d2-4d8b-9148-e3be6c30e623}">
          <xlrd:rvb i="6348"/>
        </ext>
      </extLst>
    </bk>
    <bk>
      <extLst>
        <ext uri="{3e2802c4-a4d2-4d8b-9148-e3be6c30e623}">
          <xlrd:rvb i="6349"/>
        </ext>
      </extLst>
    </bk>
    <bk>
      <extLst>
        <ext uri="{3e2802c4-a4d2-4d8b-9148-e3be6c30e623}">
          <xlrd:rvb i="6350"/>
        </ext>
      </extLst>
    </bk>
    <bk>
      <extLst>
        <ext uri="{3e2802c4-a4d2-4d8b-9148-e3be6c30e623}">
          <xlrd:rvb i="6351"/>
        </ext>
      </extLst>
    </bk>
    <bk>
      <extLst>
        <ext uri="{3e2802c4-a4d2-4d8b-9148-e3be6c30e623}">
          <xlrd:rvb i="6352"/>
        </ext>
      </extLst>
    </bk>
    <bk>
      <extLst>
        <ext uri="{3e2802c4-a4d2-4d8b-9148-e3be6c30e623}">
          <xlrd:rvb i="6353"/>
        </ext>
      </extLst>
    </bk>
    <bk>
      <extLst>
        <ext uri="{3e2802c4-a4d2-4d8b-9148-e3be6c30e623}">
          <xlrd:rvb i="6354"/>
        </ext>
      </extLst>
    </bk>
    <bk>
      <extLst>
        <ext uri="{3e2802c4-a4d2-4d8b-9148-e3be6c30e623}">
          <xlrd:rvb i="6355"/>
        </ext>
      </extLst>
    </bk>
    <bk>
      <extLst>
        <ext uri="{3e2802c4-a4d2-4d8b-9148-e3be6c30e623}">
          <xlrd:rvb i="6356"/>
        </ext>
      </extLst>
    </bk>
    <bk>
      <extLst>
        <ext uri="{3e2802c4-a4d2-4d8b-9148-e3be6c30e623}">
          <xlrd:rvb i="6357"/>
        </ext>
      </extLst>
    </bk>
    <bk>
      <extLst>
        <ext uri="{3e2802c4-a4d2-4d8b-9148-e3be6c30e623}">
          <xlrd:rvb i="6358"/>
        </ext>
      </extLst>
    </bk>
    <bk>
      <extLst>
        <ext uri="{3e2802c4-a4d2-4d8b-9148-e3be6c30e623}">
          <xlrd:rvb i="6359"/>
        </ext>
      </extLst>
    </bk>
    <bk>
      <extLst>
        <ext uri="{3e2802c4-a4d2-4d8b-9148-e3be6c30e623}">
          <xlrd:rvb i="6360"/>
        </ext>
      </extLst>
    </bk>
    <bk>
      <extLst>
        <ext uri="{3e2802c4-a4d2-4d8b-9148-e3be6c30e623}">
          <xlrd:rvb i="6361"/>
        </ext>
      </extLst>
    </bk>
    <bk>
      <extLst>
        <ext uri="{3e2802c4-a4d2-4d8b-9148-e3be6c30e623}">
          <xlrd:rvb i="6362"/>
        </ext>
      </extLst>
    </bk>
    <bk>
      <extLst>
        <ext uri="{3e2802c4-a4d2-4d8b-9148-e3be6c30e623}">
          <xlrd:rvb i="6363"/>
        </ext>
      </extLst>
    </bk>
    <bk>
      <extLst>
        <ext uri="{3e2802c4-a4d2-4d8b-9148-e3be6c30e623}">
          <xlrd:rvb i="6364"/>
        </ext>
      </extLst>
    </bk>
    <bk>
      <extLst>
        <ext uri="{3e2802c4-a4d2-4d8b-9148-e3be6c30e623}">
          <xlrd:rvb i="6365"/>
        </ext>
      </extLst>
    </bk>
    <bk>
      <extLst>
        <ext uri="{3e2802c4-a4d2-4d8b-9148-e3be6c30e623}">
          <xlrd:rvb i="6366"/>
        </ext>
      </extLst>
    </bk>
    <bk>
      <extLst>
        <ext uri="{3e2802c4-a4d2-4d8b-9148-e3be6c30e623}">
          <xlrd:rvb i="6367"/>
        </ext>
      </extLst>
    </bk>
    <bk>
      <extLst>
        <ext uri="{3e2802c4-a4d2-4d8b-9148-e3be6c30e623}">
          <xlrd:rvb i="6368"/>
        </ext>
      </extLst>
    </bk>
    <bk>
      <extLst>
        <ext uri="{3e2802c4-a4d2-4d8b-9148-e3be6c30e623}">
          <xlrd:rvb i="6369"/>
        </ext>
      </extLst>
    </bk>
    <bk>
      <extLst>
        <ext uri="{3e2802c4-a4d2-4d8b-9148-e3be6c30e623}">
          <xlrd:rvb i="6370"/>
        </ext>
      </extLst>
    </bk>
    <bk>
      <extLst>
        <ext uri="{3e2802c4-a4d2-4d8b-9148-e3be6c30e623}">
          <xlrd:rvb i="6371"/>
        </ext>
      </extLst>
    </bk>
    <bk>
      <extLst>
        <ext uri="{3e2802c4-a4d2-4d8b-9148-e3be6c30e623}">
          <xlrd:rvb i="6372"/>
        </ext>
      </extLst>
    </bk>
    <bk>
      <extLst>
        <ext uri="{3e2802c4-a4d2-4d8b-9148-e3be6c30e623}">
          <xlrd:rvb i="6373"/>
        </ext>
      </extLst>
    </bk>
    <bk>
      <extLst>
        <ext uri="{3e2802c4-a4d2-4d8b-9148-e3be6c30e623}">
          <xlrd:rvb i="6374"/>
        </ext>
      </extLst>
    </bk>
    <bk>
      <extLst>
        <ext uri="{3e2802c4-a4d2-4d8b-9148-e3be6c30e623}">
          <xlrd:rvb i="6375"/>
        </ext>
      </extLst>
    </bk>
    <bk>
      <extLst>
        <ext uri="{3e2802c4-a4d2-4d8b-9148-e3be6c30e623}">
          <xlrd:rvb i="6376"/>
        </ext>
      </extLst>
    </bk>
    <bk>
      <extLst>
        <ext uri="{3e2802c4-a4d2-4d8b-9148-e3be6c30e623}">
          <xlrd:rvb i="6377"/>
        </ext>
      </extLst>
    </bk>
    <bk>
      <extLst>
        <ext uri="{3e2802c4-a4d2-4d8b-9148-e3be6c30e623}">
          <xlrd:rvb i="6378"/>
        </ext>
      </extLst>
    </bk>
    <bk>
      <extLst>
        <ext uri="{3e2802c4-a4d2-4d8b-9148-e3be6c30e623}">
          <xlrd:rvb i="6379"/>
        </ext>
      </extLst>
    </bk>
    <bk>
      <extLst>
        <ext uri="{3e2802c4-a4d2-4d8b-9148-e3be6c30e623}">
          <xlrd:rvb i="6380"/>
        </ext>
      </extLst>
    </bk>
    <bk>
      <extLst>
        <ext uri="{3e2802c4-a4d2-4d8b-9148-e3be6c30e623}">
          <xlrd:rvb i="6381"/>
        </ext>
      </extLst>
    </bk>
    <bk>
      <extLst>
        <ext uri="{3e2802c4-a4d2-4d8b-9148-e3be6c30e623}">
          <xlrd:rvb i="6382"/>
        </ext>
      </extLst>
    </bk>
    <bk>
      <extLst>
        <ext uri="{3e2802c4-a4d2-4d8b-9148-e3be6c30e623}">
          <xlrd:rvb i="6383"/>
        </ext>
      </extLst>
    </bk>
    <bk>
      <extLst>
        <ext uri="{3e2802c4-a4d2-4d8b-9148-e3be6c30e623}">
          <xlrd:rvb i="6384"/>
        </ext>
      </extLst>
    </bk>
    <bk>
      <extLst>
        <ext uri="{3e2802c4-a4d2-4d8b-9148-e3be6c30e623}">
          <xlrd:rvb i="6385"/>
        </ext>
      </extLst>
    </bk>
    <bk>
      <extLst>
        <ext uri="{3e2802c4-a4d2-4d8b-9148-e3be6c30e623}">
          <xlrd:rvb i="6386"/>
        </ext>
      </extLst>
    </bk>
    <bk>
      <extLst>
        <ext uri="{3e2802c4-a4d2-4d8b-9148-e3be6c30e623}">
          <xlrd:rvb i="6387"/>
        </ext>
      </extLst>
    </bk>
    <bk>
      <extLst>
        <ext uri="{3e2802c4-a4d2-4d8b-9148-e3be6c30e623}">
          <xlrd:rvb i="6388"/>
        </ext>
      </extLst>
    </bk>
    <bk>
      <extLst>
        <ext uri="{3e2802c4-a4d2-4d8b-9148-e3be6c30e623}">
          <xlrd:rvb i="6389"/>
        </ext>
      </extLst>
    </bk>
    <bk>
      <extLst>
        <ext uri="{3e2802c4-a4d2-4d8b-9148-e3be6c30e623}">
          <xlrd:rvb i="6390"/>
        </ext>
      </extLst>
    </bk>
    <bk>
      <extLst>
        <ext uri="{3e2802c4-a4d2-4d8b-9148-e3be6c30e623}">
          <xlrd:rvb i="6391"/>
        </ext>
      </extLst>
    </bk>
    <bk>
      <extLst>
        <ext uri="{3e2802c4-a4d2-4d8b-9148-e3be6c30e623}">
          <xlrd:rvb i="6392"/>
        </ext>
      </extLst>
    </bk>
    <bk>
      <extLst>
        <ext uri="{3e2802c4-a4d2-4d8b-9148-e3be6c30e623}">
          <xlrd:rvb i="6393"/>
        </ext>
      </extLst>
    </bk>
    <bk>
      <extLst>
        <ext uri="{3e2802c4-a4d2-4d8b-9148-e3be6c30e623}">
          <xlrd:rvb i="6394"/>
        </ext>
      </extLst>
    </bk>
    <bk>
      <extLst>
        <ext uri="{3e2802c4-a4d2-4d8b-9148-e3be6c30e623}">
          <xlrd:rvb i="6395"/>
        </ext>
      </extLst>
    </bk>
    <bk>
      <extLst>
        <ext uri="{3e2802c4-a4d2-4d8b-9148-e3be6c30e623}">
          <xlrd:rvb i="6396"/>
        </ext>
      </extLst>
    </bk>
    <bk>
      <extLst>
        <ext uri="{3e2802c4-a4d2-4d8b-9148-e3be6c30e623}">
          <xlrd:rvb i="6397"/>
        </ext>
      </extLst>
    </bk>
    <bk>
      <extLst>
        <ext uri="{3e2802c4-a4d2-4d8b-9148-e3be6c30e623}">
          <xlrd:rvb i="6398"/>
        </ext>
      </extLst>
    </bk>
    <bk>
      <extLst>
        <ext uri="{3e2802c4-a4d2-4d8b-9148-e3be6c30e623}">
          <xlrd:rvb i="6399"/>
        </ext>
      </extLst>
    </bk>
    <bk>
      <extLst>
        <ext uri="{3e2802c4-a4d2-4d8b-9148-e3be6c30e623}">
          <xlrd:rvb i="6400"/>
        </ext>
      </extLst>
    </bk>
    <bk>
      <extLst>
        <ext uri="{3e2802c4-a4d2-4d8b-9148-e3be6c30e623}">
          <xlrd:rvb i="6401"/>
        </ext>
      </extLst>
    </bk>
    <bk>
      <extLst>
        <ext uri="{3e2802c4-a4d2-4d8b-9148-e3be6c30e623}">
          <xlrd:rvb i="6402"/>
        </ext>
      </extLst>
    </bk>
    <bk>
      <extLst>
        <ext uri="{3e2802c4-a4d2-4d8b-9148-e3be6c30e623}">
          <xlrd:rvb i="6403"/>
        </ext>
      </extLst>
    </bk>
    <bk>
      <extLst>
        <ext uri="{3e2802c4-a4d2-4d8b-9148-e3be6c30e623}">
          <xlrd:rvb i="6404"/>
        </ext>
      </extLst>
    </bk>
    <bk>
      <extLst>
        <ext uri="{3e2802c4-a4d2-4d8b-9148-e3be6c30e623}">
          <xlrd:rvb i="6405"/>
        </ext>
      </extLst>
    </bk>
    <bk>
      <extLst>
        <ext uri="{3e2802c4-a4d2-4d8b-9148-e3be6c30e623}">
          <xlrd:rvb i="6406"/>
        </ext>
      </extLst>
    </bk>
    <bk>
      <extLst>
        <ext uri="{3e2802c4-a4d2-4d8b-9148-e3be6c30e623}">
          <xlrd:rvb i="6407"/>
        </ext>
      </extLst>
    </bk>
    <bk>
      <extLst>
        <ext uri="{3e2802c4-a4d2-4d8b-9148-e3be6c30e623}">
          <xlrd:rvb i="6408"/>
        </ext>
      </extLst>
    </bk>
    <bk>
      <extLst>
        <ext uri="{3e2802c4-a4d2-4d8b-9148-e3be6c30e623}">
          <xlrd:rvb i="6409"/>
        </ext>
      </extLst>
    </bk>
    <bk>
      <extLst>
        <ext uri="{3e2802c4-a4d2-4d8b-9148-e3be6c30e623}">
          <xlrd:rvb i="6410"/>
        </ext>
      </extLst>
    </bk>
    <bk>
      <extLst>
        <ext uri="{3e2802c4-a4d2-4d8b-9148-e3be6c30e623}">
          <xlrd:rvb i="6411"/>
        </ext>
      </extLst>
    </bk>
    <bk>
      <extLst>
        <ext uri="{3e2802c4-a4d2-4d8b-9148-e3be6c30e623}">
          <xlrd:rvb i="6412"/>
        </ext>
      </extLst>
    </bk>
    <bk>
      <extLst>
        <ext uri="{3e2802c4-a4d2-4d8b-9148-e3be6c30e623}">
          <xlrd:rvb i="6413"/>
        </ext>
      </extLst>
    </bk>
    <bk>
      <extLst>
        <ext uri="{3e2802c4-a4d2-4d8b-9148-e3be6c30e623}">
          <xlrd:rvb i="6414"/>
        </ext>
      </extLst>
    </bk>
    <bk>
      <extLst>
        <ext uri="{3e2802c4-a4d2-4d8b-9148-e3be6c30e623}">
          <xlrd:rvb i="6415"/>
        </ext>
      </extLst>
    </bk>
    <bk>
      <extLst>
        <ext uri="{3e2802c4-a4d2-4d8b-9148-e3be6c30e623}">
          <xlrd:rvb i="6416"/>
        </ext>
      </extLst>
    </bk>
    <bk>
      <extLst>
        <ext uri="{3e2802c4-a4d2-4d8b-9148-e3be6c30e623}">
          <xlrd:rvb i="6417"/>
        </ext>
      </extLst>
    </bk>
    <bk>
      <extLst>
        <ext uri="{3e2802c4-a4d2-4d8b-9148-e3be6c30e623}">
          <xlrd:rvb i="6418"/>
        </ext>
      </extLst>
    </bk>
    <bk>
      <extLst>
        <ext uri="{3e2802c4-a4d2-4d8b-9148-e3be6c30e623}">
          <xlrd:rvb i="6419"/>
        </ext>
      </extLst>
    </bk>
    <bk>
      <extLst>
        <ext uri="{3e2802c4-a4d2-4d8b-9148-e3be6c30e623}">
          <xlrd:rvb i="6420"/>
        </ext>
      </extLst>
    </bk>
    <bk>
      <extLst>
        <ext uri="{3e2802c4-a4d2-4d8b-9148-e3be6c30e623}">
          <xlrd:rvb i="6421"/>
        </ext>
      </extLst>
    </bk>
    <bk>
      <extLst>
        <ext uri="{3e2802c4-a4d2-4d8b-9148-e3be6c30e623}">
          <xlrd:rvb i="6422"/>
        </ext>
      </extLst>
    </bk>
    <bk>
      <extLst>
        <ext uri="{3e2802c4-a4d2-4d8b-9148-e3be6c30e623}">
          <xlrd:rvb i="6423"/>
        </ext>
      </extLst>
    </bk>
    <bk>
      <extLst>
        <ext uri="{3e2802c4-a4d2-4d8b-9148-e3be6c30e623}">
          <xlrd:rvb i="6424"/>
        </ext>
      </extLst>
    </bk>
    <bk>
      <extLst>
        <ext uri="{3e2802c4-a4d2-4d8b-9148-e3be6c30e623}">
          <xlrd:rvb i="6425"/>
        </ext>
      </extLst>
    </bk>
    <bk>
      <extLst>
        <ext uri="{3e2802c4-a4d2-4d8b-9148-e3be6c30e623}">
          <xlrd:rvb i="6426"/>
        </ext>
      </extLst>
    </bk>
    <bk>
      <extLst>
        <ext uri="{3e2802c4-a4d2-4d8b-9148-e3be6c30e623}">
          <xlrd:rvb i="6427"/>
        </ext>
      </extLst>
    </bk>
    <bk>
      <extLst>
        <ext uri="{3e2802c4-a4d2-4d8b-9148-e3be6c30e623}">
          <xlrd:rvb i="6428"/>
        </ext>
      </extLst>
    </bk>
    <bk>
      <extLst>
        <ext uri="{3e2802c4-a4d2-4d8b-9148-e3be6c30e623}">
          <xlrd:rvb i="6429"/>
        </ext>
      </extLst>
    </bk>
    <bk>
      <extLst>
        <ext uri="{3e2802c4-a4d2-4d8b-9148-e3be6c30e623}">
          <xlrd:rvb i="6430"/>
        </ext>
      </extLst>
    </bk>
    <bk>
      <extLst>
        <ext uri="{3e2802c4-a4d2-4d8b-9148-e3be6c30e623}">
          <xlrd:rvb i="6431"/>
        </ext>
      </extLst>
    </bk>
    <bk>
      <extLst>
        <ext uri="{3e2802c4-a4d2-4d8b-9148-e3be6c30e623}">
          <xlrd:rvb i="6432"/>
        </ext>
      </extLst>
    </bk>
    <bk>
      <extLst>
        <ext uri="{3e2802c4-a4d2-4d8b-9148-e3be6c30e623}">
          <xlrd:rvb i="6433"/>
        </ext>
      </extLst>
    </bk>
    <bk>
      <extLst>
        <ext uri="{3e2802c4-a4d2-4d8b-9148-e3be6c30e623}">
          <xlrd:rvb i="6434"/>
        </ext>
      </extLst>
    </bk>
    <bk>
      <extLst>
        <ext uri="{3e2802c4-a4d2-4d8b-9148-e3be6c30e623}">
          <xlrd:rvb i="6435"/>
        </ext>
      </extLst>
    </bk>
    <bk>
      <extLst>
        <ext uri="{3e2802c4-a4d2-4d8b-9148-e3be6c30e623}">
          <xlrd:rvb i="6436"/>
        </ext>
      </extLst>
    </bk>
    <bk>
      <extLst>
        <ext uri="{3e2802c4-a4d2-4d8b-9148-e3be6c30e623}">
          <xlrd:rvb i="6437"/>
        </ext>
      </extLst>
    </bk>
    <bk>
      <extLst>
        <ext uri="{3e2802c4-a4d2-4d8b-9148-e3be6c30e623}">
          <xlrd:rvb i="6438"/>
        </ext>
      </extLst>
    </bk>
    <bk>
      <extLst>
        <ext uri="{3e2802c4-a4d2-4d8b-9148-e3be6c30e623}">
          <xlrd:rvb i="6439"/>
        </ext>
      </extLst>
    </bk>
    <bk>
      <extLst>
        <ext uri="{3e2802c4-a4d2-4d8b-9148-e3be6c30e623}">
          <xlrd:rvb i="6440"/>
        </ext>
      </extLst>
    </bk>
    <bk>
      <extLst>
        <ext uri="{3e2802c4-a4d2-4d8b-9148-e3be6c30e623}">
          <xlrd:rvb i="6441"/>
        </ext>
      </extLst>
    </bk>
    <bk>
      <extLst>
        <ext uri="{3e2802c4-a4d2-4d8b-9148-e3be6c30e623}">
          <xlrd:rvb i="6442"/>
        </ext>
      </extLst>
    </bk>
    <bk>
      <extLst>
        <ext uri="{3e2802c4-a4d2-4d8b-9148-e3be6c30e623}">
          <xlrd:rvb i="6443"/>
        </ext>
      </extLst>
    </bk>
    <bk>
      <extLst>
        <ext uri="{3e2802c4-a4d2-4d8b-9148-e3be6c30e623}">
          <xlrd:rvb i="6444"/>
        </ext>
      </extLst>
    </bk>
    <bk>
      <extLst>
        <ext uri="{3e2802c4-a4d2-4d8b-9148-e3be6c30e623}">
          <xlrd:rvb i="6445"/>
        </ext>
      </extLst>
    </bk>
    <bk>
      <extLst>
        <ext uri="{3e2802c4-a4d2-4d8b-9148-e3be6c30e623}">
          <xlrd:rvb i="6446"/>
        </ext>
      </extLst>
    </bk>
    <bk>
      <extLst>
        <ext uri="{3e2802c4-a4d2-4d8b-9148-e3be6c30e623}">
          <xlrd:rvb i="6447"/>
        </ext>
      </extLst>
    </bk>
    <bk>
      <extLst>
        <ext uri="{3e2802c4-a4d2-4d8b-9148-e3be6c30e623}">
          <xlrd:rvb i="6448"/>
        </ext>
      </extLst>
    </bk>
    <bk>
      <extLst>
        <ext uri="{3e2802c4-a4d2-4d8b-9148-e3be6c30e623}">
          <xlrd:rvb i="6449"/>
        </ext>
      </extLst>
    </bk>
    <bk>
      <extLst>
        <ext uri="{3e2802c4-a4d2-4d8b-9148-e3be6c30e623}">
          <xlrd:rvb i="6450"/>
        </ext>
      </extLst>
    </bk>
    <bk>
      <extLst>
        <ext uri="{3e2802c4-a4d2-4d8b-9148-e3be6c30e623}">
          <xlrd:rvb i="6451"/>
        </ext>
      </extLst>
    </bk>
    <bk>
      <extLst>
        <ext uri="{3e2802c4-a4d2-4d8b-9148-e3be6c30e623}">
          <xlrd:rvb i="6452"/>
        </ext>
      </extLst>
    </bk>
    <bk>
      <extLst>
        <ext uri="{3e2802c4-a4d2-4d8b-9148-e3be6c30e623}">
          <xlrd:rvb i="6453"/>
        </ext>
      </extLst>
    </bk>
    <bk>
      <extLst>
        <ext uri="{3e2802c4-a4d2-4d8b-9148-e3be6c30e623}">
          <xlrd:rvb i="6454"/>
        </ext>
      </extLst>
    </bk>
    <bk>
      <extLst>
        <ext uri="{3e2802c4-a4d2-4d8b-9148-e3be6c30e623}">
          <xlrd:rvb i="6455"/>
        </ext>
      </extLst>
    </bk>
    <bk>
      <extLst>
        <ext uri="{3e2802c4-a4d2-4d8b-9148-e3be6c30e623}">
          <xlrd:rvb i="6456"/>
        </ext>
      </extLst>
    </bk>
    <bk>
      <extLst>
        <ext uri="{3e2802c4-a4d2-4d8b-9148-e3be6c30e623}">
          <xlrd:rvb i="6457"/>
        </ext>
      </extLst>
    </bk>
    <bk>
      <extLst>
        <ext uri="{3e2802c4-a4d2-4d8b-9148-e3be6c30e623}">
          <xlrd:rvb i="6458"/>
        </ext>
      </extLst>
    </bk>
    <bk>
      <extLst>
        <ext uri="{3e2802c4-a4d2-4d8b-9148-e3be6c30e623}">
          <xlrd:rvb i="6459"/>
        </ext>
      </extLst>
    </bk>
    <bk>
      <extLst>
        <ext uri="{3e2802c4-a4d2-4d8b-9148-e3be6c30e623}">
          <xlrd:rvb i="6460"/>
        </ext>
      </extLst>
    </bk>
    <bk>
      <extLst>
        <ext uri="{3e2802c4-a4d2-4d8b-9148-e3be6c30e623}">
          <xlrd:rvb i="6461"/>
        </ext>
      </extLst>
    </bk>
    <bk>
      <extLst>
        <ext uri="{3e2802c4-a4d2-4d8b-9148-e3be6c30e623}">
          <xlrd:rvb i="6462"/>
        </ext>
      </extLst>
    </bk>
    <bk>
      <extLst>
        <ext uri="{3e2802c4-a4d2-4d8b-9148-e3be6c30e623}">
          <xlrd:rvb i="6463"/>
        </ext>
      </extLst>
    </bk>
    <bk>
      <extLst>
        <ext uri="{3e2802c4-a4d2-4d8b-9148-e3be6c30e623}">
          <xlrd:rvb i="6464"/>
        </ext>
      </extLst>
    </bk>
    <bk>
      <extLst>
        <ext uri="{3e2802c4-a4d2-4d8b-9148-e3be6c30e623}">
          <xlrd:rvb i="6465"/>
        </ext>
      </extLst>
    </bk>
    <bk>
      <extLst>
        <ext uri="{3e2802c4-a4d2-4d8b-9148-e3be6c30e623}">
          <xlrd:rvb i="6466"/>
        </ext>
      </extLst>
    </bk>
    <bk>
      <extLst>
        <ext uri="{3e2802c4-a4d2-4d8b-9148-e3be6c30e623}">
          <xlrd:rvb i="6467"/>
        </ext>
      </extLst>
    </bk>
    <bk>
      <extLst>
        <ext uri="{3e2802c4-a4d2-4d8b-9148-e3be6c30e623}">
          <xlrd:rvb i="6468"/>
        </ext>
      </extLst>
    </bk>
    <bk>
      <extLst>
        <ext uri="{3e2802c4-a4d2-4d8b-9148-e3be6c30e623}">
          <xlrd:rvb i="6469"/>
        </ext>
      </extLst>
    </bk>
    <bk>
      <extLst>
        <ext uri="{3e2802c4-a4d2-4d8b-9148-e3be6c30e623}">
          <xlrd:rvb i="6470"/>
        </ext>
      </extLst>
    </bk>
    <bk>
      <extLst>
        <ext uri="{3e2802c4-a4d2-4d8b-9148-e3be6c30e623}">
          <xlrd:rvb i="6471"/>
        </ext>
      </extLst>
    </bk>
    <bk>
      <extLst>
        <ext uri="{3e2802c4-a4d2-4d8b-9148-e3be6c30e623}">
          <xlrd:rvb i="6472"/>
        </ext>
      </extLst>
    </bk>
    <bk>
      <extLst>
        <ext uri="{3e2802c4-a4d2-4d8b-9148-e3be6c30e623}">
          <xlrd:rvb i="6473"/>
        </ext>
      </extLst>
    </bk>
    <bk>
      <extLst>
        <ext uri="{3e2802c4-a4d2-4d8b-9148-e3be6c30e623}">
          <xlrd:rvb i="6474"/>
        </ext>
      </extLst>
    </bk>
    <bk>
      <extLst>
        <ext uri="{3e2802c4-a4d2-4d8b-9148-e3be6c30e623}">
          <xlrd:rvb i="6475"/>
        </ext>
      </extLst>
    </bk>
    <bk>
      <extLst>
        <ext uri="{3e2802c4-a4d2-4d8b-9148-e3be6c30e623}">
          <xlrd:rvb i="6476"/>
        </ext>
      </extLst>
    </bk>
    <bk>
      <extLst>
        <ext uri="{3e2802c4-a4d2-4d8b-9148-e3be6c30e623}">
          <xlrd:rvb i="6477"/>
        </ext>
      </extLst>
    </bk>
    <bk>
      <extLst>
        <ext uri="{3e2802c4-a4d2-4d8b-9148-e3be6c30e623}">
          <xlrd:rvb i="6478"/>
        </ext>
      </extLst>
    </bk>
    <bk>
      <extLst>
        <ext uri="{3e2802c4-a4d2-4d8b-9148-e3be6c30e623}">
          <xlrd:rvb i="6479"/>
        </ext>
      </extLst>
    </bk>
    <bk>
      <extLst>
        <ext uri="{3e2802c4-a4d2-4d8b-9148-e3be6c30e623}">
          <xlrd:rvb i="6480"/>
        </ext>
      </extLst>
    </bk>
    <bk>
      <extLst>
        <ext uri="{3e2802c4-a4d2-4d8b-9148-e3be6c30e623}">
          <xlrd:rvb i="6481"/>
        </ext>
      </extLst>
    </bk>
    <bk>
      <extLst>
        <ext uri="{3e2802c4-a4d2-4d8b-9148-e3be6c30e623}">
          <xlrd:rvb i="6482"/>
        </ext>
      </extLst>
    </bk>
    <bk>
      <extLst>
        <ext uri="{3e2802c4-a4d2-4d8b-9148-e3be6c30e623}">
          <xlrd:rvb i="6483"/>
        </ext>
      </extLst>
    </bk>
    <bk>
      <extLst>
        <ext uri="{3e2802c4-a4d2-4d8b-9148-e3be6c30e623}">
          <xlrd:rvb i="6484"/>
        </ext>
      </extLst>
    </bk>
    <bk>
      <extLst>
        <ext uri="{3e2802c4-a4d2-4d8b-9148-e3be6c30e623}">
          <xlrd:rvb i="6485"/>
        </ext>
      </extLst>
    </bk>
    <bk>
      <extLst>
        <ext uri="{3e2802c4-a4d2-4d8b-9148-e3be6c30e623}">
          <xlrd:rvb i="6486"/>
        </ext>
      </extLst>
    </bk>
    <bk>
      <extLst>
        <ext uri="{3e2802c4-a4d2-4d8b-9148-e3be6c30e623}">
          <xlrd:rvb i="6487"/>
        </ext>
      </extLst>
    </bk>
    <bk>
      <extLst>
        <ext uri="{3e2802c4-a4d2-4d8b-9148-e3be6c30e623}">
          <xlrd:rvb i="6488"/>
        </ext>
      </extLst>
    </bk>
    <bk>
      <extLst>
        <ext uri="{3e2802c4-a4d2-4d8b-9148-e3be6c30e623}">
          <xlrd:rvb i="6489"/>
        </ext>
      </extLst>
    </bk>
    <bk>
      <extLst>
        <ext uri="{3e2802c4-a4d2-4d8b-9148-e3be6c30e623}">
          <xlrd:rvb i="6490"/>
        </ext>
      </extLst>
    </bk>
    <bk>
      <extLst>
        <ext uri="{3e2802c4-a4d2-4d8b-9148-e3be6c30e623}">
          <xlrd:rvb i="6491"/>
        </ext>
      </extLst>
    </bk>
    <bk>
      <extLst>
        <ext uri="{3e2802c4-a4d2-4d8b-9148-e3be6c30e623}">
          <xlrd:rvb i="6492"/>
        </ext>
      </extLst>
    </bk>
    <bk>
      <extLst>
        <ext uri="{3e2802c4-a4d2-4d8b-9148-e3be6c30e623}">
          <xlrd:rvb i="6493"/>
        </ext>
      </extLst>
    </bk>
    <bk>
      <extLst>
        <ext uri="{3e2802c4-a4d2-4d8b-9148-e3be6c30e623}">
          <xlrd:rvb i="6494"/>
        </ext>
      </extLst>
    </bk>
    <bk>
      <extLst>
        <ext uri="{3e2802c4-a4d2-4d8b-9148-e3be6c30e623}">
          <xlrd:rvb i="6495"/>
        </ext>
      </extLst>
    </bk>
    <bk>
      <extLst>
        <ext uri="{3e2802c4-a4d2-4d8b-9148-e3be6c30e623}">
          <xlrd:rvb i="6496"/>
        </ext>
      </extLst>
    </bk>
    <bk>
      <extLst>
        <ext uri="{3e2802c4-a4d2-4d8b-9148-e3be6c30e623}">
          <xlrd:rvb i="6497"/>
        </ext>
      </extLst>
    </bk>
    <bk>
      <extLst>
        <ext uri="{3e2802c4-a4d2-4d8b-9148-e3be6c30e623}">
          <xlrd:rvb i="6498"/>
        </ext>
      </extLst>
    </bk>
    <bk>
      <extLst>
        <ext uri="{3e2802c4-a4d2-4d8b-9148-e3be6c30e623}">
          <xlrd:rvb i="6499"/>
        </ext>
      </extLst>
    </bk>
    <bk>
      <extLst>
        <ext uri="{3e2802c4-a4d2-4d8b-9148-e3be6c30e623}">
          <xlrd:rvb i="6500"/>
        </ext>
      </extLst>
    </bk>
    <bk>
      <extLst>
        <ext uri="{3e2802c4-a4d2-4d8b-9148-e3be6c30e623}">
          <xlrd:rvb i="6501"/>
        </ext>
      </extLst>
    </bk>
    <bk>
      <extLst>
        <ext uri="{3e2802c4-a4d2-4d8b-9148-e3be6c30e623}">
          <xlrd:rvb i="6502"/>
        </ext>
      </extLst>
    </bk>
    <bk>
      <extLst>
        <ext uri="{3e2802c4-a4d2-4d8b-9148-e3be6c30e623}">
          <xlrd:rvb i="6503"/>
        </ext>
      </extLst>
    </bk>
    <bk>
      <extLst>
        <ext uri="{3e2802c4-a4d2-4d8b-9148-e3be6c30e623}">
          <xlrd:rvb i="6504"/>
        </ext>
      </extLst>
    </bk>
    <bk>
      <extLst>
        <ext uri="{3e2802c4-a4d2-4d8b-9148-e3be6c30e623}">
          <xlrd:rvb i="6505"/>
        </ext>
      </extLst>
    </bk>
    <bk>
      <extLst>
        <ext uri="{3e2802c4-a4d2-4d8b-9148-e3be6c30e623}">
          <xlrd:rvb i="6506"/>
        </ext>
      </extLst>
    </bk>
    <bk>
      <extLst>
        <ext uri="{3e2802c4-a4d2-4d8b-9148-e3be6c30e623}">
          <xlrd:rvb i="6507"/>
        </ext>
      </extLst>
    </bk>
    <bk>
      <extLst>
        <ext uri="{3e2802c4-a4d2-4d8b-9148-e3be6c30e623}">
          <xlrd:rvb i="6508"/>
        </ext>
      </extLst>
    </bk>
    <bk>
      <extLst>
        <ext uri="{3e2802c4-a4d2-4d8b-9148-e3be6c30e623}">
          <xlrd:rvb i="6509"/>
        </ext>
      </extLst>
    </bk>
    <bk>
      <extLst>
        <ext uri="{3e2802c4-a4d2-4d8b-9148-e3be6c30e623}">
          <xlrd:rvb i="6510"/>
        </ext>
      </extLst>
    </bk>
    <bk>
      <extLst>
        <ext uri="{3e2802c4-a4d2-4d8b-9148-e3be6c30e623}">
          <xlrd:rvb i="6511"/>
        </ext>
      </extLst>
    </bk>
    <bk>
      <extLst>
        <ext uri="{3e2802c4-a4d2-4d8b-9148-e3be6c30e623}">
          <xlrd:rvb i="6512"/>
        </ext>
      </extLst>
    </bk>
    <bk>
      <extLst>
        <ext uri="{3e2802c4-a4d2-4d8b-9148-e3be6c30e623}">
          <xlrd:rvb i="6513"/>
        </ext>
      </extLst>
    </bk>
    <bk>
      <extLst>
        <ext uri="{3e2802c4-a4d2-4d8b-9148-e3be6c30e623}">
          <xlrd:rvb i="6514"/>
        </ext>
      </extLst>
    </bk>
    <bk>
      <extLst>
        <ext uri="{3e2802c4-a4d2-4d8b-9148-e3be6c30e623}">
          <xlrd:rvb i="6515"/>
        </ext>
      </extLst>
    </bk>
    <bk>
      <extLst>
        <ext uri="{3e2802c4-a4d2-4d8b-9148-e3be6c30e623}">
          <xlrd:rvb i="6516"/>
        </ext>
      </extLst>
    </bk>
    <bk>
      <extLst>
        <ext uri="{3e2802c4-a4d2-4d8b-9148-e3be6c30e623}">
          <xlrd:rvb i="6517"/>
        </ext>
      </extLst>
    </bk>
    <bk>
      <extLst>
        <ext uri="{3e2802c4-a4d2-4d8b-9148-e3be6c30e623}">
          <xlrd:rvb i="6518"/>
        </ext>
      </extLst>
    </bk>
    <bk>
      <extLst>
        <ext uri="{3e2802c4-a4d2-4d8b-9148-e3be6c30e623}">
          <xlrd:rvb i="6519"/>
        </ext>
      </extLst>
    </bk>
    <bk>
      <extLst>
        <ext uri="{3e2802c4-a4d2-4d8b-9148-e3be6c30e623}">
          <xlrd:rvb i="6520"/>
        </ext>
      </extLst>
    </bk>
    <bk>
      <extLst>
        <ext uri="{3e2802c4-a4d2-4d8b-9148-e3be6c30e623}">
          <xlrd:rvb i="6521"/>
        </ext>
      </extLst>
    </bk>
    <bk>
      <extLst>
        <ext uri="{3e2802c4-a4d2-4d8b-9148-e3be6c30e623}">
          <xlrd:rvb i="6522"/>
        </ext>
      </extLst>
    </bk>
    <bk>
      <extLst>
        <ext uri="{3e2802c4-a4d2-4d8b-9148-e3be6c30e623}">
          <xlrd:rvb i="6523"/>
        </ext>
      </extLst>
    </bk>
    <bk>
      <extLst>
        <ext uri="{3e2802c4-a4d2-4d8b-9148-e3be6c30e623}">
          <xlrd:rvb i="6524"/>
        </ext>
      </extLst>
    </bk>
    <bk>
      <extLst>
        <ext uri="{3e2802c4-a4d2-4d8b-9148-e3be6c30e623}">
          <xlrd:rvb i="6525"/>
        </ext>
      </extLst>
    </bk>
    <bk>
      <extLst>
        <ext uri="{3e2802c4-a4d2-4d8b-9148-e3be6c30e623}">
          <xlrd:rvb i="6526"/>
        </ext>
      </extLst>
    </bk>
    <bk>
      <extLst>
        <ext uri="{3e2802c4-a4d2-4d8b-9148-e3be6c30e623}">
          <xlrd:rvb i="6527"/>
        </ext>
      </extLst>
    </bk>
    <bk>
      <extLst>
        <ext uri="{3e2802c4-a4d2-4d8b-9148-e3be6c30e623}">
          <xlrd:rvb i="6528"/>
        </ext>
      </extLst>
    </bk>
    <bk>
      <extLst>
        <ext uri="{3e2802c4-a4d2-4d8b-9148-e3be6c30e623}">
          <xlrd:rvb i="6529"/>
        </ext>
      </extLst>
    </bk>
    <bk>
      <extLst>
        <ext uri="{3e2802c4-a4d2-4d8b-9148-e3be6c30e623}">
          <xlrd:rvb i="6530"/>
        </ext>
      </extLst>
    </bk>
    <bk>
      <extLst>
        <ext uri="{3e2802c4-a4d2-4d8b-9148-e3be6c30e623}">
          <xlrd:rvb i="6531"/>
        </ext>
      </extLst>
    </bk>
    <bk>
      <extLst>
        <ext uri="{3e2802c4-a4d2-4d8b-9148-e3be6c30e623}">
          <xlrd:rvb i="6532"/>
        </ext>
      </extLst>
    </bk>
    <bk>
      <extLst>
        <ext uri="{3e2802c4-a4d2-4d8b-9148-e3be6c30e623}">
          <xlrd:rvb i="6533"/>
        </ext>
      </extLst>
    </bk>
    <bk>
      <extLst>
        <ext uri="{3e2802c4-a4d2-4d8b-9148-e3be6c30e623}">
          <xlrd:rvb i="6534"/>
        </ext>
      </extLst>
    </bk>
    <bk>
      <extLst>
        <ext uri="{3e2802c4-a4d2-4d8b-9148-e3be6c30e623}">
          <xlrd:rvb i="6535"/>
        </ext>
      </extLst>
    </bk>
    <bk>
      <extLst>
        <ext uri="{3e2802c4-a4d2-4d8b-9148-e3be6c30e623}">
          <xlrd:rvb i="6536"/>
        </ext>
      </extLst>
    </bk>
    <bk>
      <extLst>
        <ext uri="{3e2802c4-a4d2-4d8b-9148-e3be6c30e623}">
          <xlrd:rvb i="6537"/>
        </ext>
      </extLst>
    </bk>
    <bk>
      <extLst>
        <ext uri="{3e2802c4-a4d2-4d8b-9148-e3be6c30e623}">
          <xlrd:rvb i="6538"/>
        </ext>
      </extLst>
    </bk>
    <bk>
      <extLst>
        <ext uri="{3e2802c4-a4d2-4d8b-9148-e3be6c30e623}">
          <xlrd:rvb i="6539"/>
        </ext>
      </extLst>
    </bk>
    <bk>
      <extLst>
        <ext uri="{3e2802c4-a4d2-4d8b-9148-e3be6c30e623}">
          <xlrd:rvb i="6540"/>
        </ext>
      </extLst>
    </bk>
    <bk>
      <extLst>
        <ext uri="{3e2802c4-a4d2-4d8b-9148-e3be6c30e623}">
          <xlrd:rvb i="6541"/>
        </ext>
      </extLst>
    </bk>
    <bk>
      <extLst>
        <ext uri="{3e2802c4-a4d2-4d8b-9148-e3be6c30e623}">
          <xlrd:rvb i="6542"/>
        </ext>
      </extLst>
    </bk>
    <bk>
      <extLst>
        <ext uri="{3e2802c4-a4d2-4d8b-9148-e3be6c30e623}">
          <xlrd:rvb i="6543"/>
        </ext>
      </extLst>
    </bk>
    <bk>
      <extLst>
        <ext uri="{3e2802c4-a4d2-4d8b-9148-e3be6c30e623}">
          <xlrd:rvb i="6544"/>
        </ext>
      </extLst>
    </bk>
    <bk>
      <extLst>
        <ext uri="{3e2802c4-a4d2-4d8b-9148-e3be6c30e623}">
          <xlrd:rvb i="6545"/>
        </ext>
      </extLst>
    </bk>
    <bk>
      <extLst>
        <ext uri="{3e2802c4-a4d2-4d8b-9148-e3be6c30e623}">
          <xlrd:rvb i="6546"/>
        </ext>
      </extLst>
    </bk>
    <bk>
      <extLst>
        <ext uri="{3e2802c4-a4d2-4d8b-9148-e3be6c30e623}">
          <xlrd:rvb i="6547"/>
        </ext>
      </extLst>
    </bk>
    <bk>
      <extLst>
        <ext uri="{3e2802c4-a4d2-4d8b-9148-e3be6c30e623}">
          <xlrd:rvb i="6548"/>
        </ext>
      </extLst>
    </bk>
    <bk>
      <extLst>
        <ext uri="{3e2802c4-a4d2-4d8b-9148-e3be6c30e623}">
          <xlrd:rvb i="6549"/>
        </ext>
      </extLst>
    </bk>
    <bk>
      <extLst>
        <ext uri="{3e2802c4-a4d2-4d8b-9148-e3be6c30e623}">
          <xlrd:rvb i="6550"/>
        </ext>
      </extLst>
    </bk>
    <bk>
      <extLst>
        <ext uri="{3e2802c4-a4d2-4d8b-9148-e3be6c30e623}">
          <xlrd:rvb i="6551"/>
        </ext>
      </extLst>
    </bk>
    <bk>
      <extLst>
        <ext uri="{3e2802c4-a4d2-4d8b-9148-e3be6c30e623}">
          <xlrd:rvb i="6552"/>
        </ext>
      </extLst>
    </bk>
    <bk>
      <extLst>
        <ext uri="{3e2802c4-a4d2-4d8b-9148-e3be6c30e623}">
          <xlrd:rvb i="6553"/>
        </ext>
      </extLst>
    </bk>
    <bk>
      <extLst>
        <ext uri="{3e2802c4-a4d2-4d8b-9148-e3be6c30e623}">
          <xlrd:rvb i="6554"/>
        </ext>
      </extLst>
    </bk>
    <bk>
      <extLst>
        <ext uri="{3e2802c4-a4d2-4d8b-9148-e3be6c30e623}">
          <xlrd:rvb i="6555"/>
        </ext>
      </extLst>
    </bk>
    <bk>
      <extLst>
        <ext uri="{3e2802c4-a4d2-4d8b-9148-e3be6c30e623}">
          <xlrd:rvb i="6556"/>
        </ext>
      </extLst>
    </bk>
    <bk>
      <extLst>
        <ext uri="{3e2802c4-a4d2-4d8b-9148-e3be6c30e623}">
          <xlrd:rvb i="6557"/>
        </ext>
      </extLst>
    </bk>
    <bk>
      <extLst>
        <ext uri="{3e2802c4-a4d2-4d8b-9148-e3be6c30e623}">
          <xlrd:rvb i="6558"/>
        </ext>
      </extLst>
    </bk>
    <bk>
      <extLst>
        <ext uri="{3e2802c4-a4d2-4d8b-9148-e3be6c30e623}">
          <xlrd:rvb i="6559"/>
        </ext>
      </extLst>
    </bk>
    <bk>
      <extLst>
        <ext uri="{3e2802c4-a4d2-4d8b-9148-e3be6c30e623}">
          <xlrd:rvb i="6560"/>
        </ext>
      </extLst>
    </bk>
    <bk>
      <extLst>
        <ext uri="{3e2802c4-a4d2-4d8b-9148-e3be6c30e623}">
          <xlrd:rvb i="6561"/>
        </ext>
      </extLst>
    </bk>
    <bk>
      <extLst>
        <ext uri="{3e2802c4-a4d2-4d8b-9148-e3be6c30e623}">
          <xlrd:rvb i="6562"/>
        </ext>
      </extLst>
    </bk>
    <bk>
      <extLst>
        <ext uri="{3e2802c4-a4d2-4d8b-9148-e3be6c30e623}">
          <xlrd:rvb i="6563"/>
        </ext>
      </extLst>
    </bk>
    <bk>
      <extLst>
        <ext uri="{3e2802c4-a4d2-4d8b-9148-e3be6c30e623}">
          <xlrd:rvb i="6564"/>
        </ext>
      </extLst>
    </bk>
    <bk>
      <extLst>
        <ext uri="{3e2802c4-a4d2-4d8b-9148-e3be6c30e623}">
          <xlrd:rvb i="6565"/>
        </ext>
      </extLst>
    </bk>
    <bk>
      <extLst>
        <ext uri="{3e2802c4-a4d2-4d8b-9148-e3be6c30e623}">
          <xlrd:rvb i="6566"/>
        </ext>
      </extLst>
    </bk>
    <bk>
      <extLst>
        <ext uri="{3e2802c4-a4d2-4d8b-9148-e3be6c30e623}">
          <xlrd:rvb i="6567"/>
        </ext>
      </extLst>
    </bk>
    <bk>
      <extLst>
        <ext uri="{3e2802c4-a4d2-4d8b-9148-e3be6c30e623}">
          <xlrd:rvb i="6568"/>
        </ext>
      </extLst>
    </bk>
    <bk>
      <extLst>
        <ext uri="{3e2802c4-a4d2-4d8b-9148-e3be6c30e623}">
          <xlrd:rvb i="6569"/>
        </ext>
      </extLst>
    </bk>
    <bk>
      <extLst>
        <ext uri="{3e2802c4-a4d2-4d8b-9148-e3be6c30e623}">
          <xlrd:rvb i="6570"/>
        </ext>
      </extLst>
    </bk>
    <bk>
      <extLst>
        <ext uri="{3e2802c4-a4d2-4d8b-9148-e3be6c30e623}">
          <xlrd:rvb i="6571"/>
        </ext>
      </extLst>
    </bk>
    <bk>
      <extLst>
        <ext uri="{3e2802c4-a4d2-4d8b-9148-e3be6c30e623}">
          <xlrd:rvb i="6572"/>
        </ext>
      </extLst>
    </bk>
    <bk>
      <extLst>
        <ext uri="{3e2802c4-a4d2-4d8b-9148-e3be6c30e623}">
          <xlrd:rvb i="6573"/>
        </ext>
      </extLst>
    </bk>
    <bk>
      <extLst>
        <ext uri="{3e2802c4-a4d2-4d8b-9148-e3be6c30e623}">
          <xlrd:rvb i="6574"/>
        </ext>
      </extLst>
    </bk>
    <bk>
      <extLst>
        <ext uri="{3e2802c4-a4d2-4d8b-9148-e3be6c30e623}">
          <xlrd:rvb i="6575"/>
        </ext>
      </extLst>
    </bk>
    <bk>
      <extLst>
        <ext uri="{3e2802c4-a4d2-4d8b-9148-e3be6c30e623}">
          <xlrd:rvb i="6576"/>
        </ext>
      </extLst>
    </bk>
    <bk>
      <extLst>
        <ext uri="{3e2802c4-a4d2-4d8b-9148-e3be6c30e623}">
          <xlrd:rvb i="6577"/>
        </ext>
      </extLst>
    </bk>
    <bk>
      <extLst>
        <ext uri="{3e2802c4-a4d2-4d8b-9148-e3be6c30e623}">
          <xlrd:rvb i="6578"/>
        </ext>
      </extLst>
    </bk>
    <bk>
      <extLst>
        <ext uri="{3e2802c4-a4d2-4d8b-9148-e3be6c30e623}">
          <xlrd:rvb i="6579"/>
        </ext>
      </extLst>
    </bk>
    <bk>
      <extLst>
        <ext uri="{3e2802c4-a4d2-4d8b-9148-e3be6c30e623}">
          <xlrd:rvb i="6580"/>
        </ext>
      </extLst>
    </bk>
    <bk>
      <extLst>
        <ext uri="{3e2802c4-a4d2-4d8b-9148-e3be6c30e623}">
          <xlrd:rvb i="6581"/>
        </ext>
      </extLst>
    </bk>
    <bk>
      <extLst>
        <ext uri="{3e2802c4-a4d2-4d8b-9148-e3be6c30e623}">
          <xlrd:rvb i="6582"/>
        </ext>
      </extLst>
    </bk>
    <bk>
      <extLst>
        <ext uri="{3e2802c4-a4d2-4d8b-9148-e3be6c30e623}">
          <xlrd:rvb i="6583"/>
        </ext>
      </extLst>
    </bk>
    <bk>
      <extLst>
        <ext uri="{3e2802c4-a4d2-4d8b-9148-e3be6c30e623}">
          <xlrd:rvb i="6584"/>
        </ext>
      </extLst>
    </bk>
    <bk>
      <extLst>
        <ext uri="{3e2802c4-a4d2-4d8b-9148-e3be6c30e623}">
          <xlrd:rvb i="6585"/>
        </ext>
      </extLst>
    </bk>
    <bk>
      <extLst>
        <ext uri="{3e2802c4-a4d2-4d8b-9148-e3be6c30e623}">
          <xlrd:rvb i="6586"/>
        </ext>
      </extLst>
    </bk>
    <bk>
      <extLst>
        <ext uri="{3e2802c4-a4d2-4d8b-9148-e3be6c30e623}">
          <xlrd:rvb i="6587"/>
        </ext>
      </extLst>
    </bk>
    <bk>
      <extLst>
        <ext uri="{3e2802c4-a4d2-4d8b-9148-e3be6c30e623}">
          <xlrd:rvb i="6588"/>
        </ext>
      </extLst>
    </bk>
    <bk>
      <extLst>
        <ext uri="{3e2802c4-a4d2-4d8b-9148-e3be6c30e623}">
          <xlrd:rvb i="6589"/>
        </ext>
      </extLst>
    </bk>
    <bk>
      <extLst>
        <ext uri="{3e2802c4-a4d2-4d8b-9148-e3be6c30e623}">
          <xlrd:rvb i="6590"/>
        </ext>
      </extLst>
    </bk>
    <bk>
      <extLst>
        <ext uri="{3e2802c4-a4d2-4d8b-9148-e3be6c30e623}">
          <xlrd:rvb i="6591"/>
        </ext>
      </extLst>
    </bk>
    <bk>
      <extLst>
        <ext uri="{3e2802c4-a4d2-4d8b-9148-e3be6c30e623}">
          <xlrd:rvb i="6592"/>
        </ext>
      </extLst>
    </bk>
    <bk>
      <extLst>
        <ext uri="{3e2802c4-a4d2-4d8b-9148-e3be6c30e623}">
          <xlrd:rvb i="6593"/>
        </ext>
      </extLst>
    </bk>
    <bk>
      <extLst>
        <ext uri="{3e2802c4-a4d2-4d8b-9148-e3be6c30e623}">
          <xlrd:rvb i="6594"/>
        </ext>
      </extLst>
    </bk>
    <bk>
      <extLst>
        <ext uri="{3e2802c4-a4d2-4d8b-9148-e3be6c30e623}">
          <xlrd:rvb i="6595"/>
        </ext>
      </extLst>
    </bk>
    <bk>
      <extLst>
        <ext uri="{3e2802c4-a4d2-4d8b-9148-e3be6c30e623}">
          <xlrd:rvb i="6596"/>
        </ext>
      </extLst>
    </bk>
    <bk>
      <extLst>
        <ext uri="{3e2802c4-a4d2-4d8b-9148-e3be6c30e623}">
          <xlrd:rvb i="6597"/>
        </ext>
      </extLst>
    </bk>
    <bk>
      <extLst>
        <ext uri="{3e2802c4-a4d2-4d8b-9148-e3be6c30e623}">
          <xlrd:rvb i="6598"/>
        </ext>
      </extLst>
    </bk>
    <bk>
      <extLst>
        <ext uri="{3e2802c4-a4d2-4d8b-9148-e3be6c30e623}">
          <xlrd:rvb i="6599"/>
        </ext>
      </extLst>
    </bk>
    <bk>
      <extLst>
        <ext uri="{3e2802c4-a4d2-4d8b-9148-e3be6c30e623}">
          <xlrd:rvb i="6600"/>
        </ext>
      </extLst>
    </bk>
    <bk>
      <extLst>
        <ext uri="{3e2802c4-a4d2-4d8b-9148-e3be6c30e623}">
          <xlrd:rvb i="6601"/>
        </ext>
      </extLst>
    </bk>
    <bk>
      <extLst>
        <ext uri="{3e2802c4-a4d2-4d8b-9148-e3be6c30e623}">
          <xlrd:rvb i="6602"/>
        </ext>
      </extLst>
    </bk>
    <bk>
      <extLst>
        <ext uri="{3e2802c4-a4d2-4d8b-9148-e3be6c30e623}">
          <xlrd:rvb i="6603"/>
        </ext>
      </extLst>
    </bk>
    <bk>
      <extLst>
        <ext uri="{3e2802c4-a4d2-4d8b-9148-e3be6c30e623}">
          <xlrd:rvb i="6604"/>
        </ext>
      </extLst>
    </bk>
    <bk>
      <extLst>
        <ext uri="{3e2802c4-a4d2-4d8b-9148-e3be6c30e623}">
          <xlrd:rvb i="6605"/>
        </ext>
      </extLst>
    </bk>
    <bk>
      <extLst>
        <ext uri="{3e2802c4-a4d2-4d8b-9148-e3be6c30e623}">
          <xlrd:rvb i="6606"/>
        </ext>
      </extLst>
    </bk>
    <bk>
      <extLst>
        <ext uri="{3e2802c4-a4d2-4d8b-9148-e3be6c30e623}">
          <xlrd:rvb i="6607"/>
        </ext>
      </extLst>
    </bk>
    <bk>
      <extLst>
        <ext uri="{3e2802c4-a4d2-4d8b-9148-e3be6c30e623}">
          <xlrd:rvb i="6608"/>
        </ext>
      </extLst>
    </bk>
    <bk>
      <extLst>
        <ext uri="{3e2802c4-a4d2-4d8b-9148-e3be6c30e623}">
          <xlrd:rvb i="6609"/>
        </ext>
      </extLst>
    </bk>
    <bk>
      <extLst>
        <ext uri="{3e2802c4-a4d2-4d8b-9148-e3be6c30e623}">
          <xlrd:rvb i="6610"/>
        </ext>
      </extLst>
    </bk>
    <bk>
      <extLst>
        <ext uri="{3e2802c4-a4d2-4d8b-9148-e3be6c30e623}">
          <xlrd:rvb i="6611"/>
        </ext>
      </extLst>
    </bk>
    <bk>
      <extLst>
        <ext uri="{3e2802c4-a4d2-4d8b-9148-e3be6c30e623}">
          <xlrd:rvb i="6612"/>
        </ext>
      </extLst>
    </bk>
    <bk>
      <extLst>
        <ext uri="{3e2802c4-a4d2-4d8b-9148-e3be6c30e623}">
          <xlrd:rvb i="6613"/>
        </ext>
      </extLst>
    </bk>
    <bk>
      <extLst>
        <ext uri="{3e2802c4-a4d2-4d8b-9148-e3be6c30e623}">
          <xlrd:rvb i="6614"/>
        </ext>
      </extLst>
    </bk>
    <bk>
      <extLst>
        <ext uri="{3e2802c4-a4d2-4d8b-9148-e3be6c30e623}">
          <xlrd:rvb i="6615"/>
        </ext>
      </extLst>
    </bk>
    <bk>
      <extLst>
        <ext uri="{3e2802c4-a4d2-4d8b-9148-e3be6c30e623}">
          <xlrd:rvb i="6616"/>
        </ext>
      </extLst>
    </bk>
    <bk>
      <extLst>
        <ext uri="{3e2802c4-a4d2-4d8b-9148-e3be6c30e623}">
          <xlrd:rvb i="6617"/>
        </ext>
      </extLst>
    </bk>
    <bk>
      <extLst>
        <ext uri="{3e2802c4-a4d2-4d8b-9148-e3be6c30e623}">
          <xlrd:rvb i="6618"/>
        </ext>
      </extLst>
    </bk>
    <bk>
      <extLst>
        <ext uri="{3e2802c4-a4d2-4d8b-9148-e3be6c30e623}">
          <xlrd:rvb i="6619"/>
        </ext>
      </extLst>
    </bk>
    <bk>
      <extLst>
        <ext uri="{3e2802c4-a4d2-4d8b-9148-e3be6c30e623}">
          <xlrd:rvb i="6620"/>
        </ext>
      </extLst>
    </bk>
    <bk>
      <extLst>
        <ext uri="{3e2802c4-a4d2-4d8b-9148-e3be6c30e623}">
          <xlrd:rvb i="6621"/>
        </ext>
      </extLst>
    </bk>
    <bk>
      <extLst>
        <ext uri="{3e2802c4-a4d2-4d8b-9148-e3be6c30e623}">
          <xlrd:rvb i="6622"/>
        </ext>
      </extLst>
    </bk>
    <bk>
      <extLst>
        <ext uri="{3e2802c4-a4d2-4d8b-9148-e3be6c30e623}">
          <xlrd:rvb i="6623"/>
        </ext>
      </extLst>
    </bk>
    <bk>
      <extLst>
        <ext uri="{3e2802c4-a4d2-4d8b-9148-e3be6c30e623}">
          <xlrd:rvb i="6624"/>
        </ext>
      </extLst>
    </bk>
    <bk>
      <extLst>
        <ext uri="{3e2802c4-a4d2-4d8b-9148-e3be6c30e623}">
          <xlrd:rvb i="6625"/>
        </ext>
      </extLst>
    </bk>
    <bk>
      <extLst>
        <ext uri="{3e2802c4-a4d2-4d8b-9148-e3be6c30e623}">
          <xlrd:rvb i="6626"/>
        </ext>
      </extLst>
    </bk>
    <bk>
      <extLst>
        <ext uri="{3e2802c4-a4d2-4d8b-9148-e3be6c30e623}">
          <xlrd:rvb i="6627"/>
        </ext>
      </extLst>
    </bk>
    <bk>
      <extLst>
        <ext uri="{3e2802c4-a4d2-4d8b-9148-e3be6c30e623}">
          <xlrd:rvb i="6628"/>
        </ext>
      </extLst>
    </bk>
    <bk>
      <extLst>
        <ext uri="{3e2802c4-a4d2-4d8b-9148-e3be6c30e623}">
          <xlrd:rvb i="6629"/>
        </ext>
      </extLst>
    </bk>
    <bk>
      <extLst>
        <ext uri="{3e2802c4-a4d2-4d8b-9148-e3be6c30e623}">
          <xlrd:rvb i="6630"/>
        </ext>
      </extLst>
    </bk>
    <bk>
      <extLst>
        <ext uri="{3e2802c4-a4d2-4d8b-9148-e3be6c30e623}">
          <xlrd:rvb i="6631"/>
        </ext>
      </extLst>
    </bk>
    <bk>
      <extLst>
        <ext uri="{3e2802c4-a4d2-4d8b-9148-e3be6c30e623}">
          <xlrd:rvb i="6632"/>
        </ext>
      </extLst>
    </bk>
    <bk>
      <extLst>
        <ext uri="{3e2802c4-a4d2-4d8b-9148-e3be6c30e623}">
          <xlrd:rvb i="6633"/>
        </ext>
      </extLst>
    </bk>
    <bk>
      <extLst>
        <ext uri="{3e2802c4-a4d2-4d8b-9148-e3be6c30e623}">
          <xlrd:rvb i="6634"/>
        </ext>
      </extLst>
    </bk>
    <bk>
      <extLst>
        <ext uri="{3e2802c4-a4d2-4d8b-9148-e3be6c30e623}">
          <xlrd:rvb i="6635"/>
        </ext>
      </extLst>
    </bk>
    <bk>
      <extLst>
        <ext uri="{3e2802c4-a4d2-4d8b-9148-e3be6c30e623}">
          <xlrd:rvb i="6636"/>
        </ext>
      </extLst>
    </bk>
    <bk>
      <extLst>
        <ext uri="{3e2802c4-a4d2-4d8b-9148-e3be6c30e623}">
          <xlrd:rvb i="6637"/>
        </ext>
      </extLst>
    </bk>
    <bk>
      <extLst>
        <ext uri="{3e2802c4-a4d2-4d8b-9148-e3be6c30e623}">
          <xlrd:rvb i="6638"/>
        </ext>
      </extLst>
    </bk>
    <bk>
      <extLst>
        <ext uri="{3e2802c4-a4d2-4d8b-9148-e3be6c30e623}">
          <xlrd:rvb i="6639"/>
        </ext>
      </extLst>
    </bk>
    <bk>
      <extLst>
        <ext uri="{3e2802c4-a4d2-4d8b-9148-e3be6c30e623}">
          <xlrd:rvb i="6640"/>
        </ext>
      </extLst>
    </bk>
    <bk>
      <extLst>
        <ext uri="{3e2802c4-a4d2-4d8b-9148-e3be6c30e623}">
          <xlrd:rvb i="6641"/>
        </ext>
      </extLst>
    </bk>
    <bk>
      <extLst>
        <ext uri="{3e2802c4-a4d2-4d8b-9148-e3be6c30e623}">
          <xlrd:rvb i="6642"/>
        </ext>
      </extLst>
    </bk>
    <bk>
      <extLst>
        <ext uri="{3e2802c4-a4d2-4d8b-9148-e3be6c30e623}">
          <xlrd:rvb i="6643"/>
        </ext>
      </extLst>
    </bk>
    <bk>
      <extLst>
        <ext uri="{3e2802c4-a4d2-4d8b-9148-e3be6c30e623}">
          <xlrd:rvb i="6644"/>
        </ext>
      </extLst>
    </bk>
    <bk>
      <extLst>
        <ext uri="{3e2802c4-a4d2-4d8b-9148-e3be6c30e623}">
          <xlrd:rvb i="6645"/>
        </ext>
      </extLst>
    </bk>
    <bk>
      <extLst>
        <ext uri="{3e2802c4-a4d2-4d8b-9148-e3be6c30e623}">
          <xlrd:rvb i="6646"/>
        </ext>
      </extLst>
    </bk>
    <bk>
      <extLst>
        <ext uri="{3e2802c4-a4d2-4d8b-9148-e3be6c30e623}">
          <xlrd:rvb i="6647"/>
        </ext>
      </extLst>
    </bk>
    <bk>
      <extLst>
        <ext uri="{3e2802c4-a4d2-4d8b-9148-e3be6c30e623}">
          <xlrd:rvb i="6648"/>
        </ext>
      </extLst>
    </bk>
    <bk>
      <extLst>
        <ext uri="{3e2802c4-a4d2-4d8b-9148-e3be6c30e623}">
          <xlrd:rvb i="6649"/>
        </ext>
      </extLst>
    </bk>
    <bk>
      <extLst>
        <ext uri="{3e2802c4-a4d2-4d8b-9148-e3be6c30e623}">
          <xlrd:rvb i="6650"/>
        </ext>
      </extLst>
    </bk>
    <bk>
      <extLst>
        <ext uri="{3e2802c4-a4d2-4d8b-9148-e3be6c30e623}">
          <xlrd:rvb i="6651"/>
        </ext>
      </extLst>
    </bk>
    <bk>
      <extLst>
        <ext uri="{3e2802c4-a4d2-4d8b-9148-e3be6c30e623}">
          <xlrd:rvb i="6652"/>
        </ext>
      </extLst>
    </bk>
    <bk>
      <extLst>
        <ext uri="{3e2802c4-a4d2-4d8b-9148-e3be6c30e623}">
          <xlrd:rvb i="6653"/>
        </ext>
      </extLst>
    </bk>
    <bk>
      <extLst>
        <ext uri="{3e2802c4-a4d2-4d8b-9148-e3be6c30e623}">
          <xlrd:rvb i="6654"/>
        </ext>
      </extLst>
    </bk>
    <bk>
      <extLst>
        <ext uri="{3e2802c4-a4d2-4d8b-9148-e3be6c30e623}">
          <xlrd:rvb i="6655"/>
        </ext>
      </extLst>
    </bk>
    <bk>
      <extLst>
        <ext uri="{3e2802c4-a4d2-4d8b-9148-e3be6c30e623}">
          <xlrd:rvb i="6656"/>
        </ext>
      </extLst>
    </bk>
    <bk>
      <extLst>
        <ext uri="{3e2802c4-a4d2-4d8b-9148-e3be6c30e623}">
          <xlrd:rvb i="6657"/>
        </ext>
      </extLst>
    </bk>
    <bk>
      <extLst>
        <ext uri="{3e2802c4-a4d2-4d8b-9148-e3be6c30e623}">
          <xlrd:rvb i="6658"/>
        </ext>
      </extLst>
    </bk>
    <bk>
      <extLst>
        <ext uri="{3e2802c4-a4d2-4d8b-9148-e3be6c30e623}">
          <xlrd:rvb i="6659"/>
        </ext>
      </extLst>
    </bk>
    <bk>
      <extLst>
        <ext uri="{3e2802c4-a4d2-4d8b-9148-e3be6c30e623}">
          <xlrd:rvb i="6660"/>
        </ext>
      </extLst>
    </bk>
    <bk>
      <extLst>
        <ext uri="{3e2802c4-a4d2-4d8b-9148-e3be6c30e623}">
          <xlrd:rvb i="6661"/>
        </ext>
      </extLst>
    </bk>
    <bk>
      <extLst>
        <ext uri="{3e2802c4-a4d2-4d8b-9148-e3be6c30e623}">
          <xlrd:rvb i="6662"/>
        </ext>
      </extLst>
    </bk>
    <bk>
      <extLst>
        <ext uri="{3e2802c4-a4d2-4d8b-9148-e3be6c30e623}">
          <xlrd:rvb i="6663"/>
        </ext>
      </extLst>
    </bk>
    <bk>
      <extLst>
        <ext uri="{3e2802c4-a4d2-4d8b-9148-e3be6c30e623}">
          <xlrd:rvb i="6664"/>
        </ext>
      </extLst>
    </bk>
    <bk>
      <extLst>
        <ext uri="{3e2802c4-a4d2-4d8b-9148-e3be6c30e623}">
          <xlrd:rvb i="6665"/>
        </ext>
      </extLst>
    </bk>
    <bk>
      <extLst>
        <ext uri="{3e2802c4-a4d2-4d8b-9148-e3be6c30e623}">
          <xlrd:rvb i="6666"/>
        </ext>
      </extLst>
    </bk>
    <bk>
      <extLst>
        <ext uri="{3e2802c4-a4d2-4d8b-9148-e3be6c30e623}">
          <xlrd:rvb i="6667"/>
        </ext>
      </extLst>
    </bk>
    <bk>
      <extLst>
        <ext uri="{3e2802c4-a4d2-4d8b-9148-e3be6c30e623}">
          <xlrd:rvb i="6668"/>
        </ext>
      </extLst>
    </bk>
    <bk>
      <extLst>
        <ext uri="{3e2802c4-a4d2-4d8b-9148-e3be6c30e623}">
          <xlrd:rvb i="6669"/>
        </ext>
      </extLst>
    </bk>
    <bk>
      <extLst>
        <ext uri="{3e2802c4-a4d2-4d8b-9148-e3be6c30e623}">
          <xlrd:rvb i="6670"/>
        </ext>
      </extLst>
    </bk>
    <bk>
      <extLst>
        <ext uri="{3e2802c4-a4d2-4d8b-9148-e3be6c30e623}">
          <xlrd:rvb i="6671"/>
        </ext>
      </extLst>
    </bk>
    <bk>
      <extLst>
        <ext uri="{3e2802c4-a4d2-4d8b-9148-e3be6c30e623}">
          <xlrd:rvb i="6672"/>
        </ext>
      </extLst>
    </bk>
    <bk>
      <extLst>
        <ext uri="{3e2802c4-a4d2-4d8b-9148-e3be6c30e623}">
          <xlrd:rvb i="6673"/>
        </ext>
      </extLst>
    </bk>
    <bk>
      <extLst>
        <ext uri="{3e2802c4-a4d2-4d8b-9148-e3be6c30e623}">
          <xlrd:rvb i="6674"/>
        </ext>
      </extLst>
    </bk>
    <bk>
      <extLst>
        <ext uri="{3e2802c4-a4d2-4d8b-9148-e3be6c30e623}">
          <xlrd:rvb i="6675"/>
        </ext>
      </extLst>
    </bk>
    <bk>
      <extLst>
        <ext uri="{3e2802c4-a4d2-4d8b-9148-e3be6c30e623}">
          <xlrd:rvb i="6676"/>
        </ext>
      </extLst>
    </bk>
    <bk>
      <extLst>
        <ext uri="{3e2802c4-a4d2-4d8b-9148-e3be6c30e623}">
          <xlrd:rvb i="6677"/>
        </ext>
      </extLst>
    </bk>
    <bk>
      <extLst>
        <ext uri="{3e2802c4-a4d2-4d8b-9148-e3be6c30e623}">
          <xlrd:rvb i="6678"/>
        </ext>
      </extLst>
    </bk>
    <bk>
      <extLst>
        <ext uri="{3e2802c4-a4d2-4d8b-9148-e3be6c30e623}">
          <xlrd:rvb i="6679"/>
        </ext>
      </extLst>
    </bk>
    <bk>
      <extLst>
        <ext uri="{3e2802c4-a4d2-4d8b-9148-e3be6c30e623}">
          <xlrd:rvb i="6680"/>
        </ext>
      </extLst>
    </bk>
    <bk>
      <extLst>
        <ext uri="{3e2802c4-a4d2-4d8b-9148-e3be6c30e623}">
          <xlrd:rvb i="6681"/>
        </ext>
      </extLst>
    </bk>
    <bk>
      <extLst>
        <ext uri="{3e2802c4-a4d2-4d8b-9148-e3be6c30e623}">
          <xlrd:rvb i="6682"/>
        </ext>
      </extLst>
    </bk>
    <bk>
      <extLst>
        <ext uri="{3e2802c4-a4d2-4d8b-9148-e3be6c30e623}">
          <xlrd:rvb i="6683"/>
        </ext>
      </extLst>
    </bk>
    <bk>
      <extLst>
        <ext uri="{3e2802c4-a4d2-4d8b-9148-e3be6c30e623}">
          <xlrd:rvb i="6684"/>
        </ext>
      </extLst>
    </bk>
    <bk>
      <extLst>
        <ext uri="{3e2802c4-a4d2-4d8b-9148-e3be6c30e623}">
          <xlrd:rvb i="6685"/>
        </ext>
      </extLst>
    </bk>
    <bk>
      <extLst>
        <ext uri="{3e2802c4-a4d2-4d8b-9148-e3be6c30e623}">
          <xlrd:rvb i="6686"/>
        </ext>
      </extLst>
    </bk>
    <bk>
      <extLst>
        <ext uri="{3e2802c4-a4d2-4d8b-9148-e3be6c30e623}">
          <xlrd:rvb i="6687"/>
        </ext>
      </extLst>
    </bk>
    <bk>
      <extLst>
        <ext uri="{3e2802c4-a4d2-4d8b-9148-e3be6c30e623}">
          <xlrd:rvb i="6688"/>
        </ext>
      </extLst>
    </bk>
    <bk>
      <extLst>
        <ext uri="{3e2802c4-a4d2-4d8b-9148-e3be6c30e623}">
          <xlrd:rvb i="6689"/>
        </ext>
      </extLst>
    </bk>
    <bk>
      <extLst>
        <ext uri="{3e2802c4-a4d2-4d8b-9148-e3be6c30e623}">
          <xlrd:rvb i="6690"/>
        </ext>
      </extLst>
    </bk>
    <bk>
      <extLst>
        <ext uri="{3e2802c4-a4d2-4d8b-9148-e3be6c30e623}">
          <xlrd:rvb i="6691"/>
        </ext>
      </extLst>
    </bk>
    <bk>
      <extLst>
        <ext uri="{3e2802c4-a4d2-4d8b-9148-e3be6c30e623}">
          <xlrd:rvb i="6692"/>
        </ext>
      </extLst>
    </bk>
    <bk>
      <extLst>
        <ext uri="{3e2802c4-a4d2-4d8b-9148-e3be6c30e623}">
          <xlrd:rvb i="6693"/>
        </ext>
      </extLst>
    </bk>
    <bk>
      <extLst>
        <ext uri="{3e2802c4-a4d2-4d8b-9148-e3be6c30e623}">
          <xlrd:rvb i="6694"/>
        </ext>
      </extLst>
    </bk>
    <bk>
      <extLst>
        <ext uri="{3e2802c4-a4d2-4d8b-9148-e3be6c30e623}">
          <xlrd:rvb i="6695"/>
        </ext>
      </extLst>
    </bk>
    <bk>
      <extLst>
        <ext uri="{3e2802c4-a4d2-4d8b-9148-e3be6c30e623}">
          <xlrd:rvb i="6696"/>
        </ext>
      </extLst>
    </bk>
    <bk>
      <extLst>
        <ext uri="{3e2802c4-a4d2-4d8b-9148-e3be6c30e623}">
          <xlrd:rvb i="6697"/>
        </ext>
      </extLst>
    </bk>
    <bk>
      <extLst>
        <ext uri="{3e2802c4-a4d2-4d8b-9148-e3be6c30e623}">
          <xlrd:rvb i="6698"/>
        </ext>
      </extLst>
    </bk>
    <bk>
      <extLst>
        <ext uri="{3e2802c4-a4d2-4d8b-9148-e3be6c30e623}">
          <xlrd:rvb i="6699"/>
        </ext>
      </extLst>
    </bk>
    <bk>
      <extLst>
        <ext uri="{3e2802c4-a4d2-4d8b-9148-e3be6c30e623}">
          <xlrd:rvb i="6700"/>
        </ext>
      </extLst>
    </bk>
    <bk>
      <extLst>
        <ext uri="{3e2802c4-a4d2-4d8b-9148-e3be6c30e623}">
          <xlrd:rvb i="6701"/>
        </ext>
      </extLst>
    </bk>
    <bk>
      <extLst>
        <ext uri="{3e2802c4-a4d2-4d8b-9148-e3be6c30e623}">
          <xlrd:rvb i="6702"/>
        </ext>
      </extLst>
    </bk>
    <bk>
      <extLst>
        <ext uri="{3e2802c4-a4d2-4d8b-9148-e3be6c30e623}">
          <xlrd:rvb i="6703"/>
        </ext>
      </extLst>
    </bk>
    <bk>
      <extLst>
        <ext uri="{3e2802c4-a4d2-4d8b-9148-e3be6c30e623}">
          <xlrd:rvb i="6704"/>
        </ext>
      </extLst>
    </bk>
    <bk>
      <extLst>
        <ext uri="{3e2802c4-a4d2-4d8b-9148-e3be6c30e623}">
          <xlrd:rvb i="6705"/>
        </ext>
      </extLst>
    </bk>
    <bk>
      <extLst>
        <ext uri="{3e2802c4-a4d2-4d8b-9148-e3be6c30e623}">
          <xlrd:rvb i="6706"/>
        </ext>
      </extLst>
    </bk>
    <bk>
      <extLst>
        <ext uri="{3e2802c4-a4d2-4d8b-9148-e3be6c30e623}">
          <xlrd:rvb i="6707"/>
        </ext>
      </extLst>
    </bk>
    <bk>
      <extLst>
        <ext uri="{3e2802c4-a4d2-4d8b-9148-e3be6c30e623}">
          <xlrd:rvb i="6708"/>
        </ext>
      </extLst>
    </bk>
    <bk>
      <extLst>
        <ext uri="{3e2802c4-a4d2-4d8b-9148-e3be6c30e623}">
          <xlrd:rvb i="6709"/>
        </ext>
      </extLst>
    </bk>
    <bk>
      <extLst>
        <ext uri="{3e2802c4-a4d2-4d8b-9148-e3be6c30e623}">
          <xlrd:rvb i="6710"/>
        </ext>
      </extLst>
    </bk>
    <bk>
      <extLst>
        <ext uri="{3e2802c4-a4d2-4d8b-9148-e3be6c30e623}">
          <xlrd:rvb i="6711"/>
        </ext>
      </extLst>
    </bk>
    <bk>
      <extLst>
        <ext uri="{3e2802c4-a4d2-4d8b-9148-e3be6c30e623}">
          <xlrd:rvb i="6712"/>
        </ext>
      </extLst>
    </bk>
    <bk>
      <extLst>
        <ext uri="{3e2802c4-a4d2-4d8b-9148-e3be6c30e623}">
          <xlrd:rvb i="6713"/>
        </ext>
      </extLst>
    </bk>
    <bk>
      <extLst>
        <ext uri="{3e2802c4-a4d2-4d8b-9148-e3be6c30e623}">
          <xlrd:rvb i="6714"/>
        </ext>
      </extLst>
    </bk>
    <bk>
      <extLst>
        <ext uri="{3e2802c4-a4d2-4d8b-9148-e3be6c30e623}">
          <xlrd:rvb i="6715"/>
        </ext>
      </extLst>
    </bk>
    <bk>
      <extLst>
        <ext uri="{3e2802c4-a4d2-4d8b-9148-e3be6c30e623}">
          <xlrd:rvb i="6716"/>
        </ext>
      </extLst>
    </bk>
    <bk>
      <extLst>
        <ext uri="{3e2802c4-a4d2-4d8b-9148-e3be6c30e623}">
          <xlrd:rvb i="6717"/>
        </ext>
      </extLst>
    </bk>
    <bk>
      <extLst>
        <ext uri="{3e2802c4-a4d2-4d8b-9148-e3be6c30e623}">
          <xlrd:rvb i="6718"/>
        </ext>
      </extLst>
    </bk>
    <bk>
      <extLst>
        <ext uri="{3e2802c4-a4d2-4d8b-9148-e3be6c30e623}">
          <xlrd:rvb i="6719"/>
        </ext>
      </extLst>
    </bk>
    <bk>
      <extLst>
        <ext uri="{3e2802c4-a4d2-4d8b-9148-e3be6c30e623}">
          <xlrd:rvb i="6720"/>
        </ext>
      </extLst>
    </bk>
    <bk>
      <extLst>
        <ext uri="{3e2802c4-a4d2-4d8b-9148-e3be6c30e623}">
          <xlrd:rvb i="6721"/>
        </ext>
      </extLst>
    </bk>
    <bk>
      <extLst>
        <ext uri="{3e2802c4-a4d2-4d8b-9148-e3be6c30e623}">
          <xlrd:rvb i="6722"/>
        </ext>
      </extLst>
    </bk>
    <bk>
      <extLst>
        <ext uri="{3e2802c4-a4d2-4d8b-9148-e3be6c30e623}">
          <xlrd:rvb i="6723"/>
        </ext>
      </extLst>
    </bk>
    <bk>
      <extLst>
        <ext uri="{3e2802c4-a4d2-4d8b-9148-e3be6c30e623}">
          <xlrd:rvb i="6724"/>
        </ext>
      </extLst>
    </bk>
    <bk>
      <extLst>
        <ext uri="{3e2802c4-a4d2-4d8b-9148-e3be6c30e623}">
          <xlrd:rvb i="6725"/>
        </ext>
      </extLst>
    </bk>
    <bk>
      <extLst>
        <ext uri="{3e2802c4-a4d2-4d8b-9148-e3be6c30e623}">
          <xlrd:rvb i="6726"/>
        </ext>
      </extLst>
    </bk>
    <bk>
      <extLst>
        <ext uri="{3e2802c4-a4d2-4d8b-9148-e3be6c30e623}">
          <xlrd:rvb i="6727"/>
        </ext>
      </extLst>
    </bk>
    <bk>
      <extLst>
        <ext uri="{3e2802c4-a4d2-4d8b-9148-e3be6c30e623}">
          <xlrd:rvb i="6728"/>
        </ext>
      </extLst>
    </bk>
    <bk>
      <extLst>
        <ext uri="{3e2802c4-a4d2-4d8b-9148-e3be6c30e623}">
          <xlrd:rvb i="6729"/>
        </ext>
      </extLst>
    </bk>
    <bk>
      <extLst>
        <ext uri="{3e2802c4-a4d2-4d8b-9148-e3be6c30e623}">
          <xlrd:rvb i="6730"/>
        </ext>
      </extLst>
    </bk>
    <bk>
      <extLst>
        <ext uri="{3e2802c4-a4d2-4d8b-9148-e3be6c30e623}">
          <xlrd:rvb i="6731"/>
        </ext>
      </extLst>
    </bk>
    <bk>
      <extLst>
        <ext uri="{3e2802c4-a4d2-4d8b-9148-e3be6c30e623}">
          <xlrd:rvb i="6732"/>
        </ext>
      </extLst>
    </bk>
    <bk>
      <extLst>
        <ext uri="{3e2802c4-a4d2-4d8b-9148-e3be6c30e623}">
          <xlrd:rvb i="6733"/>
        </ext>
      </extLst>
    </bk>
    <bk>
      <extLst>
        <ext uri="{3e2802c4-a4d2-4d8b-9148-e3be6c30e623}">
          <xlrd:rvb i="6734"/>
        </ext>
      </extLst>
    </bk>
    <bk>
      <extLst>
        <ext uri="{3e2802c4-a4d2-4d8b-9148-e3be6c30e623}">
          <xlrd:rvb i="6735"/>
        </ext>
      </extLst>
    </bk>
    <bk>
      <extLst>
        <ext uri="{3e2802c4-a4d2-4d8b-9148-e3be6c30e623}">
          <xlrd:rvb i="6736"/>
        </ext>
      </extLst>
    </bk>
    <bk>
      <extLst>
        <ext uri="{3e2802c4-a4d2-4d8b-9148-e3be6c30e623}">
          <xlrd:rvb i="6737"/>
        </ext>
      </extLst>
    </bk>
    <bk>
      <extLst>
        <ext uri="{3e2802c4-a4d2-4d8b-9148-e3be6c30e623}">
          <xlrd:rvb i="6738"/>
        </ext>
      </extLst>
    </bk>
    <bk>
      <extLst>
        <ext uri="{3e2802c4-a4d2-4d8b-9148-e3be6c30e623}">
          <xlrd:rvb i="6739"/>
        </ext>
      </extLst>
    </bk>
    <bk>
      <extLst>
        <ext uri="{3e2802c4-a4d2-4d8b-9148-e3be6c30e623}">
          <xlrd:rvb i="6740"/>
        </ext>
      </extLst>
    </bk>
    <bk>
      <extLst>
        <ext uri="{3e2802c4-a4d2-4d8b-9148-e3be6c30e623}">
          <xlrd:rvb i="6741"/>
        </ext>
      </extLst>
    </bk>
    <bk>
      <extLst>
        <ext uri="{3e2802c4-a4d2-4d8b-9148-e3be6c30e623}">
          <xlrd:rvb i="6742"/>
        </ext>
      </extLst>
    </bk>
    <bk>
      <extLst>
        <ext uri="{3e2802c4-a4d2-4d8b-9148-e3be6c30e623}">
          <xlrd:rvb i="6743"/>
        </ext>
      </extLst>
    </bk>
    <bk>
      <extLst>
        <ext uri="{3e2802c4-a4d2-4d8b-9148-e3be6c30e623}">
          <xlrd:rvb i="6744"/>
        </ext>
      </extLst>
    </bk>
    <bk>
      <extLst>
        <ext uri="{3e2802c4-a4d2-4d8b-9148-e3be6c30e623}">
          <xlrd:rvb i="6745"/>
        </ext>
      </extLst>
    </bk>
    <bk>
      <extLst>
        <ext uri="{3e2802c4-a4d2-4d8b-9148-e3be6c30e623}">
          <xlrd:rvb i="6746"/>
        </ext>
      </extLst>
    </bk>
    <bk>
      <extLst>
        <ext uri="{3e2802c4-a4d2-4d8b-9148-e3be6c30e623}">
          <xlrd:rvb i="6747"/>
        </ext>
      </extLst>
    </bk>
    <bk>
      <extLst>
        <ext uri="{3e2802c4-a4d2-4d8b-9148-e3be6c30e623}">
          <xlrd:rvb i="6748"/>
        </ext>
      </extLst>
    </bk>
    <bk>
      <extLst>
        <ext uri="{3e2802c4-a4d2-4d8b-9148-e3be6c30e623}">
          <xlrd:rvb i="6749"/>
        </ext>
      </extLst>
    </bk>
    <bk>
      <extLst>
        <ext uri="{3e2802c4-a4d2-4d8b-9148-e3be6c30e623}">
          <xlrd:rvb i="6750"/>
        </ext>
      </extLst>
    </bk>
    <bk>
      <extLst>
        <ext uri="{3e2802c4-a4d2-4d8b-9148-e3be6c30e623}">
          <xlrd:rvb i="6751"/>
        </ext>
      </extLst>
    </bk>
    <bk>
      <extLst>
        <ext uri="{3e2802c4-a4d2-4d8b-9148-e3be6c30e623}">
          <xlrd:rvb i="6752"/>
        </ext>
      </extLst>
    </bk>
    <bk>
      <extLst>
        <ext uri="{3e2802c4-a4d2-4d8b-9148-e3be6c30e623}">
          <xlrd:rvb i="6753"/>
        </ext>
      </extLst>
    </bk>
    <bk>
      <extLst>
        <ext uri="{3e2802c4-a4d2-4d8b-9148-e3be6c30e623}">
          <xlrd:rvb i="6754"/>
        </ext>
      </extLst>
    </bk>
    <bk>
      <extLst>
        <ext uri="{3e2802c4-a4d2-4d8b-9148-e3be6c30e623}">
          <xlrd:rvb i="6755"/>
        </ext>
      </extLst>
    </bk>
    <bk>
      <extLst>
        <ext uri="{3e2802c4-a4d2-4d8b-9148-e3be6c30e623}">
          <xlrd:rvb i="6756"/>
        </ext>
      </extLst>
    </bk>
    <bk>
      <extLst>
        <ext uri="{3e2802c4-a4d2-4d8b-9148-e3be6c30e623}">
          <xlrd:rvb i="6757"/>
        </ext>
      </extLst>
    </bk>
    <bk>
      <extLst>
        <ext uri="{3e2802c4-a4d2-4d8b-9148-e3be6c30e623}">
          <xlrd:rvb i="6758"/>
        </ext>
      </extLst>
    </bk>
    <bk>
      <extLst>
        <ext uri="{3e2802c4-a4d2-4d8b-9148-e3be6c30e623}">
          <xlrd:rvb i="6759"/>
        </ext>
      </extLst>
    </bk>
    <bk>
      <extLst>
        <ext uri="{3e2802c4-a4d2-4d8b-9148-e3be6c30e623}">
          <xlrd:rvb i="6760"/>
        </ext>
      </extLst>
    </bk>
    <bk>
      <extLst>
        <ext uri="{3e2802c4-a4d2-4d8b-9148-e3be6c30e623}">
          <xlrd:rvb i="6761"/>
        </ext>
      </extLst>
    </bk>
    <bk>
      <extLst>
        <ext uri="{3e2802c4-a4d2-4d8b-9148-e3be6c30e623}">
          <xlrd:rvb i="6762"/>
        </ext>
      </extLst>
    </bk>
    <bk>
      <extLst>
        <ext uri="{3e2802c4-a4d2-4d8b-9148-e3be6c30e623}">
          <xlrd:rvb i="6763"/>
        </ext>
      </extLst>
    </bk>
    <bk>
      <extLst>
        <ext uri="{3e2802c4-a4d2-4d8b-9148-e3be6c30e623}">
          <xlrd:rvb i="6764"/>
        </ext>
      </extLst>
    </bk>
    <bk>
      <extLst>
        <ext uri="{3e2802c4-a4d2-4d8b-9148-e3be6c30e623}">
          <xlrd:rvb i="6765"/>
        </ext>
      </extLst>
    </bk>
    <bk>
      <extLst>
        <ext uri="{3e2802c4-a4d2-4d8b-9148-e3be6c30e623}">
          <xlrd:rvb i="6766"/>
        </ext>
      </extLst>
    </bk>
    <bk>
      <extLst>
        <ext uri="{3e2802c4-a4d2-4d8b-9148-e3be6c30e623}">
          <xlrd:rvb i="6767"/>
        </ext>
      </extLst>
    </bk>
    <bk>
      <extLst>
        <ext uri="{3e2802c4-a4d2-4d8b-9148-e3be6c30e623}">
          <xlrd:rvb i="6768"/>
        </ext>
      </extLst>
    </bk>
    <bk>
      <extLst>
        <ext uri="{3e2802c4-a4d2-4d8b-9148-e3be6c30e623}">
          <xlrd:rvb i="6769"/>
        </ext>
      </extLst>
    </bk>
    <bk>
      <extLst>
        <ext uri="{3e2802c4-a4d2-4d8b-9148-e3be6c30e623}">
          <xlrd:rvb i="6770"/>
        </ext>
      </extLst>
    </bk>
    <bk>
      <extLst>
        <ext uri="{3e2802c4-a4d2-4d8b-9148-e3be6c30e623}">
          <xlrd:rvb i="6771"/>
        </ext>
      </extLst>
    </bk>
    <bk>
      <extLst>
        <ext uri="{3e2802c4-a4d2-4d8b-9148-e3be6c30e623}">
          <xlrd:rvb i="6772"/>
        </ext>
      </extLst>
    </bk>
    <bk>
      <extLst>
        <ext uri="{3e2802c4-a4d2-4d8b-9148-e3be6c30e623}">
          <xlrd:rvb i="6773"/>
        </ext>
      </extLst>
    </bk>
    <bk>
      <extLst>
        <ext uri="{3e2802c4-a4d2-4d8b-9148-e3be6c30e623}">
          <xlrd:rvb i="6774"/>
        </ext>
      </extLst>
    </bk>
    <bk>
      <extLst>
        <ext uri="{3e2802c4-a4d2-4d8b-9148-e3be6c30e623}">
          <xlrd:rvb i="6775"/>
        </ext>
      </extLst>
    </bk>
    <bk>
      <extLst>
        <ext uri="{3e2802c4-a4d2-4d8b-9148-e3be6c30e623}">
          <xlrd:rvb i="6776"/>
        </ext>
      </extLst>
    </bk>
    <bk>
      <extLst>
        <ext uri="{3e2802c4-a4d2-4d8b-9148-e3be6c30e623}">
          <xlrd:rvb i="6777"/>
        </ext>
      </extLst>
    </bk>
    <bk>
      <extLst>
        <ext uri="{3e2802c4-a4d2-4d8b-9148-e3be6c30e623}">
          <xlrd:rvb i="6778"/>
        </ext>
      </extLst>
    </bk>
    <bk>
      <extLst>
        <ext uri="{3e2802c4-a4d2-4d8b-9148-e3be6c30e623}">
          <xlrd:rvb i="6779"/>
        </ext>
      </extLst>
    </bk>
    <bk>
      <extLst>
        <ext uri="{3e2802c4-a4d2-4d8b-9148-e3be6c30e623}">
          <xlrd:rvb i="6780"/>
        </ext>
      </extLst>
    </bk>
    <bk>
      <extLst>
        <ext uri="{3e2802c4-a4d2-4d8b-9148-e3be6c30e623}">
          <xlrd:rvb i="6781"/>
        </ext>
      </extLst>
    </bk>
    <bk>
      <extLst>
        <ext uri="{3e2802c4-a4d2-4d8b-9148-e3be6c30e623}">
          <xlrd:rvb i="6782"/>
        </ext>
      </extLst>
    </bk>
    <bk>
      <extLst>
        <ext uri="{3e2802c4-a4d2-4d8b-9148-e3be6c30e623}">
          <xlrd:rvb i="6783"/>
        </ext>
      </extLst>
    </bk>
    <bk>
      <extLst>
        <ext uri="{3e2802c4-a4d2-4d8b-9148-e3be6c30e623}">
          <xlrd:rvb i="6784"/>
        </ext>
      </extLst>
    </bk>
    <bk>
      <extLst>
        <ext uri="{3e2802c4-a4d2-4d8b-9148-e3be6c30e623}">
          <xlrd:rvb i="6785"/>
        </ext>
      </extLst>
    </bk>
    <bk>
      <extLst>
        <ext uri="{3e2802c4-a4d2-4d8b-9148-e3be6c30e623}">
          <xlrd:rvb i="6786"/>
        </ext>
      </extLst>
    </bk>
    <bk>
      <extLst>
        <ext uri="{3e2802c4-a4d2-4d8b-9148-e3be6c30e623}">
          <xlrd:rvb i="6787"/>
        </ext>
      </extLst>
    </bk>
    <bk>
      <extLst>
        <ext uri="{3e2802c4-a4d2-4d8b-9148-e3be6c30e623}">
          <xlrd:rvb i="6788"/>
        </ext>
      </extLst>
    </bk>
    <bk>
      <extLst>
        <ext uri="{3e2802c4-a4d2-4d8b-9148-e3be6c30e623}">
          <xlrd:rvb i="6789"/>
        </ext>
      </extLst>
    </bk>
    <bk>
      <extLst>
        <ext uri="{3e2802c4-a4d2-4d8b-9148-e3be6c30e623}">
          <xlrd:rvb i="6790"/>
        </ext>
      </extLst>
    </bk>
    <bk>
      <extLst>
        <ext uri="{3e2802c4-a4d2-4d8b-9148-e3be6c30e623}">
          <xlrd:rvb i="6791"/>
        </ext>
      </extLst>
    </bk>
    <bk>
      <extLst>
        <ext uri="{3e2802c4-a4d2-4d8b-9148-e3be6c30e623}">
          <xlrd:rvb i="6792"/>
        </ext>
      </extLst>
    </bk>
    <bk>
      <extLst>
        <ext uri="{3e2802c4-a4d2-4d8b-9148-e3be6c30e623}">
          <xlrd:rvb i="6793"/>
        </ext>
      </extLst>
    </bk>
    <bk>
      <extLst>
        <ext uri="{3e2802c4-a4d2-4d8b-9148-e3be6c30e623}">
          <xlrd:rvb i="6794"/>
        </ext>
      </extLst>
    </bk>
    <bk>
      <extLst>
        <ext uri="{3e2802c4-a4d2-4d8b-9148-e3be6c30e623}">
          <xlrd:rvb i="6795"/>
        </ext>
      </extLst>
    </bk>
    <bk>
      <extLst>
        <ext uri="{3e2802c4-a4d2-4d8b-9148-e3be6c30e623}">
          <xlrd:rvb i="6796"/>
        </ext>
      </extLst>
    </bk>
    <bk>
      <extLst>
        <ext uri="{3e2802c4-a4d2-4d8b-9148-e3be6c30e623}">
          <xlrd:rvb i="6797"/>
        </ext>
      </extLst>
    </bk>
    <bk>
      <extLst>
        <ext uri="{3e2802c4-a4d2-4d8b-9148-e3be6c30e623}">
          <xlrd:rvb i="6798"/>
        </ext>
      </extLst>
    </bk>
    <bk>
      <extLst>
        <ext uri="{3e2802c4-a4d2-4d8b-9148-e3be6c30e623}">
          <xlrd:rvb i="6799"/>
        </ext>
      </extLst>
    </bk>
    <bk>
      <extLst>
        <ext uri="{3e2802c4-a4d2-4d8b-9148-e3be6c30e623}">
          <xlrd:rvb i="6800"/>
        </ext>
      </extLst>
    </bk>
    <bk>
      <extLst>
        <ext uri="{3e2802c4-a4d2-4d8b-9148-e3be6c30e623}">
          <xlrd:rvb i="6801"/>
        </ext>
      </extLst>
    </bk>
    <bk>
      <extLst>
        <ext uri="{3e2802c4-a4d2-4d8b-9148-e3be6c30e623}">
          <xlrd:rvb i="6802"/>
        </ext>
      </extLst>
    </bk>
    <bk>
      <extLst>
        <ext uri="{3e2802c4-a4d2-4d8b-9148-e3be6c30e623}">
          <xlrd:rvb i="6803"/>
        </ext>
      </extLst>
    </bk>
    <bk>
      <extLst>
        <ext uri="{3e2802c4-a4d2-4d8b-9148-e3be6c30e623}">
          <xlrd:rvb i="6804"/>
        </ext>
      </extLst>
    </bk>
    <bk>
      <extLst>
        <ext uri="{3e2802c4-a4d2-4d8b-9148-e3be6c30e623}">
          <xlrd:rvb i="6805"/>
        </ext>
      </extLst>
    </bk>
    <bk>
      <extLst>
        <ext uri="{3e2802c4-a4d2-4d8b-9148-e3be6c30e623}">
          <xlrd:rvb i="6806"/>
        </ext>
      </extLst>
    </bk>
    <bk>
      <extLst>
        <ext uri="{3e2802c4-a4d2-4d8b-9148-e3be6c30e623}">
          <xlrd:rvb i="6807"/>
        </ext>
      </extLst>
    </bk>
    <bk>
      <extLst>
        <ext uri="{3e2802c4-a4d2-4d8b-9148-e3be6c30e623}">
          <xlrd:rvb i="6808"/>
        </ext>
      </extLst>
    </bk>
    <bk>
      <extLst>
        <ext uri="{3e2802c4-a4d2-4d8b-9148-e3be6c30e623}">
          <xlrd:rvb i="6809"/>
        </ext>
      </extLst>
    </bk>
    <bk>
      <extLst>
        <ext uri="{3e2802c4-a4d2-4d8b-9148-e3be6c30e623}">
          <xlrd:rvb i="6810"/>
        </ext>
      </extLst>
    </bk>
    <bk>
      <extLst>
        <ext uri="{3e2802c4-a4d2-4d8b-9148-e3be6c30e623}">
          <xlrd:rvb i="6811"/>
        </ext>
      </extLst>
    </bk>
    <bk>
      <extLst>
        <ext uri="{3e2802c4-a4d2-4d8b-9148-e3be6c30e623}">
          <xlrd:rvb i="6812"/>
        </ext>
      </extLst>
    </bk>
    <bk>
      <extLst>
        <ext uri="{3e2802c4-a4d2-4d8b-9148-e3be6c30e623}">
          <xlrd:rvb i="6813"/>
        </ext>
      </extLst>
    </bk>
    <bk>
      <extLst>
        <ext uri="{3e2802c4-a4d2-4d8b-9148-e3be6c30e623}">
          <xlrd:rvb i="6814"/>
        </ext>
      </extLst>
    </bk>
    <bk>
      <extLst>
        <ext uri="{3e2802c4-a4d2-4d8b-9148-e3be6c30e623}">
          <xlrd:rvb i="6815"/>
        </ext>
      </extLst>
    </bk>
    <bk>
      <extLst>
        <ext uri="{3e2802c4-a4d2-4d8b-9148-e3be6c30e623}">
          <xlrd:rvb i="6816"/>
        </ext>
      </extLst>
    </bk>
    <bk>
      <extLst>
        <ext uri="{3e2802c4-a4d2-4d8b-9148-e3be6c30e623}">
          <xlrd:rvb i="6817"/>
        </ext>
      </extLst>
    </bk>
    <bk>
      <extLst>
        <ext uri="{3e2802c4-a4d2-4d8b-9148-e3be6c30e623}">
          <xlrd:rvb i="6818"/>
        </ext>
      </extLst>
    </bk>
    <bk>
      <extLst>
        <ext uri="{3e2802c4-a4d2-4d8b-9148-e3be6c30e623}">
          <xlrd:rvb i="6819"/>
        </ext>
      </extLst>
    </bk>
    <bk>
      <extLst>
        <ext uri="{3e2802c4-a4d2-4d8b-9148-e3be6c30e623}">
          <xlrd:rvb i="6820"/>
        </ext>
      </extLst>
    </bk>
    <bk>
      <extLst>
        <ext uri="{3e2802c4-a4d2-4d8b-9148-e3be6c30e623}">
          <xlrd:rvb i="6821"/>
        </ext>
      </extLst>
    </bk>
    <bk>
      <extLst>
        <ext uri="{3e2802c4-a4d2-4d8b-9148-e3be6c30e623}">
          <xlrd:rvb i="6822"/>
        </ext>
      </extLst>
    </bk>
    <bk>
      <extLst>
        <ext uri="{3e2802c4-a4d2-4d8b-9148-e3be6c30e623}">
          <xlrd:rvb i="6823"/>
        </ext>
      </extLst>
    </bk>
    <bk>
      <extLst>
        <ext uri="{3e2802c4-a4d2-4d8b-9148-e3be6c30e623}">
          <xlrd:rvb i="6824"/>
        </ext>
      </extLst>
    </bk>
    <bk>
      <extLst>
        <ext uri="{3e2802c4-a4d2-4d8b-9148-e3be6c30e623}">
          <xlrd:rvb i="6825"/>
        </ext>
      </extLst>
    </bk>
    <bk>
      <extLst>
        <ext uri="{3e2802c4-a4d2-4d8b-9148-e3be6c30e623}">
          <xlrd:rvb i="6826"/>
        </ext>
      </extLst>
    </bk>
    <bk>
      <extLst>
        <ext uri="{3e2802c4-a4d2-4d8b-9148-e3be6c30e623}">
          <xlrd:rvb i="6827"/>
        </ext>
      </extLst>
    </bk>
    <bk>
      <extLst>
        <ext uri="{3e2802c4-a4d2-4d8b-9148-e3be6c30e623}">
          <xlrd:rvb i="6828"/>
        </ext>
      </extLst>
    </bk>
    <bk>
      <extLst>
        <ext uri="{3e2802c4-a4d2-4d8b-9148-e3be6c30e623}">
          <xlrd:rvb i="6829"/>
        </ext>
      </extLst>
    </bk>
    <bk>
      <extLst>
        <ext uri="{3e2802c4-a4d2-4d8b-9148-e3be6c30e623}">
          <xlrd:rvb i="6830"/>
        </ext>
      </extLst>
    </bk>
    <bk>
      <extLst>
        <ext uri="{3e2802c4-a4d2-4d8b-9148-e3be6c30e623}">
          <xlrd:rvb i="6831"/>
        </ext>
      </extLst>
    </bk>
    <bk>
      <extLst>
        <ext uri="{3e2802c4-a4d2-4d8b-9148-e3be6c30e623}">
          <xlrd:rvb i="6832"/>
        </ext>
      </extLst>
    </bk>
    <bk>
      <extLst>
        <ext uri="{3e2802c4-a4d2-4d8b-9148-e3be6c30e623}">
          <xlrd:rvb i="6833"/>
        </ext>
      </extLst>
    </bk>
    <bk>
      <extLst>
        <ext uri="{3e2802c4-a4d2-4d8b-9148-e3be6c30e623}">
          <xlrd:rvb i="6834"/>
        </ext>
      </extLst>
    </bk>
    <bk>
      <extLst>
        <ext uri="{3e2802c4-a4d2-4d8b-9148-e3be6c30e623}">
          <xlrd:rvb i="6835"/>
        </ext>
      </extLst>
    </bk>
    <bk>
      <extLst>
        <ext uri="{3e2802c4-a4d2-4d8b-9148-e3be6c30e623}">
          <xlrd:rvb i="6836"/>
        </ext>
      </extLst>
    </bk>
    <bk>
      <extLst>
        <ext uri="{3e2802c4-a4d2-4d8b-9148-e3be6c30e623}">
          <xlrd:rvb i="6837"/>
        </ext>
      </extLst>
    </bk>
    <bk>
      <extLst>
        <ext uri="{3e2802c4-a4d2-4d8b-9148-e3be6c30e623}">
          <xlrd:rvb i="6838"/>
        </ext>
      </extLst>
    </bk>
    <bk>
      <extLst>
        <ext uri="{3e2802c4-a4d2-4d8b-9148-e3be6c30e623}">
          <xlrd:rvb i="6839"/>
        </ext>
      </extLst>
    </bk>
    <bk>
      <extLst>
        <ext uri="{3e2802c4-a4d2-4d8b-9148-e3be6c30e623}">
          <xlrd:rvb i="6840"/>
        </ext>
      </extLst>
    </bk>
    <bk>
      <extLst>
        <ext uri="{3e2802c4-a4d2-4d8b-9148-e3be6c30e623}">
          <xlrd:rvb i="6841"/>
        </ext>
      </extLst>
    </bk>
    <bk>
      <extLst>
        <ext uri="{3e2802c4-a4d2-4d8b-9148-e3be6c30e623}">
          <xlrd:rvb i="6842"/>
        </ext>
      </extLst>
    </bk>
    <bk>
      <extLst>
        <ext uri="{3e2802c4-a4d2-4d8b-9148-e3be6c30e623}">
          <xlrd:rvb i="6843"/>
        </ext>
      </extLst>
    </bk>
    <bk>
      <extLst>
        <ext uri="{3e2802c4-a4d2-4d8b-9148-e3be6c30e623}">
          <xlrd:rvb i="6844"/>
        </ext>
      </extLst>
    </bk>
    <bk>
      <extLst>
        <ext uri="{3e2802c4-a4d2-4d8b-9148-e3be6c30e623}">
          <xlrd:rvb i="6845"/>
        </ext>
      </extLst>
    </bk>
    <bk>
      <extLst>
        <ext uri="{3e2802c4-a4d2-4d8b-9148-e3be6c30e623}">
          <xlrd:rvb i="6846"/>
        </ext>
      </extLst>
    </bk>
    <bk>
      <extLst>
        <ext uri="{3e2802c4-a4d2-4d8b-9148-e3be6c30e623}">
          <xlrd:rvb i="6847"/>
        </ext>
      </extLst>
    </bk>
    <bk>
      <extLst>
        <ext uri="{3e2802c4-a4d2-4d8b-9148-e3be6c30e623}">
          <xlrd:rvb i="6848"/>
        </ext>
      </extLst>
    </bk>
    <bk>
      <extLst>
        <ext uri="{3e2802c4-a4d2-4d8b-9148-e3be6c30e623}">
          <xlrd:rvb i="6849"/>
        </ext>
      </extLst>
    </bk>
    <bk>
      <extLst>
        <ext uri="{3e2802c4-a4d2-4d8b-9148-e3be6c30e623}">
          <xlrd:rvb i="6850"/>
        </ext>
      </extLst>
    </bk>
    <bk>
      <extLst>
        <ext uri="{3e2802c4-a4d2-4d8b-9148-e3be6c30e623}">
          <xlrd:rvb i="6851"/>
        </ext>
      </extLst>
    </bk>
    <bk>
      <extLst>
        <ext uri="{3e2802c4-a4d2-4d8b-9148-e3be6c30e623}">
          <xlrd:rvb i="6852"/>
        </ext>
      </extLst>
    </bk>
    <bk>
      <extLst>
        <ext uri="{3e2802c4-a4d2-4d8b-9148-e3be6c30e623}">
          <xlrd:rvb i="6853"/>
        </ext>
      </extLst>
    </bk>
    <bk>
      <extLst>
        <ext uri="{3e2802c4-a4d2-4d8b-9148-e3be6c30e623}">
          <xlrd:rvb i="6854"/>
        </ext>
      </extLst>
    </bk>
    <bk>
      <extLst>
        <ext uri="{3e2802c4-a4d2-4d8b-9148-e3be6c30e623}">
          <xlrd:rvb i="6855"/>
        </ext>
      </extLst>
    </bk>
    <bk>
      <extLst>
        <ext uri="{3e2802c4-a4d2-4d8b-9148-e3be6c30e623}">
          <xlrd:rvb i="6856"/>
        </ext>
      </extLst>
    </bk>
    <bk>
      <extLst>
        <ext uri="{3e2802c4-a4d2-4d8b-9148-e3be6c30e623}">
          <xlrd:rvb i="6857"/>
        </ext>
      </extLst>
    </bk>
    <bk>
      <extLst>
        <ext uri="{3e2802c4-a4d2-4d8b-9148-e3be6c30e623}">
          <xlrd:rvb i="6858"/>
        </ext>
      </extLst>
    </bk>
    <bk>
      <extLst>
        <ext uri="{3e2802c4-a4d2-4d8b-9148-e3be6c30e623}">
          <xlrd:rvb i="6859"/>
        </ext>
      </extLst>
    </bk>
    <bk>
      <extLst>
        <ext uri="{3e2802c4-a4d2-4d8b-9148-e3be6c30e623}">
          <xlrd:rvb i="6860"/>
        </ext>
      </extLst>
    </bk>
    <bk>
      <extLst>
        <ext uri="{3e2802c4-a4d2-4d8b-9148-e3be6c30e623}">
          <xlrd:rvb i="6861"/>
        </ext>
      </extLst>
    </bk>
    <bk>
      <extLst>
        <ext uri="{3e2802c4-a4d2-4d8b-9148-e3be6c30e623}">
          <xlrd:rvb i="6862"/>
        </ext>
      </extLst>
    </bk>
    <bk>
      <extLst>
        <ext uri="{3e2802c4-a4d2-4d8b-9148-e3be6c30e623}">
          <xlrd:rvb i="6863"/>
        </ext>
      </extLst>
    </bk>
    <bk>
      <extLst>
        <ext uri="{3e2802c4-a4d2-4d8b-9148-e3be6c30e623}">
          <xlrd:rvb i="6864"/>
        </ext>
      </extLst>
    </bk>
    <bk>
      <extLst>
        <ext uri="{3e2802c4-a4d2-4d8b-9148-e3be6c30e623}">
          <xlrd:rvb i="6865"/>
        </ext>
      </extLst>
    </bk>
    <bk>
      <extLst>
        <ext uri="{3e2802c4-a4d2-4d8b-9148-e3be6c30e623}">
          <xlrd:rvb i="6866"/>
        </ext>
      </extLst>
    </bk>
    <bk>
      <extLst>
        <ext uri="{3e2802c4-a4d2-4d8b-9148-e3be6c30e623}">
          <xlrd:rvb i="6867"/>
        </ext>
      </extLst>
    </bk>
    <bk>
      <extLst>
        <ext uri="{3e2802c4-a4d2-4d8b-9148-e3be6c30e623}">
          <xlrd:rvb i="6868"/>
        </ext>
      </extLst>
    </bk>
    <bk>
      <extLst>
        <ext uri="{3e2802c4-a4d2-4d8b-9148-e3be6c30e623}">
          <xlrd:rvb i="6869"/>
        </ext>
      </extLst>
    </bk>
    <bk>
      <extLst>
        <ext uri="{3e2802c4-a4d2-4d8b-9148-e3be6c30e623}">
          <xlrd:rvb i="6870"/>
        </ext>
      </extLst>
    </bk>
    <bk>
      <extLst>
        <ext uri="{3e2802c4-a4d2-4d8b-9148-e3be6c30e623}">
          <xlrd:rvb i="6871"/>
        </ext>
      </extLst>
    </bk>
    <bk>
      <extLst>
        <ext uri="{3e2802c4-a4d2-4d8b-9148-e3be6c30e623}">
          <xlrd:rvb i="6872"/>
        </ext>
      </extLst>
    </bk>
    <bk>
      <extLst>
        <ext uri="{3e2802c4-a4d2-4d8b-9148-e3be6c30e623}">
          <xlrd:rvb i="6873"/>
        </ext>
      </extLst>
    </bk>
    <bk>
      <extLst>
        <ext uri="{3e2802c4-a4d2-4d8b-9148-e3be6c30e623}">
          <xlrd:rvb i="6874"/>
        </ext>
      </extLst>
    </bk>
    <bk>
      <extLst>
        <ext uri="{3e2802c4-a4d2-4d8b-9148-e3be6c30e623}">
          <xlrd:rvb i="6875"/>
        </ext>
      </extLst>
    </bk>
    <bk>
      <extLst>
        <ext uri="{3e2802c4-a4d2-4d8b-9148-e3be6c30e623}">
          <xlrd:rvb i="6876"/>
        </ext>
      </extLst>
    </bk>
    <bk>
      <extLst>
        <ext uri="{3e2802c4-a4d2-4d8b-9148-e3be6c30e623}">
          <xlrd:rvb i="6877"/>
        </ext>
      </extLst>
    </bk>
    <bk>
      <extLst>
        <ext uri="{3e2802c4-a4d2-4d8b-9148-e3be6c30e623}">
          <xlrd:rvb i="6878"/>
        </ext>
      </extLst>
    </bk>
    <bk>
      <extLst>
        <ext uri="{3e2802c4-a4d2-4d8b-9148-e3be6c30e623}">
          <xlrd:rvb i="6879"/>
        </ext>
      </extLst>
    </bk>
    <bk>
      <extLst>
        <ext uri="{3e2802c4-a4d2-4d8b-9148-e3be6c30e623}">
          <xlrd:rvb i="6880"/>
        </ext>
      </extLst>
    </bk>
    <bk>
      <extLst>
        <ext uri="{3e2802c4-a4d2-4d8b-9148-e3be6c30e623}">
          <xlrd:rvb i="6881"/>
        </ext>
      </extLst>
    </bk>
    <bk>
      <extLst>
        <ext uri="{3e2802c4-a4d2-4d8b-9148-e3be6c30e623}">
          <xlrd:rvb i="6882"/>
        </ext>
      </extLst>
    </bk>
    <bk>
      <extLst>
        <ext uri="{3e2802c4-a4d2-4d8b-9148-e3be6c30e623}">
          <xlrd:rvb i="6883"/>
        </ext>
      </extLst>
    </bk>
    <bk>
      <extLst>
        <ext uri="{3e2802c4-a4d2-4d8b-9148-e3be6c30e623}">
          <xlrd:rvb i="6884"/>
        </ext>
      </extLst>
    </bk>
    <bk>
      <extLst>
        <ext uri="{3e2802c4-a4d2-4d8b-9148-e3be6c30e623}">
          <xlrd:rvb i="6885"/>
        </ext>
      </extLst>
    </bk>
    <bk>
      <extLst>
        <ext uri="{3e2802c4-a4d2-4d8b-9148-e3be6c30e623}">
          <xlrd:rvb i="6886"/>
        </ext>
      </extLst>
    </bk>
    <bk>
      <extLst>
        <ext uri="{3e2802c4-a4d2-4d8b-9148-e3be6c30e623}">
          <xlrd:rvb i="6887"/>
        </ext>
      </extLst>
    </bk>
    <bk>
      <extLst>
        <ext uri="{3e2802c4-a4d2-4d8b-9148-e3be6c30e623}">
          <xlrd:rvb i="6888"/>
        </ext>
      </extLst>
    </bk>
    <bk>
      <extLst>
        <ext uri="{3e2802c4-a4d2-4d8b-9148-e3be6c30e623}">
          <xlrd:rvb i="6889"/>
        </ext>
      </extLst>
    </bk>
    <bk>
      <extLst>
        <ext uri="{3e2802c4-a4d2-4d8b-9148-e3be6c30e623}">
          <xlrd:rvb i="6890"/>
        </ext>
      </extLst>
    </bk>
    <bk>
      <extLst>
        <ext uri="{3e2802c4-a4d2-4d8b-9148-e3be6c30e623}">
          <xlrd:rvb i="6891"/>
        </ext>
      </extLst>
    </bk>
    <bk>
      <extLst>
        <ext uri="{3e2802c4-a4d2-4d8b-9148-e3be6c30e623}">
          <xlrd:rvb i="6892"/>
        </ext>
      </extLst>
    </bk>
    <bk>
      <extLst>
        <ext uri="{3e2802c4-a4d2-4d8b-9148-e3be6c30e623}">
          <xlrd:rvb i="6893"/>
        </ext>
      </extLst>
    </bk>
    <bk>
      <extLst>
        <ext uri="{3e2802c4-a4d2-4d8b-9148-e3be6c30e623}">
          <xlrd:rvb i="6894"/>
        </ext>
      </extLst>
    </bk>
    <bk>
      <extLst>
        <ext uri="{3e2802c4-a4d2-4d8b-9148-e3be6c30e623}">
          <xlrd:rvb i="6895"/>
        </ext>
      </extLst>
    </bk>
    <bk>
      <extLst>
        <ext uri="{3e2802c4-a4d2-4d8b-9148-e3be6c30e623}">
          <xlrd:rvb i="6896"/>
        </ext>
      </extLst>
    </bk>
    <bk>
      <extLst>
        <ext uri="{3e2802c4-a4d2-4d8b-9148-e3be6c30e623}">
          <xlrd:rvb i="6897"/>
        </ext>
      </extLst>
    </bk>
    <bk>
      <extLst>
        <ext uri="{3e2802c4-a4d2-4d8b-9148-e3be6c30e623}">
          <xlrd:rvb i="6898"/>
        </ext>
      </extLst>
    </bk>
    <bk>
      <extLst>
        <ext uri="{3e2802c4-a4d2-4d8b-9148-e3be6c30e623}">
          <xlrd:rvb i="6899"/>
        </ext>
      </extLst>
    </bk>
    <bk>
      <extLst>
        <ext uri="{3e2802c4-a4d2-4d8b-9148-e3be6c30e623}">
          <xlrd:rvb i="6900"/>
        </ext>
      </extLst>
    </bk>
    <bk>
      <extLst>
        <ext uri="{3e2802c4-a4d2-4d8b-9148-e3be6c30e623}">
          <xlrd:rvb i="6901"/>
        </ext>
      </extLst>
    </bk>
    <bk>
      <extLst>
        <ext uri="{3e2802c4-a4d2-4d8b-9148-e3be6c30e623}">
          <xlrd:rvb i="6902"/>
        </ext>
      </extLst>
    </bk>
    <bk>
      <extLst>
        <ext uri="{3e2802c4-a4d2-4d8b-9148-e3be6c30e623}">
          <xlrd:rvb i="6903"/>
        </ext>
      </extLst>
    </bk>
    <bk>
      <extLst>
        <ext uri="{3e2802c4-a4d2-4d8b-9148-e3be6c30e623}">
          <xlrd:rvb i="6904"/>
        </ext>
      </extLst>
    </bk>
    <bk>
      <extLst>
        <ext uri="{3e2802c4-a4d2-4d8b-9148-e3be6c30e623}">
          <xlrd:rvb i="6905"/>
        </ext>
      </extLst>
    </bk>
    <bk>
      <extLst>
        <ext uri="{3e2802c4-a4d2-4d8b-9148-e3be6c30e623}">
          <xlrd:rvb i="6906"/>
        </ext>
      </extLst>
    </bk>
    <bk>
      <extLst>
        <ext uri="{3e2802c4-a4d2-4d8b-9148-e3be6c30e623}">
          <xlrd:rvb i="6907"/>
        </ext>
      </extLst>
    </bk>
    <bk>
      <extLst>
        <ext uri="{3e2802c4-a4d2-4d8b-9148-e3be6c30e623}">
          <xlrd:rvb i="6908"/>
        </ext>
      </extLst>
    </bk>
    <bk>
      <extLst>
        <ext uri="{3e2802c4-a4d2-4d8b-9148-e3be6c30e623}">
          <xlrd:rvb i="6909"/>
        </ext>
      </extLst>
    </bk>
    <bk>
      <extLst>
        <ext uri="{3e2802c4-a4d2-4d8b-9148-e3be6c30e623}">
          <xlrd:rvb i="6910"/>
        </ext>
      </extLst>
    </bk>
    <bk>
      <extLst>
        <ext uri="{3e2802c4-a4d2-4d8b-9148-e3be6c30e623}">
          <xlrd:rvb i="6911"/>
        </ext>
      </extLst>
    </bk>
    <bk>
      <extLst>
        <ext uri="{3e2802c4-a4d2-4d8b-9148-e3be6c30e623}">
          <xlrd:rvb i="6912"/>
        </ext>
      </extLst>
    </bk>
    <bk>
      <extLst>
        <ext uri="{3e2802c4-a4d2-4d8b-9148-e3be6c30e623}">
          <xlrd:rvb i="6913"/>
        </ext>
      </extLst>
    </bk>
    <bk>
      <extLst>
        <ext uri="{3e2802c4-a4d2-4d8b-9148-e3be6c30e623}">
          <xlrd:rvb i="6914"/>
        </ext>
      </extLst>
    </bk>
    <bk>
      <extLst>
        <ext uri="{3e2802c4-a4d2-4d8b-9148-e3be6c30e623}">
          <xlrd:rvb i="6915"/>
        </ext>
      </extLst>
    </bk>
    <bk>
      <extLst>
        <ext uri="{3e2802c4-a4d2-4d8b-9148-e3be6c30e623}">
          <xlrd:rvb i="6916"/>
        </ext>
      </extLst>
    </bk>
    <bk>
      <extLst>
        <ext uri="{3e2802c4-a4d2-4d8b-9148-e3be6c30e623}">
          <xlrd:rvb i="6917"/>
        </ext>
      </extLst>
    </bk>
    <bk>
      <extLst>
        <ext uri="{3e2802c4-a4d2-4d8b-9148-e3be6c30e623}">
          <xlrd:rvb i="6918"/>
        </ext>
      </extLst>
    </bk>
    <bk>
      <extLst>
        <ext uri="{3e2802c4-a4d2-4d8b-9148-e3be6c30e623}">
          <xlrd:rvb i="6919"/>
        </ext>
      </extLst>
    </bk>
    <bk>
      <extLst>
        <ext uri="{3e2802c4-a4d2-4d8b-9148-e3be6c30e623}">
          <xlrd:rvb i="6920"/>
        </ext>
      </extLst>
    </bk>
    <bk>
      <extLst>
        <ext uri="{3e2802c4-a4d2-4d8b-9148-e3be6c30e623}">
          <xlrd:rvb i="6921"/>
        </ext>
      </extLst>
    </bk>
    <bk>
      <extLst>
        <ext uri="{3e2802c4-a4d2-4d8b-9148-e3be6c30e623}">
          <xlrd:rvb i="6922"/>
        </ext>
      </extLst>
    </bk>
    <bk>
      <extLst>
        <ext uri="{3e2802c4-a4d2-4d8b-9148-e3be6c30e623}">
          <xlrd:rvb i="6923"/>
        </ext>
      </extLst>
    </bk>
    <bk>
      <extLst>
        <ext uri="{3e2802c4-a4d2-4d8b-9148-e3be6c30e623}">
          <xlrd:rvb i="6924"/>
        </ext>
      </extLst>
    </bk>
    <bk>
      <extLst>
        <ext uri="{3e2802c4-a4d2-4d8b-9148-e3be6c30e623}">
          <xlrd:rvb i="6925"/>
        </ext>
      </extLst>
    </bk>
    <bk>
      <extLst>
        <ext uri="{3e2802c4-a4d2-4d8b-9148-e3be6c30e623}">
          <xlrd:rvb i="6926"/>
        </ext>
      </extLst>
    </bk>
    <bk>
      <extLst>
        <ext uri="{3e2802c4-a4d2-4d8b-9148-e3be6c30e623}">
          <xlrd:rvb i="6927"/>
        </ext>
      </extLst>
    </bk>
    <bk>
      <extLst>
        <ext uri="{3e2802c4-a4d2-4d8b-9148-e3be6c30e623}">
          <xlrd:rvb i="6928"/>
        </ext>
      </extLst>
    </bk>
    <bk>
      <extLst>
        <ext uri="{3e2802c4-a4d2-4d8b-9148-e3be6c30e623}">
          <xlrd:rvb i="6929"/>
        </ext>
      </extLst>
    </bk>
    <bk>
      <extLst>
        <ext uri="{3e2802c4-a4d2-4d8b-9148-e3be6c30e623}">
          <xlrd:rvb i="6930"/>
        </ext>
      </extLst>
    </bk>
    <bk>
      <extLst>
        <ext uri="{3e2802c4-a4d2-4d8b-9148-e3be6c30e623}">
          <xlrd:rvb i="6931"/>
        </ext>
      </extLst>
    </bk>
    <bk>
      <extLst>
        <ext uri="{3e2802c4-a4d2-4d8b-9148-e3be6c30e623}">
          <xlrd:rvb i="6932"/>
        </ext>
      </extLst>
    </bk>
    <bk>
      <extLst>
        <ext uri="{3e2802c4-a4d2-4d8b-9148-e3be6c30e623}">
          <xlrd:rvb i="6933"/>
        </ext>
      </extLst>
    </bk>
    <bk>
      <extLst>
        <ext uri="{3e2802c4-a4d2-4d8b-9148-e3be6c30e623}">
          <xlrd:rvb i="6934"/>
        </ext>
      </extLst>
    </bk>
    <bk>
      <extLst>
        <ext uri="{3e2802c4-a4d2-4d8b-9148-e3be6c30e623}">
          <xlrd:rvb i="6935"/>
        </ext>
      </extLst>
    </bk>
    <bk>
      <extLst>
        <ext uri="{3e2802c4-a4d2-4d8b-9148-e3be6c30e623}">
          <xlrd:rvb i="6936"/>
        </ext>
      </extLst>
    </bk>
    <bk>
      <extLst>
        <ext uri="{3e2802c4-a4d2-4d8b-9148-e3be6c30e623}">
          <xlrd:rvb i="6937"/>
        </ext>
      </extLst>
    </bk>
    <bk>
      <extLst>
        <ext uri="{3e2802c4-a4d2-4d8b-9148-e3be6c30e623}">
          <xlrd:rvb i="6938"/>
        </ext>
      </extLst>
    </bk>
    <bk>
      <extLst>
        <ext uri="{3e2802c4-a4d2-4d8b-9148-e3be6c30e623}">
          <xlrd:rvb i="6939"/>
        </ext>
      </extLst>
    </bk>
    <bk>
      <extLst>
        <ext uri="{3e2802c4-a4d2-4d8b-9148-e3be6c30e623}">
          <xlrd:rvb i="6940"/>
        </ext>
      </extLst>
    </bk>
    <bk>
      <extLst>
        <ext uri="{3e2802c4-a4d2-4d8b-9148-e3be6c30e623}">
          <xlrd:rvb i="6941"/>
        </ext>
      </extLst>
    </bk>
    <bk>
      <extLst>
        <ext uri="{3e2802c4-a4d2-4d8b-9148-e3be6c30e623}">
          <xlrd:rvb i="6942"/>
        </ext>
      </extLst>
    </bk>
    <bk>
      <extLst>
        <ext uri="{3e2802c4-a4d2-4d8b-9148-e3be6c30e623}">
          <xlrd:rvb i="6943"/>
        </ext>
      </extLst>
    </bk>
    <bk>
      <extLst>
        <ext uri="{3e2802c4-a4d2-4d8b-9148-e3be6c30e623}">
          <xlrd:rvb i="6944"/>
        </ext>
      </extLst>
    </bk>
    <bk>
      <extLst>
        <ext uri="{3e2802c4-a4d2-4d8b-9148-e3be6c30e623}">
          <xlrd:rvb i="6945"/>
        </ext>
      </extLst>
    </bk>
    <bk>
      <extLst>
        <ext uri="{3e2802c4-a4d2-4d8b-9148-e3be6c30e623}">
          <xlrd:rvb i="6946"/>
        </ext>
      </extLst>
    </bk>
    <bk>
      <extLst>
        <ext uri="{3e2802c4-a4d2-4d8b-9148-e3be6c30e623}">
          <xlrd:rvb i="6947"/>
        </ext>
      </extLst>
    </bk>
    <bk>
      <extLst>
        <ext uri="{3e2802c4-a4d2-4d8b-9148-e3be6c30e623}">
          <xlrd:rvb i="6948"/>
        </ext>
      </extLst>
    </bk>
    <bk>
      <extLst>
        <ext uri="{3e2802c4-a4d2-4d8b-9148-e3be6c30e623}">
          <xlrd:rvb i="6949"/>
        </ext>
      </extLst>
    </bk>
    <bk>
      <extLst>
        <ext uri="{3e2802c4-a4d2-4d8b-9148-e3be6c30e623}">
          <xlrd:rvb i="6950"/>
        </ext>
      </extLst>
    </bk>
    <bk>
      <extLst>
        <ext uri="{3e2802c4-a4d2-4d8b-9148-e3be6c30e623}">
          <xlrd:rvb i="6951"/>
        </ext>
      </extLst>
    </bk>
    <bk>
      <extLst>
        <ext uri="{3e2802c4-a4d2-4d8b-9148-e3be6c30e623}">
          <xlrd:rvb i="6952"/>
        </ext>
      </extLst>
    </bk>
    <bk>
      <extLst>
        <ext uri="{3e2802c4-a4d2-4d8b-9148-e3be6c30e623}">
          <xlrd:rvb i="6953"/>
        </ext>
      </extLst>
    </bk>
    <bk>
      <extLst>
        <ext uri="{3e2802c4-a4d2-4d8b-9148-e3be6c30e623}">
          <xlrd:rvb i="6954"/>
        </ext>
      </extLst>
    </bk>
    <bk>
      <extLst>
        <ext uri="{3e2802c4-a4d2-4d8b-9148-e3be6c30e623}">
          <xlrd:rvb i="6955"/>
        </ext>
      </extLst>
    </bk>
    <bk>
      <extLst>
        <ext uri="{3e2802c4-a4d2-4d8b-9148-e3be6c30e623}">
          <xlrd:rvb i="6956"/>
        </ext>
      </extLst>
    </bk>
    <bk>
      <extLst>
        <ext uri="{3e2802c4-a4d2-4d8b-9148-e3be6c30e623}">
          <xlrd:rvb i="6957"/>
        </ext>
      </extLst>
    </bk>
    <bk>
      <extLst>
        <ext uri="{3e2802c4-a4d2-4d8b-9148-e3be6c30e623}">
          <xlrd:rvb i="6958"/>
        </ext>
      </extLst>
    </bk>
    <bk>
      <extLst>
        <ext uri="{3e2802c4-a4d2-4d8b-9148-e3be6c30e623}">
          <xlrd:rvb i="6959"/>
        </ext>
      </extLst>
    </bk>
    <bk>
      <extLst>
        <ext uri="{3e2802c4-a4d2-4d8b-9148-e3be6c30e623}">
          <xlrd:rvb i="6960"/>
        </ext>
      </extLst>
    </bk>
    <bk>
      <extLst>
        <ext uri="{3e2802c4-a4d2-4d8b-9148-e3be6c30e623}">
          <xlrd:rvb i="6961"/>
        </ext>
      </extLst>
    </bk>
    <bk>
      <extLst>
        <ext uri="{3e2802c4-a4d2-4d8b-9148-e3be6c30e623}">
          <xlrd:rvb i="6962"/>
        </ext>
      </extLst>
    </bk>
    <bk>
      <extLst>
        <ext uri="{3e2802c4-a4d2-4d8b-9148-e3be6c30e623}">
          <xlrd:rvb i="6963"/>
        </ext>
      </extLst>
    </bk>
    <bk>
      <extLst>
        <ext uri="{3e2802c4-a4d2-4d8b-9148-e3be6c30e623}">
          <xlrd:rvb i="6964"/>
        </ext>
      </extLst>
    </bk>
    <bk>
      <extLst>
        <ext uri="{3e2802c4-a4d2-4d8b-9148-e3be6c30e623}">
          <xlrd:rvb i="6965"/>
        </ext>
      </extLst>
    </bk>
    <bk>
      <extLst>
        <ext uri="{3e2802c4-a4d2-4d8b-9148-e3be6c30e623}">
          <xlrd:rvb i="6966"/>
        </ext>
      </extLst>
    </bk>
    <bk>
      <extLst>
        <ext uri="{3e2802c4-a4d2-4d8b-9148-e3be6c30e623}">
          <xlrd:rvb i="6967"/>
        </ext>
      </extLst>
    </bk>
    <bk>
      <extLst>
        <ext uri="{3e2802c4-a4d2-4d8b-9148-e3be6c30e623}">
          <xlrd:rvb i="6968"/>
        </ext>
      </extLst>
    </bk>
    <bk>
      <extLst>
        <ext uri="{3e2802c4-a4d2-4d8b-9148-e3be6c30e623}">
          <xlrd:rvb i="6969"/>
        </ext>
      </extLst>
    </bk>
    <bk>
      <extLst>
        <ext uri="{3e2802c4-a4d2-4d8b-9148-e3be6c30e623}">
          <xlrd:rvb i="6970"/>
        </ext>
      </extLst>
    </bk>
    <bk>
      <extLst>
        <ext uri="{3e2802c4-a4d2-4d8b-9148-e3be6c30e623}">
          <xlrd:rvb i="6971"/>
        </ext>
      </extLst>
    </bk>
    <bk>
      <extLst>
        <ext uri="{3e2802c4-a4d2-4d8b-9148-e3be6c30e623}">
          <xlrd:rvb i="6972"/>
        </ext>
      </extLst>
    </bk>
    <bk>
      <extLst>
        <ext uri="{3e2802c4-a4d2-4d8b-9148-e3be6c30e623}">
          <xlrd:rvb i="6973"/>
        </ext>
      </extLst>
    </bk>
    <bk>
      <extLst>
        <ext uri="{3e2802c4-a4d2-4d8b-9148-e3be6c30e623}">
          <xlrd:rvb i="6974"/>
        </ext>
      </extLst>
    </bk>
    <bk>
      <extLst>
        <ext uri="{3e2802c4-a4d2-4d8b-9148-e3be6c30e623}">
          <xlrd:rvb i="6975"/>
        </ext>
      </extLst>
    </bk>
    <bk>
      <extLst>
        <ext uri="{3e2802c4-a4d2-4d8b-9148-e3be6c30e623}">
          <xlrd:rvb i="6976"/>
        </ext>
      </extLst>
    </bk>
    <bk>
      <extLst>
        <ext uri="{3e2802c4-a4d2-4d8b-9148-e3be6c30e623}">
          <xlrd:rvb i="6977"/>
        </ext>
      </extLst>
    </bk>
    <bk>
      <extLst>
        <ext uri="{3e2802c4-a4d2-4d8b-9148-e3be6c30e623}">
          <xlrd:rvb i="6978"/>
        </ext>
      </extLst>
    </bk>
    <bk>
      <extLst>
        <ext uri="{3e2802c4-a4d2-4d8b-9148-e3be6c30e623}">
          <xlrd:rvb i="6979"/>
        </ext>
      </extLst>
    </bk>
    <bk>
      <extLst>
        <ext uri="{3e2802c4-a4d2-4d8b-9148-e3be6c30e623}">
          <xlrd:rvb i="6980"/>
        </ext>
      </extLst>
    </bk>
    <bk>
      <extLst>
        <ext uri="{3e2802c4-a4d2-4d8b-9148-e3be6c30e623}">
          <xlrd:rvb i="6981"/>
        </ext>
      </extLst>
    </bk>
    <bk>
      <extLst>
        <ext uri="{3e2802c4-a4d2-4d8b-9148-e3be6c30e623}">
          <xlrd:rvb i="6982"/>
        </ext>
      </extLst>
    </bk>
    <bk>
      <extLst>
        <ext uri="{3e2802c4-a4d2-4d8b-9148-e3be6c30e623}">
          <xlrd:rvb i="6983"/>
        </ext>
      </extLst>
    </bk>
    <bk>
      <extLst>
        <ext uri="{3e2802c4-a4d2-4d8b-9148-e3be6c30e623}">
          <xlrd:rvb i="6984"/>
        </ext>
      </extLst>
    </bk>
    <bk>
      <extLst>
        <ext uri="{3e2802c4-a4d2-4d8b-9148-e3be6c30e623}">
          <xlrd:rvb i="6985"/>
        </ext>
      </extLst>
    </bk>
    <bk>
      <extLst>
        <ext uri="{3e2802c4-a4d2-4d8b-9148-e3be6c30e623}">
          <xlrd:rvb i="6986"/>
        </ext>
      </extLst>
    </bk>
    <bk>
      <extLst>
        <ext uri="{3e2802c4-a4d2-4d8b-9148-e3be6c30e623}">
          <xlrd:rvb i="6987"/>
        </ext>
      </extLst>
    </bk>
    <bk>
      <extLst>
        <ext uri="{3e2802c4-a4d2-4d8b-9148-e3be6c30e623}">
          <xlrd:rvb i="6988"/>
        </ext>
      </extLst>
    </bk>
    <bk>
      <extLst>
        <ext uri="{3e2802c4-a4d2-4d8b-9148-e3be6c30e623}">
          <xlrd:rvb i="6989"/>
        </ext>
      </extLst>
    </bk>
    <bk>
      <extLst>
        <ext uri="{3e2802c4-a4d2-4d8b-9148-e3be6c30e623}">
          <xlrd:rvb i="6990"/>
        </ext>
      </extLst>
    </bk>
    <bk>
      <extLst>
        <ext uri="{3e2802c4-a4d2-4d8b-9148-e3be6c30e623}">
          <xlrd:rvb i="6991"/>
        </ext>
      </extLst>
    </bk>
    <bk>
      <extLst>
        <ext uri="{3e2802c4-a4d2-4d8b-9148-e3be6c30e623}">
          <xlrd:rvb i="6992"/>
        </ext>
      </extLst>
    </bk>
    <bk>
      <extLst>
        <ext uri="{3e2802c4-a4d2-4d8b-9148-e3be6c30e623}">
          <xlrd:rvb i="6993"/>
        </ext>
      </extLst>
    </bk>
    <bk>
      <extLst>
        <ext uri="{3e2802c4-a4d2-4d8b-9148-e3be6c30e623}">
          <xlrd:rvb i="6994"/>
        </ext>
      </extLst>
    </bk>
    <bk>
      <extLst>
        <ext uri="{3e2802c4-a4d2-4d8b-9148-e3be6c30e623}">
          <xlrd:rvb i="6995"/>
        </ext>
      </extLst>
    </bk>
    <bk>
      <extLst>
        <ext uri="{3e2802c4-a4d2-4d8b-9148-e3be6c30e623}">
          <xlrd:rvb i="6996"/>
        </ext>
      </extLst>
    </bk>
    <bk>
      <extLst>
        <ext uri="{3e2802c4-a4d2-4d8b-9148-e3be6c30e623}">
          <xlrd:rvb i="6997"/>
        </ext>
      </extLst>
    </bk>
    <bk>
      <extLst>
        <ext uri="{3e2802c4-a4d2-4d8b-9148-e3be6c30e623}">
          <xlrd:rvb i="6998"/>
        </ext>
      </extLst>
    </bk>
    <bk>
      <extLst>
        <ext uri="{3e2802c4-a4d2-4d8b-9148-e3be6c30e623}">
          <xlrd:rvb i="6999"/>
        </ext>
      </extLst>
    </bk>
    <bk>
      <extLst>
        <ext uri="{3e2802c4-a4d2-4d8b-9148-e3be6c30e623}">
          <xlrd:rvb i="7000"/>
        </ext>
      </extLst>
    </bk>
    <bk>
      <extLst>
        <ext uri="{3e2802c4-a4d2-4d8b-9148-e3be6c30e623}">
          <xlrd:rvb i="7001"/>
        </ext>
      </extLst>
    </bk>
    <bk>
      <extLst>
        <ext uri="{3e2802c4-a4d2-4d8b-9148-e3be6c30e623}">
          <xlrd:rvb i="7002"/>
        </ext>
      </extLst>
    </bk>
    <bk>
      <extLst>
        <ext uri="{3e2802c4-a4d2-4d8b-9148-e3be6c30e623}">
          <xlrd:rvb i="7003"/>
        </ext>
      </extLst>
    </bk>
    <bk>
      <extLst>
        <ext uri="{3e2802c4-a4d2-4d8b-9148-e3be6c30e623}">
          <xlrd:rvb i="7004"/>
        </ext>
      </extLst>
    </bk>
    <bk>
      <extLst>
        <ext uri="{3e2802c4-a4d2-4d8b-9148-e3be6c30e623}">
          <xlrd:rvb i="7005"/>
        </ext>
      </extLst>
    </bk>
    <bk>
      <extLst>
        <ext uri="{3e2802c4-a4d2-4d8b-9148-e3be6c30e623}">
          <xlrd:rvb i="7006"/>
        </ext>
      </extLst>
    </bk>
    <bk>
      <extLst>
        <ext uri="{3e2802c4-a4d2-4d8b-9148-e3be6c30e623}">
          <xlrd:rvb i="7007"/>
        </ext>
      </extLst>
    </bk>
    <bk>
      <extLst>
        <ext uri="{3e2802c4-a4d2-4d8b-9148-e3be6c30e623}">
          <xlrd:rvb i="7008"/>
        </ext>
      </extLst>
    </bk>
    <bk>
      <extLst>
        <ext uri="{3e2802c4-a4d2-4d8b-9148-e3be6c30e623}">
          <xlrd:rvb i="7009"/>
        </ext>
      </extLst>
    </bk>
    <bk>
      <extLst>
        <ext uri="{3e2802c4-a4d2-4d8b-9148-e3be6c30e623}">
          <xlrd:rvb i="7010"/>
        </ext>
      </extLst>
    </bk>
    <bk>
      <extLst>
        <ext uri="{3e2802c4-a4d2-4d8b-9148-e3be6c30e623}">
          <xlrd:rvb i="7011"/>
        </ext>
      </extLst>
    </bk>
    <bk>
      <extLst>
        <ext uri="{3e2802c4-a4d2-4d8b-9148-e3be6c30e623}">
          <xlrd:rvb i="7012"/>
        </ext>
      </extLst>
    </bk>
    <bk>
      <extLst>
        <ext uri="{3e2802c4-a4d2-4d8b-9148-e3be6c30e623}">
          <xlrd:rvb i="7013"/>
        </ext>
      </extLst>
    </bk>
    <bk>
      <extLst>
        <ext uri="{3e2802c4-a4d2-4d8b-9148-e3be6c30e623}">
          <xlrd:rvb i="7014"/>
        </ext>
      </extLst>
    </bk>
    <bk>
      <extLst>
        <ext uri="{3e2802c4-a4d2-4d8b-9148-e3be6c30e623}">
          <xlrd:rvb i="7015"/>
        </ext>
      </extLst>
    </bk>
    <bk>
      <extLst>
        <ext uri="{3e2802c4-a4d2-4d8b-9148-e3be6c30e623}">
          <xlrd:rvb i="7016"/>
        </ext>
      </extLst>
    </bk>
    <bk>
      <extLst>
        <ext uri="{3e2802c4-a4d2-4d8b-9148-e3be6c30e623}">
          <xlrd:rvb i="7017"/>
        </ext>
      </extLst>
    </bk>
    <bk>
      <extLst>
        <ext uri="{3e2802c4-a4d2-4d8b-9148-e3be6c30e623}">
          <xlrd:rvb i="7018"/>
        </ext>
      </extLst>
    </bk>
    <bk>
      <extLst>
        <ext uri="{3e2802c4-a4d2-4d8b-9148-e3be6c30e623}">
          <xlrd:rvb i="7019"/>
        </ext>
      </extLst>
    </bk>
    <bk>
      <extLst>
        <ext uri="{3e2802c4-a4d2-4d8b-9148-e3be6c30e623}">
          <xlrd:rvb i="7020"/>
        </ext>
      </extLst>
    </bk>
    <bk>
      <extLst>
        <ext uri="{3e2802c4-a4d2-4d8b-9148-e3be6c30e623}">
          <xlrd:rvb i="7021"/>
        </ext>
      </extLst>
    </bk>
    <bk>
      <extLst>
        <ext uri="{3e2802c4-a4d2-4d8b-9148-e3be6c30e623}">
          <xlrd:rvb i="7022"/>
        </ext>
      </extLst>
    </bk>
    <bk>
      <extLst>
        <ext uri="{3e2802c4-a4d2-4d8b-9148-e3be6c30e623}">
          <xlrd:rvb i="7023"/>
        </ext>
      </extLst>
    </bk>
    <bk>
      <extLst>
        <ext uri="{3e2802c4-a4d2-4d8b-9148-e3be6c30e623}">
          <xlrd:rvb i="7024"/>
        </ext>
      </extLst>
    </bk>
    <bk>
      <extLst>
        <ext uri="{3e2802c4-a4d2-4d8b-9148-e3be6c30e623}">
          <xlrd:rvb i="7025"/>
        </ext>
      </extLst>
    </bk>
    <bk>
      <extLst>
        <ext uri="{3e2802c4-a4d2-4d8b-9148-e3be6c30e623}">
          <xlrd:rvb i="7026"/>
        </ext>
      </extLst>
    </bk>
    <bk>
      <extLst>
        <ext uri="{3e2802c4-a4d2-4d8b-9148-e3be6c30e623}">
          <xlrd:rvb i="7027"/>
        </ext>
      </extLst>
    </bk>
    <bk>
      <extLst>
        <ext uri="{3e2802c4-a4d2-4d8b-9148-e3be6c30e623}">
          <xlrd:rvb i="7028"/>
        </ext>
      </extLst>
    </bk>
    <bk>
      <extLst>
        <ext uri="{3e2802c4-a4d2-4d8b-9148-e3be6c30e623}">
          <xlrd:rvb i="7029"/>
        </ext>
      </extLst>
    </bk>
    <bk>
      <extLst>
        <ext uri="{3e2802c4-a4d2-4d8b-9148-e3be6c30e623}">
          <xlrd:rvb i="7030"/>
        </ext>
      </extLst>
    </bk>
    <bk>
      <extLst>
        <ext uri="{3e2802c4-a4d2-4d8b-9148-e3be6c30e623}">
          <xlrd:rvb i="7031"/>
        </ext>
      </extLst>
    </bk>
    <bk>
      <extLst>
        <ext uri="{3e2802c4-a4d2-4d8b-9148-e3be6c30e623}">
          <xlrd:rvb i="7032"/>
        </ext>
      </extLst>
    </bk>
    <bk>
      <extLst>
        <ext uri="{3e2802c4-a4d2-4d8b-9148-e3be6c30e623}">
          <xlrd:rvb i="7033"/>
        </ext>
      </extLst>
    </bk>
    <bk>
      <extLst>
        <ext uri="{3e2802c4-a4d2-4d8b-9148-e3be6c30e623}">
          <xlrd:rvb i="7034"/>
        </ext>
      </extLst>
    </bk>
    <bk>
      <extLst>
        <ext uri="{3e2802c4-a4d2-4d8b-9148-e3be6c30e623}">
          <xlrd:rvb i="7035"/>
        </ext>
      </extLst>
    </bk>
    <bk>
      <extLst>
        <ext uri="{3e2802c4-a4d2-4d8b-9148-e3be6c30e623}">
          <xlrd:rvb i="7036"/>
        </ext>
      </extLst>
    </bk>
    <bk>
      <extLst>
        <ext uri="{3e2802c4-a4d2-4d8b-9148-e3be6c30e623}">
          <xlrd:rvb i="7037"/>
        </ext>
      </extLst>
    </bk>
    <bk>
      <extLst>
        <ext uri="{3e2802c4-a4d2-4d8b-9148-e3be6c30e623}">
          <xlrd:rvb i="7038"/>
        </ext>
      </extLst>
    </bk>
    <bk>
      <extLst>
        <ext uri="{3e2802c4-a4d2-4d8b-9148-e3be6c30e623}">
          <xlrd:rvb i="7039"/>
        </ext>
      </extLst>
    </bk>
    <bk>
      <extLst>
        <ext uri="{3e2802c4-a4d2-4d8b-9148-e3be6c30e623}">
          <xlrd:rvb i="7040"/>
        </ext>
      </extLst>
    </bk>
    <bk>
      <extLst>
        <ext uri="{3e2802c4-a4d2-4d8b-9148-e3be6c30e623}">
          <xlrd:rvb i="7041"/>
        </ext>
      </extLst>
    </bk>
    <bk>
      <extLst>
        <ext uri="{3e2802c4-a4d2-4d8b-9148-e3be6c30e623}">
          <xlrd:rvb i="7042"/>
        </ext>
      </extLst>
    </bk>
    <bk>
      <extLst>
        <ext uri="{3e2802c4-a4d2-4d8b-9148-e3be6c30e623}">
          <xlrd:rvb i="7043"/>
        </ext>
      </extLst>
    </bk>
    <bk>
      <extLst>
        <ext uri="{3e2802c4-a4d2-4d8b-9148-e3be6c30e623}">
          <xlrd:rvb i="7044"/>
        </ext>
      </extLst>
    </bk>
    <bk>
      <extLst>
        <ext uri="{3e2802c4-a4d2-4d8b-9148-e3be6c30e623}">
          <xlrd:rvb i="7045"/>
        </ext>
      </extLst>
    </bk>
    <bk>
      <extLst>
        <ext uri="{3e2802c4-a4d2-4d8b-9148-e3be6c30e623}">
          <xlrd:rvb i="7046"/>
        </ext>
      </extLst>
    </bk>
    <bk>
      <extLst>
        <ext uri="{3e2802c4-a4d2-4d8b-9148-e3be6c30e623}">
          <xlrd:rvb i="7047"/>
        </ext>
      </extLst>
    </bk>
    <bk>
      <extLst>
        <ext uri="{3e2802c4-a4d2-4d8b-9148-e3be6c30e623}">
          <xlrd:rvb i="7048"/>
        </ext>
      </extLst>
    </bk>
    <bk>
      <extLst>
        <ext uri="{3e2802c4-a4d2-4d8b-9148-e3be6c30e623}">
          <xlrd:rvb i="7049"/>
        </ext>
      </extLst>
    </bk>
    <bk>
      <extLst>
        <ext uri="{3e2802c4-a4d2-4d8b-9148-e3be6c30e623}">
          <xlrd:rvb i="7050"/>
        </ext>
      </extLst>
    </bk>
    <bk>
      <extLst>
        <ext uri="{3e2802c4-a4d2-4d8b-9148-e3be6c30e623}">
          <xlrd:rvb i="7051"/>
        </ext>
      </extLst>
    </bk>
    <bk>
      <extLst>
        <ext uri="{3e2802c4-a4d2-4d8b-9148-e3be6c30e623}">
          <xlrd:rvb i="7052"/>
        </ext>
      </extLst>
    </bk>
    <bk>
      <extLst>
        <ext uri="{3e2802c4-a4d2-4d8b-9148-e3be6c30e623}">
          <xlrd:rvb i="7053"/>
        </ext>
      </extLst>
    </bk>
    <bk>
      <extLst>
        <ext uri="{3e2802c4-a4d2-4d8b-9148-e3be6c30e623}">
          <xlrd:rvb i="7054"/>
        </ext>
      </extLst>
    </bk>
    <bk>
      <extLst>
        <ext uri="{3e2802c4-a4d2-4d8b-9148-e3be6c30e623}">
          <xlrd:rvb i="7055"/>
        </ext>
      </extLst>
    </bk>
    <bk>
      <extLst>
        <ext uri="{3e2802c4-a4d2-4d8b-9148-e3be6c30e623}">
          <xlrd:rvb i="7056"/>
        </ext>
      </extLst>
    </bk>
    <bk>
      <extLst>
        <ext uri="{3e2802c4-a4d2-4d8b-9148-e3be6c30e623}">
          <xlrd:rvb i="7057"/>
        </ext>
      </extLst>
    </bk>
    <bk>
      <extLst>
        <ext uri="{3e2802c4-a4d2-4d8b-9148-e3be6c30e623}">
          <xlrd:rvb i="7058"/>
        </ext>
      </extLst>
    </bk>
    <bk>
      <extLst>
        <ext uri="{3e2802c4-a4d2-4d8b-9148-e3be6c30e623}">
          <xlrd:rvb i="7059"/>
        </ext>
      </extLst>
    </bk>
    <bk>
      <extLst>
        <ext uri="{3e2802c4-a4d2-4d8b-9148-e3be6c30e623}">
          <xlrd:rvb i="7060"/>
        </ext>
      </extLst>
    </bk>
  </futureMetadata>
  <cellMetadata count="1">
    <bk>
      <rc t="1" v="0"/>
    </bk>
  </cellMetadata>
  <valueMetadata count="702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bk>
      <rc t="2" v="944"/>
    </bk>
    <bk>
      <rc t="2" v="945"/>
    </bk>
    <bk>
      <rc t="2" v="946"/>
    </bk>
    <bk>
      <rc t="2" v="947"/>
    </bk>
    <bk>
      <rc t="2" v="948"/>
    </bk>
    <bk>
      <rc t="2" v="949"/>
    </bk>
    <bk>
      <rc t="2" v="950"/>
    </bk>
    <bk>
      <rc t="2" v="951"/>
    </bk>
    <bk>
      <rc t="2" v="952"/>
    </bk>
    <bk>
      <rc t="2" v="953"/>
    </bk>
    <bk>
      <rc t="2" v="954"/>
    </bk>
    <bk>
      <rc t="2" v="955"/>
    </bk>
    <bk>
      <rc t="2" v="956"/>
    </bk>
    <bk>
      <rc t="2" v="957"/>
    </bk>
    <bk>
      <rc t="2" v="958"/>
    </bk>
    <bk>
      <rc t="2" v="959"/>
    </bk>
    <bk>
      <rc t="2" v="960"/>
    </bk>
    <bk>
      <rc t="2" v="961"/>
    </bk>
    <bk>
      <rc t="2" v="962"/>
    </bk>
    <bk>
      <rc t="2" v="963"/>
    </bk>
    <bk>
      <rc t="2" v="964"/>
    </bk>
    <bk>
      <rc t="2" v="965"/>
    </bk>
    <bk>
      <rc t="2" v="966"/>
    </bk>
    <bk>
      <rc t="2" v="967"/>
    </bk>
    <bk>
      <rc t="2" v="968"/>
    </bk>
    <bk>
      <rc t="2" v="969"/>
    </bk>
    <bk>
      <rc t="2" v="970"/>
    </bk>
    <bk>
      <rc t="2" v="971"/>
    </bk>
    <bk>
      <rc t="2" v="972"/>
    </bk>
    <bk>
      <rc t="2" v="973"/>
    </bk>
    <bk>
      <rc t="2" v="974"/>
    </bk>
    <bk>
      <rc t="2" v="975"/>
    </bk>
    <bk>
      <rc t="2" v="976"/>
    </bk>
    <bk>
      <rc t="2" v="977"/>
    </bk>
    <bk>
      <rc t="2" v="978"/>
    </bk>
    <bk>
      <rc t="2" v="979"/>
    </bk>
    <bk>
      <rc t="2" v="980"/>
    </bk>
    <bk>
      <rc t="2" v="981"/>
    </bk>
    <bk>
      <rc t="2" v="982"/>
    </bk>
    <bk>
      <rc t="2" v="983"/>
    </bk>
    <bk>
      <rc t="2" v="984"/>
    </bk>
    <bk>
      <rc t="2" v="985"/>
    </bk>
    <bk>
      <rc t="2" v="986"/>
    </bk>
    <bk>
      <rc t="2" v="987"/>
    </bk>
    <bk>
      <rc t="2" v="988"/>
    </bk>
    <bk>
      <rc t="2" v="989"/>
    </bk>
    <bk>
      <rc t="2" v="990"/>
    </bk>
    <bk>
      <rc t="2" v="991"/>
    </bk>
    <bk>
      <rc t="2" v="992"/>
    </bk>
    <bk>
      <rc t="2" v="993"/>
    </bk>
    <bk>
      <rc t="2" v="994"/>
    </bk>
    <bk>
      <rc t="2" v="995"/>
    </bk>
    <bk>
      <rc t="2" v="996"/>
    </bk>
    <bk>
      <rc t="2" v="997"/>
    </bk>
    <bk>
      <rc t="2" v="998"/>
    </bk>
    <bk>
      <rc t="2" v="999"/>
    </bk>
    <bk>
      <rc t="2" v="1000"/>
    </bk>
    <bk>
      <rc t="2" v="1001"/>
    </bk>
    <bk>
      <rc t="2" v="1002"/>
    </bk>
    <bk>
      <rc t="2" v="1003"/>
    </bk>
    <bk>
      <rc t="2" v="1004"/>
    </bk>
    <bk>
      <rc t="2" v="1005"/>
    </bk>
    <bk>
      <rc t="2" v="1006"/>
    </bk>
    <bk>
      <rc t="2" v="1007"/>
    </bk>
    <bk>
      <rc t="2" v="1008"/>
    </bk>
    <bk>
      <rc t="2" v="1009"/>
    </bk>
    <bk>
      <rc t="2" v="1010"/>
    </bk>
    <bk>
      <rc t="2" v="1011"/>
    </bk>
    <bk>
      <rc t="2" v="1012"/>
    </bk>
    <bk>
      <rc t="2" v="1013"/>
    </bk>
    <bk>
      <rc t="2" v="1014"/>
    </bk>
    <bk>
      <rc t="2" v="1015"/>
    </bk>
    <bk>
      <rc t="2" v="1016"/>
    </bk>
    <bk>
      <rc t="2" v="1017"/>
    </bk>
    <bk>
      <rc t="2" v="1018"/>
    </bk>
    <bk>
      <rc t="2" v="1019"/>
    </bk>
    <bk>
      <rc t="2" v="1020"/>
    </bk>
    <bk>
      <rc t="2" v="1021"/>
    </bk>
    <bk>
      <rc t="2" v="1022"/>
    </bk>
    <bk>
      <rc t="2" v="1023"/>
    </bk>
    <bk>
      <rc t="2" v="1024"/>
    </bk>
    <bk>
      <rc t="2" v="1025"/>
    </bk>
    <bk>
      <rc t="2" v="1026"/>
    </bk>
    <bk>
      <rc t="2" v="1027"/>
    </bk>
    <bk>
      <rc t="2" v="1028"/>
    </bk>
    <bk>
      <rc t="2" v="1029"/>
    </bk>
    <bk>
      <rc t="2" v="1030"/>
    </bk>
    <bk>
      <rc t="2" v="1031"/>
    </bk>
    <bk>
      <rc t="2" v="1032"/>
    </bk>
    <bk>
      <rc t="2" v="1033"/>
    </bk>
    <bk>
      <rc t="2" v="1034"/>
    </bk>
    <bk>
      <rc t="2" v="1035"/>
    </bk>
    <bk>
      <rc t="2" v="1036"/>
    </bk>
    <bk>
      <rc t="2" v="1037"/>
    </bk>
    <bk>
      <rc t="2" v="1038"/>
    </bk>
    <bk>
      <rc t="2" v="1039"/>
    </bk>
    <bk>
      <rc t="2" v="1040"/>
    </bk>
    <bk>
      <rc t="2" v="1041"/>
    </bk>
    <bk>
      <rc t="2" v="1042"/>
    </bk>
    <bk>
      <rc t="2" v="1043"/>
    </bk>
    <bk>
      <rc t="2" v="1044"/>
    </bk>
    <bk>
      <rc t="2" v="1045"/>
    </bk>
    <bk>
      <rc t="2" v="1046"/>
    </bk>
    <bk>
      <rc t="2" v="1047"/>
    </bk>
    <bk>
      <rc t="2" v="1048"/>
    </bk>
    <bk>
      <rc t="2" v="1049"/>
    </bk>
    <bk>
      <rc t="2" v="1050"/>
    </bk>
    <bk>
      <rc t="2" v="1051"/>
    </bk>
    <bk>
      <rc t="2" v="1052"/>
    </bk>
    <bk>
      <rc t="2" v="1053"/>
    </bk>
    <bk>
      <rc t="2" v="1054"/>
    </bk>
    <bk>
      <rc t="2" v="1055"/>
    </bk>
    <bk>
      <rc t="2" v="1056"/>
    </bk>
    <bk>
      <rc t="2" v="1057"/>
    </bk>
    <bk>
      <rc t="2" v="1058"/>
    </bk>
    <bk>
      <rc t="2" v="1059"/>
    </bk>
    <bk>
      <rc t="2" v="1060"/>
    </bk>
    <bk>
      <rc t="2" v="1061"/>
    </bk>
    <bk>
      <rc t="2" v="1062"/>
    </bk>
    <bk>
      <rc t="2" v="1063"/>
    </bk>
    <bk>
      <rc t="2" v="1064"/>
    </bk>
    <bk>
      <rc t="2" v="1065"/>
    </bk>
    <bk>
      <rc t="2" v="1066"/>
    </bk>
    <bk>
      <rc t="2" v="1067"/>
    </bk>
    <bk>
      <rc t="2" v="1068"/>
    </bk>
    <bk>
      <rc t="2" v="1069"/>
    </bk>
    <bk>
      <rc t="2" v="1070"/>
    </bk>
    <bk>
      <rc t="2" v="1071"/>
    </bk>
    <bk>
      <rc t="2" v="1072"/>
    </bk>
    <bk>
      <rc t="2" v="1073"/>
    </bk>
    <bk>
      <rc t="2" v="1074"/>
    </bk>
    <bk>
      <rc t="2" v="1075"/>
    </bk>
    <bk>
      <rc t="2" v="1076"/>
    </bk>
    <bk>
      <rc t="2" v="1077"/>
    </bk>
    <bk>
      <rc t="2" v="1078"/>
    </bk>
    <bk>
      <rc t="2" v="1079"/>
    </bk>
    <bk>
      <rc t="2" v="1080"/>
    </bk>
    <bk>
      <rc t="2" v="1081"/>
    </bk>
    <bk>
      <rc t="2" v="1082"/>
    </bk>
    <bk>
      <rc t="2" v="1083"/>
    </bk>
    <bk>
      <rc t="2" v="1084"/>
    </bk>
    <bk>
      <rc t="2" v="1085"/>
    </bk>
    <bk>
      <rc t="2" v="1086"/>
    </bk>
    <bk>
      <rc t="2" v="1087"/>
    </bk>
    <bk>
      <rc t="2" v="1088"/>
    </bk>
    <bk>
      <rc t="2" v="1089"/>
    </bk>
    <bk>
      <rc t="2" v="1090"/>
    </bk>
    <bk>
      <rc t="2" v="1091"/>
    </bk>
    <bk>
      <rc t="2" v="1092"/>
    </bk>
    <bk>
      <rc t="2" v="1093"/>
    </bk>
    <bk>
      <rc t="2" v="1094"/>
    </bk>
    <bk>
      <rc t="2" v="1095"/>
    </bk>
    <bk>
      <rc t="2" v="1096"/>
    </bk>
    <bk>
      <rc t="2" v="1097"/>
    </bk>
    <bk>
      <rc t="2" v="1098"/>
    </bk>
    <bk>
      <rc t="2" v="1099"/>
    </bk>
    <bk>
      <rc t="2" v="1100"/>
    </bk>
    <bk>
      <rc t="2" v="1101"/>
    </bk>
    <bk>
      <rc t="2" v="1102"/>
    </bk>
    <bk>
      <rc t="2" v="1103"/>
    </bk>
    <bk>
      <rc t="2" v="1104"/>
    </bk>
    <bk>
      <rc t="2" v="1105"/>
    </bk>
    <bk>
      <rc t="2" v="1106"/>
    </bk>
    <bk>
      <rc t="2" v="1107"/>
    </bk>
    <bk>
      <rc t="2" v="1108"/>
    </bk>
    <bk>
      <rc t="2" v="1109"/>
    </bk>
    <bk>
      <rc t="2" v="1110"/>
    </bk>
    <bk>
      <rc t="2" v="1111"/>
    </bk>
    <bk>
      <rc t="2" v="1112"/>
    </bk>
    <bk>
      <rc t="2" v="1113"/>
    </bk>
    <bk>
      <rc t="2" v="1114"/>
    </bk>
    <bk>
      <rc t="2" v="1115"/>
    </bk>
    <bk>
      <rc t="2" v="1116"/>
    </bk>
    <bk>
      <rc t="2" v="1117"/>
    </bk>
    <bk>
      <rc t="2" v="1118"/>
    </bk>
    <bk>
      <rc t="2" v="1119"/>
    </bk>
    <bk>
      <rc t="2" v="1120"/>
    </bk>
    <bk>
      <rc t="2" v="1121"/>
    </bk>
    <bk>
      <rc t="2" v="1122"/>
    </bk>
    <bk>
      <rc t="2" v="1123"/>
    </bk>
    <bk>
      <rc t="2" v="1124"/>
    </bk>
    <bk>
      <rc t="2" v="1125"/>
    </bk>
    <bk>
      <rc t="2" v="1126"/>
    </bk>
    <bk>
      <rc t="2" v="1127"/>
    </bk>
    <bk>
      <rc t="2" v="1128"/>
    </bk>
    <bk>
      <rc t="2" v="1129"/>
    </bk>
    <bk>
      <rc t="2" v="1130"/>
    </bk>
    <bk>
      <rc t="2" v="1131"/>
    </bk>
    <bk>
      <rc t="2" v="1132"/>
    </bk>
    <bk>
      <rc t="2" v="1133"/>
    </bk>
    <bk>
      <rc t="2" v="1134"/>
    </bk>
    <bk>
      <rc t="2" v="1135"/>
    </bk>
    <bk>
      <rc t="2" v="1136"/>
    </bk>
    <bk>
      <rc t="2" v="1137"/>
    </bk>
    <bk>
      <rc t="2" v="1138"/>
    </bk>
    <bk>
      <rc t="2" v="1139"/>
    </bk>
    <bk>
      <rc t="2" v="1140"/>
    </bk>
    <bk>
      <rc t="2" v="1141"/>
    </bk>
    <bk>
      <rc t="2" v="1142"/>
    </bk>
    <bk>
      <rc t="2" v="1143"/>
    </bk>
    <bk>
      <rc t="2" v="1144"/>
    </bk>
    <bk>
      <rc t="2" v="1145"/>
    </bk>
    <bk>
      <rc t="2" v="1146"/>
    </bk>
    <bk>
      <rc t="2" v="1147"/>
    </bk>
    <bk>
      <rc t="2" v="1148"/>
    </bk>
    <bk>
      <rc t="2" v="1149"/>
    </bk>
    <bk>
      <rc t="2" v="1150"/>
    </bk>
    <bk>
      <rc t="2" v="1151"/>
    </bk>
    <bk>
      <rc t="2" v="1152"/>
    </bk>
    <bk>
      <rc t="2" v="1153"/>
    </bk>
    <bk>
      <rc t="2" v="1154"/>
    </bk>
    <bk>
      <rc t="2" v="1155"/>
    </bk>
    <bk>
      <rc t="2" v="1156"/>
    </bk>
    <bk>
      <rc t="2" v="1157"/>
    </bk>
    <bk>
      <rc t="2" v="1158"/>
    </bk>
    <bk>
      <rc t="2" v="1159"/>
    </bk>
    <bk>
      <rc t="2" v="1160"/>
    </bk>
    <bk>
      <rc t="2" v="1161"/>
    </bk>
    <bk>
      <rc t="2" v="1162"/>
    </bk>
    <bk>
      <rc t="2" v="1163"/>
    </bk>
    <bk>
      <rc t="2" v="1164"/>
    </bk>
    <bk>
      <rc t="2" v="1165"/>
    </bk>
    <bk>
      <rc t="2" v="1166"/>
    </bk>
    <bk>
      <rc t="2" v="1167"/>
    </bk>
    <bk>
      <rc t="2" v="1168"/>
    </bk>
    <bk>
      <rc t="2" v="1169"/>
    </bk>
    <bk>
      <rc t="2" v="1170"/>
    </bk>
    <bk>
      <rc t="2" v="1171"/>
    </bk>
    <bk>
      <rc t="2" v="1172"/>
    </bk>
    <bk>
      <rc t="2" v="1173"/>
    </bk>
    <bk>
      <rc t="2" v="1174"/>
    </bk>
    <bk>
      <rc t="2" v="1175"/>
    </bk>
    <bk>
      <rc t="2" v="1176"/>
    </bk>
    <bk>
      <rc t="2" v="1177"/>
    </bk>
    <bk>
      <rc t="2" v="1178"/>
    </bk>
    <bk>
      <rc t="2" v="1179"/>
    </bk>
    <bk>
      <rc t="2" v="1180"/>
    </bk>
    <bk>
      <rc t="2" v="1181"/>
    </bk>
    <bk>
      <rc t="2" v="1182"/>
    </bk>
    <bk>
      <rc t="2" v="1183"/>
    </bk>
    <bk>
      <rc t="2" v="1184"/>
    </bk>
    <bk>
      <rc t="2" v="1185"/>
    </bk>
    <bk>
      <rc t="2" v="1186"/>
    </bk>
    <bk>
      <rc t="2" v="1187"/>
    </bk>
    <bk>
      <rc t="2" v="1188"/>
    </bk>
    <bk>
      <rc t="2" v="1189"/>
    </bk>
    <bk>
      <rc t="2" v="1190"/>
    </bk>
    <bk>
      <rc t="2" v="1191"/>
    </bk>
    <bk>
      <rc t="2" v="1192"/>
    </bk>
    <bk>
      <rc t="2" v="1193"/>
    </bk>
    <bk>
      <rc t="2" v="1194"/>
    </bk>
    <bk>
      <rc t="2" v="1195"/>
    </bk>
    <bk>
      <rc t="2" v="1196"/>
    </bk>
    <bk>
      <rc t="2" v="1197"/>
    </bk>
    <bk>
      <rc t="2" v="1198"/>
    </bk>
    <bk>
      <rc t="2" v="1199"/>
    </bk>
    <bk>
      <rc t="2" v="1200"/>
    </bk>
    <bk>
      <rc t="2" v="1201"/>
    </bk>
    <bk>
      <rc t="2" v="1202"/>
    </bk>
    <bk>
      <rc t="2" v="1203"/>
    </bk>
    <bk>
      <rc t="2" v="1204"/>
    </bk>
    <bk>
      <rc t="2" v="1205"/>
    </bk>
    <bk>
      <rc t="2" v="1206"/>
    </bk>
    <bk>
      <rc t="2" v="1207"/>
    </bk>
    <bk>
      <rc t="2" v="1208"/>
    </bk>
    <bk>
      <rc t="2" v="1209"/>
    </bk>
    <bk>
      <rc t="2" v="1210"/>
    </bk>
    <bk>
      <rc t="2" v="1211"/>
    </bk>
    <bk>
      <rc t="2" v="1212"/>
    </bk>
    <bk>
      <rc t="2" v="1213"/>
    </bk>
    <bk>
      <rc t="2" v="1214"/>
    </bk>
    <bk>
      <rc t="2" v="1215"/>
    </bk>
    <bk>
      <rc t="2" v="1216"/>
    </bk>
    <bk>
      <rc t="2" v="1217"/>
    </bk>
    <bk>
      <rc t="2" v="1218"/>
    </bk>
    <bk>
      <rc t="2" v="1219"/>
    </bk>
    <bk>
      <rc t="2" v="1220"/>
    </bk>
    <bk>
      <rc t="2" v="1221"/>
    </bk>
    <bk>
      <rc t="2" v="1222"/>
    </bk>
    <bk>
      <rc t="2" v="1223"/>
    </bk>
    <bk>
      <rc t="2" v="1224"/>
    </bk>
    <bk>
      <rc t="2" v="1225"/>
    </bk>
    <bk>
      <rc t="2" v="1226"/>
    </bk>
    <bk>
      <rc t="2" v="1227"/>
    </bk>
    <bk>
      <rc t="2" v="1228"/>
    </bk>
    <bk>
      <rc t="2" v="1229"/>
    </bk>
    <bk>
      <rc t="2" v="1230"/>
    </bk>
    <bk>
      <rc t="2" v="1231"/>
    </bk>
    <bk>
      <rc t="2" v="1232"/>
    </bk>
    <bk>
      <rc t="2" v="1233"/>
    </bk>
    <bk>
      <rc t="2" v="1234"/>
    </bk>
    <bk>
      <rc t="2" v="1235"/>
    </bk>
    <bk>
      <rc t="2" v="1236"/>
    </bk>
    <bk>
      <rc t="2" v="1237"/>
    </bk>
    <bk>
      <rc t="2" v="1238"/>
    </bk>
    <bk>
      <rc t="2" v="1239"/>
    </bk>
    <bk>
      <rc t="2" v="1240"/>
    </bk>
    <bk>
      <rc t="2" v="1241"/>
    </bk>
    <bk>
      <rc t="2" v="1242"/>
    </bk>
    <bk>
      <rc t="2" v="1243"/>
    </bk>
    <bk>
      <rc t="2" v="1244"/>
    </bk>
    <bk>
      <rc t="2" v="1245"/>
    </bk>
    <bk>
      <rc t="2" v="1246"/>
    </bk>
    <bk>
      <rc t="2" v="1247"/>
    </bk>
    <bk>
      <rc t="2" v="1248"/>
    </bk>
    <bk>
      <rc t="2" v="1249"/>
    </bk>
    <bk>
      <rc t="2" v="1250"/>
    </bk>
    <bk>
      <rc t="2" v="1251"/>
    </bk>
    <bk>
      <rc t="2" v="1252"/>
    </bk>
    <bk>
      <rc t="2" v="1253"/>
    </bk>
    <bk>
      <rc t="2" v="1254"/>
    </bk>
    <bk>
      <rc t="2" v="1255"/>
    </bk>
    <bk>
      <rc t="2" v="1256"/>
    </bk>
    <bk>
      <rc t="2" v="1257"/>
    </bk>
    <bk>
      <rc t="2" v="1258"/>
    </bk>
    <bk>
      <rc t="2" v="1259"/>
    </bk>
    <bk>
      <rc t="2" v="1260"/>
    </bk>
    <bk>
      <rc t="2" v="1261"/>
    </bk>
    <bk>
      <rc t="2" v="1262"/>
    </bk>
    <bk>
      <rc t="2" v="1263"/>
    </bk>
    <bk>
      <rc t="2" v="1264"/>
    </bk>
    <bk>
      <rc t="2" v="1265"/>
    </bk>
    <bk>
      <rc t="2" v="1266"/>
    </bk>
    <bk>
      <rc t="2" v="1267"/>
    </bk>
    <bk>
      <rc t="2" v="1268"/>
    </bk>
    <bk>
      <rc t="2" v="1269"/>
    </bk>
    <bk>
      <rc t="2" v="1270"/>
    </bk>
    <bk>
      <rc t="2" v="1271"/>
    </bk>
    <bk>
      <rc t="2" v="1272"/>
    </bk>
    <bk>
      <rc t="2" v="1273"/>
    </bk>
    <bk>
      <rc t="2" v="1274"/>
    </bk>
    <bk>
      <rc t="2" v="1275"/>
    </bk>
    <bk>
      <rc t="2" v="1276"/>
    </bk>
    <bk>
      <rc t="2" v="1277"/>
    </bk>
    <bk>
      <rc t="2" v="1278"/>
    </bk>
    <bk>
      <rc t="2" v="1279"/>
    </bk>
    <bk>
      <rc t="2" v="1280"/>
    </bk>
    <bk>
      <rc t="2" v="1281"/>
    </bk>
    <bk>
      <rc t="2" v="1282"/>
    </bk>
    <bk>
      <rc t="2" v="1283"/>
    </bk>
    <bk>
      <rc t="2" v="1284"/>
    </bk>
    <bk>
      <rc t="2" v="1285"/>
    </bk>
    <bk>
      <rc t="2" v="1286"/>
    </bk>
    <bk>
      <rc t="2" v="1287"/>
    </bk>
    <bk>
      <rc t="2" v="1288"/>
    </bk>
    <bk>
      <rc t="2" v="1289"/>
    </bk>
    <bk>
      <rc t="2" v="1290"/>
    </bk>
    <bk>
      <rc t="2" v="1291"/>
    </bk>
    <bk>
      <rc t="2" v="1292"/>
    </bk>
    <bk>
      <rc t="2" v="1293"/>
    </bk>
    <bk>
      <rc t="2" v="1294"/>
    </bk>
    <bk>
      <rc t="2" v="1295"/>
    </bk>
    <bk>
      <rc t="2" v="1296"/>
    </bk>
    <bk>
      <rc t="2" v="1297"/>
    </bk>
    <bk>
      <rc t="2" v="1298"/>
    </bk>
    <bk>
      <rc t="2" v="1299"/>
    </bk>
    <bk>
      <rc t="2" v="1300"/>
    </bk>
    <bk>
      <rc t="2" v="1301"/>
    </bk>
    <bk>
      <rc t="2" v="1302"/>
    </bk>
    <bk>
      <rc t="2" v="1303"/>
    </bk>
    <bk>
      <rc t="2" v="1304"/>
    </bk>
    <bk>
      <rc t="2" v="1305"/>
    </bk>
    <bk>
      <rc t="2" v="1306"/>
    </bk>
    <bk>
      <rc t="2" v="1307"/>
    </bk>
    <bk>
      <rc t="2" v="1308"/>
    </bk>
    <bk>
      <rc t="2" v="1309"/>
    </bk>
    <bk>
      <rc t="2" v="1310"/>
    </bk>
    <bk>
      <rc t="2" v="1311"/>
    </bk>
    <bk>
      <rc t="2" v="1312"/>
    </bk>
    <bk>
      <rc t="2" v="1313"/>
    </bk>
    <bk>
      <rc t="2" v="1314"/>
    </bk>
    <bk>
      <rc t="2" v="1315"/>
    </bk>
    <bk>
      <rc t="2" v="1316"/>
    </bk>
    <bk>
      <rc t="2" v="1317"/>
    </bk>
    <bk>
      <rc t="2" v="1318"/>
    </bk>
    <bk>
      <rc t="2" v="1319"/>
    </bk>
    <bk>
      <rc t="2" v="1320"/>
    </bk>
    <bk>
      <rc t="2" v="1321"/>
    </bk>
    <bk>
      <rc t="2" v="1322"/>
    </bk>
    <bk>
      <rc t="2" v="1323"/>
    </bk>
    <bk>
      <rc t="2" v="1324"/>
    </bk>
    <bk>
      <rc t="2" v="1325"/>
    </bk>
    <bk>
      <rc t="2" v="1326"/>
    </bk>
    <bk>
      <rc t="2" v="1327"/>
    </bk>
    <bk>
      <rc t="2" v="1328"/>
    </bk>
    <bk>
      <rc t="2" v="1329"/>
    </bk>
    <bk>
      <rc t="2" v="1330"/>
    </bk>
    <bk>
      <rc t="2" v="1331"/>
    </bk>
    <bk>
      <rc t="2" v="1332"/>
    </bk>
    <bk>
      <rc t="2" v="1333"/>
    </bk>
    <bk>
      <rc t="2" v="1334"/>
    </bk>
    <bk>
      <rc t="2" v="1335"/>
    </bk>
    <bk>
      <rc t="2" v="1336"/>
    </bk>
    <bk>
      <rc t="2" v="1337"/>
    </bk>
    <bk>
      <rc t="2" v="1338"/>
    </bk>
    <bk>
      <rc t="2" v="1339"/>
    </bk>
    <bk>
      <rc t="2" v="1340"/>
    </bk>
    <bk>
      <rc t="2" v="1341"/>
    </bk>
    <bk>
      <rc t="2" v="1342"/>
    </bk>
    <bk>
      <rc t="2" v="1343"/>
    </bk>
    <bk>
      <rc t="2" v="1344"/>
    </bk>
    <bk>
      <rc t="2" v="1345"/>
    </bk>
    <bk>
      <rc t="2" v="1346"/>
    </bk>
    <bk>
      <rc t="2" v="1347"/>
    </bk>
    <bk>
      <rc t="2" v="1348"/>
    </bk>
    <bk>
      <rc t="2" v="1349"/>
    </bk>
    <bk>
      <rc t="2" v="1350"/>
    </bk>
    <bk>
      <rc t="2" v="1351"/>
    </bk>
    <bk>
      <rc t="2" v="1352"/>
    </bk>
    <bk>
      <rc t="2" v="1353"/>
    </bk>
    <bk>
      <rc t="2" v="1354"/>
    </bk>
    <bk>
      <rc t="2" v="1355"/>
    </bk>
    <bk>
      <rc t="2" v="1356"/>
    </bk>
    <bk>
      <rc t="2" v="1357"/>
    </bk>
    <bk>
      <rc t="2" v="1358"/>
    </bk>
    <bk>
      <rc t="2" v="1359"/>
    </bk>
    <bk>
      <rc t="2" v="1360"/>
    </bk>
    <bk>
      <rc t="2" v="1361"/>
    </bk>
    <bk>
      <rc t="2" v="1362"/>
    </bk>
    <bk>
      <rc t="2" v="1363"/>
    </bk>
    <bk>
      <rc t="2" v="1364"/>
    </bk>
    <bk>
      <rc t="2" v="1365"/>
    </bk>
    <bk>
      <rc t="2" v="1366"/>
    </bk>
    <bk>
      <rc t="2" v="1367"/>
    </bk>
    <bk>
      <rc t="2" v="1368"/>
    </bk>
    <bk>
      <rc t="2" v="1369"/>
    </bk>
    <bk>
      <rc t="2" v="1370"/>
    </bk>
    <bk>
      <rc t="2" v="1371"/>
    </bk>
    <bk>
      <rc t="2" v="1372"/>
    </bk>
    <bk>
      <rc t="2" v="1373"/>
    </bk>
    <bk>
      <rc t="2" v="1374"/>
    </bk>
    <bk>
      <rc t="2" v="1375"/>
    </bk>
    <bk>
      <rc t="2" v="1376"/>
    </bk>
    <bk>
      <rc t="2" v="1377"/>
    </bk>
    <bk>
      <rc t="2" v="1378"/>
    </bk>
    <bk>
      <rc t="2" v="1379"/>
    </bk>
    <bk>
      <rc t="2" v="1380"/>
    </bk>
    <bk>
      <rc t="2" v="1381"/>
    </bk>
    <bk>
      <rc t="2" v="1382"/>
    </bk>
    <bk>
      <rc t="2" v="1383"/>
    </bk>
    <bk>
      <rc t="2" v="1384"/>
    </bk>
    <bk>
      <rc t="2" v="1385"/>
    </bk>
    <bk>
      <rc t="2" v="1386"/>
    </bk>
    <bk>
      <rc t="2" v="1387"/>
    </bk>
    <bk>
      <rc t="2" v="1388"/>
    </bk>
    <bk>
      <rc t="2" v="1389"/>
    </bk>
    <bk>
      <rc t="2" v="1390"/>
    </bk>
    <bk>
      <rc t="2" v="1391"/>
    </bk>
    <bk>
      <rc t="2" v="1392"/>
    </bk>
    <bk>
      <rc t="2" v="1393"/>
    </bk>
    <bk>
      <rc t="2" v="1394"/>
    </bk>
    <bk>
      <rc t="2" v="1395"/>
    </bk>
    <bk>
      <rc t="2" v="1396"/>
    </bk>
    <bk>
      <rc t="2" v="1397"/>
    </bk>
    <bk>
      <rc t="2" v="1398"/>
    </bk>
    <bk>
      <rc t="2" v="1399"/>
    </bk>
    <bk>
      <rc t="2" v="1400"/>
    </bk>
    <bk>
      <rc t="2" v="1401"/>
    </bk>
    <bk>
      <rc t="2" v="1402"/>
    </bk>
    <bk>
      <rc t="2" v="1403"/>
    </bk>
    <bk>
      <rc t="2" v="1404"/>
    </bk>
    <bk>
      <rc t="2" v="1405"/>
    </bk>
    <bk>
      <rc t="2" v="1406"/>
    </bk>
    <bk>
      <rc t="2" v="1407"/>
    </bk>
    <bk>
      <rc t="2" v="1408"/>
    </bk>
    <bk>
      <rc t="2" v="1409"/>
    </bk>
    <bk>
      <rc t="2" v="1410"/>
    </bk>
    <bk>
      <rc t="2" v="1411"/>
    </bk>
    <bk>
      <rc t="2" v="1412"/>
    </bk>
    <bk>
      <rc t="2" v="1413"/>
    </bk>
    <bk>
      <rc t="2" v="1414"/>
    </bk>
    <bk>
      <rc t="2" v="1415"/>
    </bk>
    <bk>
      <rc t="2" v="1416"/>
    </bk>
    <bk>
      <rc t="2" v="1417"/>
    </bk>
    <bk>
      <rc t="2" v="1418"/>
    </bk>
    <bk>
      <rc t="2" v="1419"/>
    </bk>
    <bk>
      <rc t="2" v="1420"/>
    </bk>
    <bk>
      <rc t="2" v="1421"/>
    </bk>
    <bk>
      <rc t="2" v="1422"/>
    </bk>
    <bk>
      <rc t="2" v="1423"/>
    </bk>
    <bk>
      <rc t="2" v="1424"/>
    </bk>
    <bk>
      <rc t="2" v="1425"/>
    </bk>
    <bk>
      <rc t="2" v="1426"/>
    </bk>
    <bk>
      <rc t="2" v="1427"/>
    </bk>
    <bk>
      <rc t="2" v="1428"/>
    </bk>
    <bk>
      <rc t="2" v="1429"/>
    </bk>
    <bk>
      <rc t="2" v="1430"/>
    </bk>
    <bk>
      <rc t="2" v="1431"/>
    </bk>
    <bk>
      <rc t="2" v="1432"/>
    </bk>
    <bk>
      <rc t="2" v="1433"/>
    </bk>
    <bk>
      <rc t="2" v="1434"/>
    </bk>
    <bk>
      <rc t="2" v="1435"/>
    </bk>
    <bk>
      <rc t="2" v="1436"/>
    </bk>
    <bk>
      <rc t="2" v="1437"/>
    </bk>
    <bk>
      <rc t="2" v="1438"/>
    </bk>
    <bk>
      <rc t="2" v="1439"/>
    </bk>
    <bk>
      <rc t="2" v="1440"/>
    </bk>
    <bk>
      <rc t="2" v="1441"/>
    </bk>
    <bk>
      <rc t="2" v="1442"/>
    </bk>
    <bk>
      <rc t="2" v="1443"/>
    </bk>
    <bk>
      <rc t="2" v="1444"/>
    </bk>
    <bk>
      <rc t="2" v="1445"/>
    </bk>
    <bk>
      <rc t="2" v="1446"/>
    </bk>
    <bk>
      <rc t="2" v="1447"/>
    </bk>
    <bk>
      <rc t="2" v="1448"/>
    </bk>
    <bk>
      <rc t="2" v="1449"/>
    </bk>
    <bk>
      <rc t="2" v="1450"/>
    </bk>
    <bk>
      <rc t="2" v="1451"/>
    </bk>
    <bk>
      <rc t="2" v="1452"/>
    </bk>
    <bk>
      <rc t="2" v="1453"/>
    </bk>
    <bk>
      <rc t="2" v="1454"/>
    </bk>
    <bk>
      <rc t="2" v="1455"/>
    </bk>
    <bk>
      <rc t="2" v="1456"/>
    </bk>
    <bk>
      <rc t="2" v="1457"/>
    </bk>
    <bk>
      <rc t="2" v="1458"/>
    </bk>
    <bk>
      <rc t="2" v="1459"/>
    </bk>
    <bk>
      <rc t="2" v="1460"/>
    </bk>
    <bk>
      <rc t="2" v="1461"/>
    </bk>
    <bk>
      <rc t="2" v="1462"/>
    </bk>
    <bk>
      <rc t="2" v="1463"/>
    </bk>
    <bk>
      <rc t="2" v="1464"/>
    </bk>
    <bk>
      <rc t="2" v="1465"/>
    </bk>
    <bk>
      <rc t="2" v="1466"/>
    </bk>
    <bk>
      <rc t="2" v="1467"/>
    </bk>
    <bk>
      <rc t="2" v="1468"/>
    </bk>
    <bk>
      <rc t="2" v="1469"/>
    </bk>
    <bk>
      <rc t="2" v="1470"/>
    </bk>
    <bk>
      <rc t="2" v="1471"/>
    </bk>
    <bk>
      <rc t="2" v="1472"/>
    </bk>
    <bk>
      <rc t="2" v="1473"/>
    </bk>
    <bk>
      <rc t="2" v="1474"/>
    </bk>
    <bk>
      <rc t="2" v="1475"/>
    </bk>
    <bk>
      <rc t="2" v="1476"/>
    </bk>
    <bk>
      <rc t="2" v="1477"/>
    </bk>
    <bk>
      <rc t="2" v="1478"/>
    </bk>
    <bk>
      <rc t="2" v="1479"/>
    </bk>
    <bk>
      <rc t="2" v="1480"/>
    </bk>
    <bk>
      <rc t="2" v="1481"/>
    </bk>
    <bk>
      <rc t="2" v="1482"/>
    </bk>
    <bk>
      <rc t="2" v="1483"/>
    </bk>
    <bk>
      <rc t="2" v="1484"/>
    </bk>
    <bk>
      <rc t="2" v="1485"/>
    </bk>
    <bk>
      <rc t="2" v="1486"/>
    </bk>
    <bk>
      <rc t="2" v="1487"/>
    </bk>
    <bk>
      <rc t="2" v="1488"/>
    </bk>
    <bk>
      <rc t="2" v="1489"/>
    </bk>
    <bk>
      <rc t="2" v="1490"/>
    </bk>
    <bk>
      <rc t="2" v="1491"/>
    </bk>
    <bk>
      <rc t="2" v="1492"/>
    </bk>
    <bk>
      <rc t="2" v="1493"/>
    </bk>
    <bk>
      <rc t="2" v="1494"/>
    </bk>
    <bk>
      <rc t="2" v="1495"/>
    </bk>
    <bk>
      <rc t="2" v="1496"/>
    </bk>
    <bk>
      <rc t="2" v="1497"/>
    </bk>
    <bk>
      <rc t="2" v="1498"/>
    </bk>
    <bk>
      <rc t="2" v="1499"/>
    </bk>
    <bk>
      <rc t="2" v="1500"/>
    </bk>
    <bk>
      <rc t="2" v="1501"/>
    </bk>
    <bk>
      <rc t="2" v="1502"/>
    </bk>
    <bk>
      <rc t="2" v="1503"/>
    </bk>
    <bk>
      <rc t="2" v="1504"/>
    </bk>
    <bk>
      <rc t="2" v="1505"/>
    </bk>
    <bk>
      <rc t="2" v="1506"/>
    </bk>
    <bk>
      <rc t="2" v="1507"/>
    </bk>
    <bk>
      <rc t="2" v="1508"/>
    </bk>
    <bk>
      <rc t="2" v="1509"/>
    </bk>
    <bk>
      <rc t="2" v="1510"/>
    </bk>
    <bk>
      <rc t="2" v="1511"/>
    </bk>
    <bk>
      <rc t="2" v="1512"/>
    </bk>
    <bk>
      <rc t="2" v="1513"/>
    </bk>
    <bk>
      <rc t="2" v="1514"/>
    </bk>
    <bk>
      <rc t="2" v="1515"/>
    </bk>
    <bk>
      <rc t="2" v="1516"/>
    </bk>
    <bk>
      <rc t="2" v="1517"/>
    </bk>
    <bk>
      <rc t="2" v="1518"/>
    </bk>
    <bk>
      <rc t="2" v="1519"/>
    </bk>
    <bk>
      <rc t="2" v="1520"/>
    </bk>
    <bk>
      <rc t="2" v="1521"/>
    </bk>
    <bk>
      <rc t="2" v="1522"/>
    </bk>
    <bk>
      <rc t="2" v="1523"/>
    </bk>
    <bk>
      <rc t="2" v="1524"/>
    </bk>
    <bk>
      <rc t="2" v="1525"/>
    </bk>
    <bk>
      <rc t="2" v="1526"/>
    </bk>
    <bk>
      <rc t="2" v="1527"/>
    </bk>
    <bk>
      <rc t="2" v="1528"/>
    </bk>
    <bk>
      <rc t="2" v="1529"/>
    </bk>
    <bk>
      <rc t="2" v="1530"/>
    </bk>
    <bk>
      <rc t="2" v="1531"/>
    </bk>
    <bk>
      <rc t="2" v="1532"/>
    </bk>
    <bk>
      <rc t="2" v="1533"/>
    </bk>
    <bk>
      <rc t="2" v="1534"/>
    </bk>
    <bk>
      <rc t="2" v="1535"/>
    </bk>
    <bk>
      <rc t="2" v="1536"/>
    </bk>
    <bk>
      <rc t="2" v="1537"/>
    </bk>
    <bk>
      <rc t="2" v="1538"/>
    </bk>
    <bk>
      <rc t="2" v="1539"/>
    </bk>
    <bk>
      <rc t="2" v="1540"/>
    </bk>
    <bk>
      <rc t="2" v="1541"/>
    </bk>
    <bk>
      <rc t="2" v="1542"/>
    </bk>
    <bk>
      <rc t="2" v="1543"/>
    </bk>
    <bk>
      <rc t="2" v="1544"/>
    </bk>
    <bk>
      <rc t="2" v="1545"/>
    </bk>
    <bk>
      <rc t="2" v="1546"/>
    </bk>
    <bk>
      <rc t="2" v="1547"/>
    </bk>
    <bk>
      <rc t="2" v="1548"/>
    </bk>
    <bk>
      <rc t="2" v="1549"/>
    </bk>
    <bk>
      <rc t="2" v="1550"/>
    </bk>
    <bk>
      <rc t="2" v="1551"/>
    </bk>
    <bk>
      <rc t="2" v="1552"/>
    </bk>
    <bk>
      <rc t="2" v="1553"/>
    </bk>
    <bk>
      <rc t="2" v="1554"/>
    </bk>
    <bk>
      <rc t="2" v="1555"/>
    </bk>
    <bk>
      <rc t="2" v="1556"/>
    </bk>
    <bk>
      <rc t="2" v="1557"/>
    </bk>
    <bk>
      <rc t="2" v="1558"/>
    </bk>
    <bk>
      <rc t="2" v="1559"/>
    </bk>
    <bk>
      <rc t="2" v="1560"/>
    </bk>
    <bk>
      <rc t="2" v="1561"/>
    </bk>
    <bk>
      <rc t="2" v="1562"/>
    </bk>
    <bk>
      <rc t="2" v="1563"/>
    </bk>
    <bk>
      <rc t="2" v="1564"/>
    </bk>
    <bk>
      <rc t="2" v="1565"/>
    </bk>
    <bk>
      <rc t="2" v="1566"/>
    </bk>
    <bk>
      <rc t="2" v="1567"/>
    </bk>
    <bk>
      <rc t="2" v="1568"/>
    </bk>
    <bk>
      <rc t="2" v="1569"/>
    </bk>
    <bk>
      <rc t="2" v="1570"/>
    </bk>
    <bk>
      <rc t="2" v="1571"/>
    </bk>
    <bk>
      <rc t="2" v="1572"/>
    </bk>
    <bk>
      <rc t="2" v="1573"/>
    </bk>
    <bk>
      <rc t="2" v="1574"/>
    </bk>
    <bk>
      <rc t="2" v="1575"/>
    </bk>
    <bk>
      <rc t="2" v="1576"/>
    </bk>
    <bk>
      <rc t="2" v="1577"/>
    </bk>
    <bk>
      <rc t="2" v="1578"/>
    </bk>
    <bk>
      <rc t="2" v="1579"/>
    </bk>
    <bk>
      <rc t="2" v="1580"/>
    </bk>
    <bk>
      <rc t="2" v="1581"/>
    </bk>
    <bk>
      <rc t="2" v="1582"/>
    </bk>
    <bk>
      <rc t="2" v="1583"/>
    </bk>
    <bk>
      <rc t="2" v="1584"/>
    </bk>
    <bk>
      <rc t="2" v="1585"/>
    </bk>
    <bk>
      <rc t="2" v="1586"/>
    </bk>
    <bk>
      <rc t="2" v="1587"/>
    </bk>
    <bk>
      <rc t="2" v="1588"/>
    </bk>
    <bk>
      <rc t="2" v="1589"/>
    </bk>
    <bk>
      <rc t="2" v="1590"/>
    </bk>
    <bk>
      <rc t="2" v="1591"/>
    </bk>
    <bk>
      <rc t="2" v="1592"/>
    </bk>
    <bk>
      <rc t="2" v="1593"/>
    </bk>
    <bk>
      <rc t="2" v="1594"/>
    </bk>
    <bk>
      <rc t="2" v="1595"/>
    </bk>
    <bk>
      <rc t="2" v="1596"/>
    </bk>
    <bk>
      <rc t="2" v="1597"/>
    </bk>
    <bk>
      <rc t="2" v="1598"/>
    </bk>
    <bk>
      <rc t="2" v="1599"/>
    </bk>
    <bk>
      <rc t="2" v="1600"/>
    </bk>
    <bk>
      <rc t="2" v="1601"/>
    </bk>
    <bk>
      <rc t="2" v="1602"/>
    </bk>
    <bk>
      <rc t="2" v="1603"/>
    </bk>
    <bk>
      <rc t="2" v="1604"/>
    </bk>
    <bk>
      <rc t="2" v="1605"/>
    </bk>
    <bk>
      <rc t="2" v="1606"/>
    </bk>
    <bk>
      <rc t="2" v="1607"/>
    </bk>
    <bk>
      <rc t="2" v="1608"/>
    </bk>
    <bk>
      <rc t="2" v="1609"/>
    </bk>
    <bk>
      <rc t="2" v="1610"/>
    </bk>
    <bk>
      <rc t="2" v="1611"/>
    </bk>
    <bk>
      <rc t="2" v="1612"/>
    </bk>
    <bk>
      <rc t="2" v="1613"/>
    </bk>
    <bk>
      <rc t="2" v="1614"/>
    </bk>
    <bk>
      <rc t="2" v="1615"/>
    </bk>
    <bk>
      <rc t="2" v="1616"/>
    </bk>
    <bk>
      <rc t="2" v="1617"/>
    </bk>
    <bk>
      <rc t="2" v="1618"/>
    </bk>
    <bk>
      <rc t="2" v="1619"/>
    </bk>
    <bk>
      <rc t="2" v="1620"/>
    </bk>
    <bk>
      <rc t="2" v="1621"/>
    </bk>
    <bk>
      <rc t="2" v="1622"/>
    </bk>
    <bk>
      <rc t="2" v="1623"/>
    </bk>
    <bk>
      <rc t="2" v="1624"/>
    </bk>
    <bk>
      <rc t="2" v="1625"/>
    </bk>
    <bk>
      <rc t="2" v="1626"/>
    </bk>
    <bk>
      <rc t="2" v="1627"/>
    </bk>
    <bk>
      <rc t="2" v="1628"/>
    </bk>
    <bk>
      <rc t="2" v="1629"/>
    </bk>
    <bk>
      <rc t="2" v="1630"/>
    </bk>
    <bk>
      <rc t="2" v="1631"/>
    </bk>
    <bk>
      <rc t="2" v="1632"/>
    </bk>
    <bk>
      <rc t="2" v="1633"/>
    </bk>
    <bk>
      <rc t="2" v="1634"/>
    </bk>
    <bk>
      <rc t="2" v="1635"/>
    </bk>
    <bk>
      <rc t="2" v="1636"/>
    </bk>
    <bk>
      <rc t="2" v="1637"/>
    </bk>
    <bk>
      <rc t="2" v="1638"/>
    </bk>
    <bk>
      <rc t="2" v="1639"/>
    </bk>
    <bk>
      <rc t="2" v="1640"/>
    </bk>
    <bk>
      <rc t="2" v="1641"/>
    </bk>
    <bk>
      <rc t="2" v="1642"/>
    </bk>
    <bk>
      <rc t="2" v="1643"/>
    </bk>
    <bk>
      <rc t="2" v="1644"/>
    </bk>
    <bk>
      <rc t="2" v="1645"/>
    </bk>
    <bk>
      <rc t="2" v="1646"/>
    </bk>
    <bk>
      <rc t="2" v="1647"/>
    </bk>
    <bk>
      <rc t="2" v="1648"/>
    </bk>
    <bk>
      <rc t="2" v="1649"/>
    </bk>
    <bk>
      <rc t="2" v="1650"/>
    </bk>
    <bk>
      <rc t="2" v="1651"/>
    </bk>
    <bk>
      <rc t="2" v="1652"/>
    </bk>
    <bk>
      <rc t="2" v="1653"/>
    </bk>
    <bk>
      <rc t="2" v="1654"/>
    </bk>
    <bk>
      <rc t="2" v="1655"/>
    </bk>
    <bk>
      <rc t="2" v="1656"/>
    </bk>
    <bk>
      <rc t="2" v="1657"/>
    </bk>
    <bk>
      <rc t="2" v="1658"/>
    </bk>
    <bk>
      <rc t="2" v="1659"/>
    </bk>
    <bk>
      <rc t="2" v="1660"/>
    </bk>
    <bk>
      <rc t="2" v="1661"/>
    </bk>
    <bk>
      <rc t="2" v="1662"/>
    </bk>
    <bk>
      <rc t="2" v="1663"/>
    </bk>
    <bk>
      <rc t="2" v="1664"/>
    </bk>
    <bk>
      <rc t="2" v="1665"/>
    </bk>
    <bk>
      <rc t="2" v="1666"/>
    </bk>
    <bk>
      <rc t="2" v="1667"/>
    </bk>
    <bk>
      <rc t="2" v="1668"/>
    </bk>
    <bk>
      <rc t="2" v="1669"/>
    </bk>
    <bk>
      <rc t="2" v="1670"/>
    </bk>
    <bk>
      <rc t="2" v="1671"/>
    </bk>
    <bk>
      <rc t="2" v="1672"/>
    </bk>
    <bk>
      <rc t="2" v="1673"/>
    </bk>
    <bk>
      <rc t="2" v="1674"/>
    </bk>
    <bk>
      <rc t="2" v="1675"/>
    </bk>
    <bk>
      <rc t="2" v="1676"/>
    </bk>
    <bk>
      <rc t="2" v="1677"/>
    </bk>
    <bk>
      <rc t="2" v="1678"/>
    </bk>
    <bk>
      <rc t="2" v="1679"/>
    </bk>
    <bk>
      <rc t="2" v="1680"/>
    </bk>
    <bk>
      <rc t="2" v="1681"/>
    </bk>
    <bk>
      <rc t="2" v="1682"/>
    </bk>
    <bk>
      <rc t="2" v="1683"/>
    </bk>
    <bk>
      <rc t="2" v="1684"/>
    </bk>
    <bk>
      <rc t="2" v="1685"/>
    </bk>
    <bk>
      <rc t="2" v="1686"/>
    </bk>
    <bk>
      <rc t="2" v="1687"/>
    </bk>
    <bk>
      <rc t="2" v="1688"/>
    </bk>
    <bk>
      <rc t="2" v="1689"/>
    </bk>
    <bk>
      <rc t="2" v="1690"/>
    </bk>
    <bk>
      <rc t="2" v="1691"/>
    </bk>
    <bk>
      <rc t="2" v="1692"/>
    </bk>
    <bk>
      <rc t="2" v="1693"/>
    </bk>
    <bk>
      <rc t="2" v="1694"/>
    </bk>
    <bk>
      <rc t="2" v="1695"/>
    </bk>
    <bk>
      <rc t="2" v="1696"/>
    </bk>
    <bk>
      <rc t="2" v="1697"/>
    </bk>
    <bk>
      <rc t="2" v="1698"/>
    </bk>
    <bk>
      <rc t="2" v="1699"/>
    </bk>
    <bk>
      <rc t="2" v="1700"/>
    </bk>
    <bk>
      <rc t="2" v="1701"/>
    </bk>
    <bk>
      <rc t="2" v="1702"/>
    </bk>
    <bk>
      <rc t="2" v="1703"/>
    </bk>
    <bk>
      <rc t="2" v="1704"/>
    </bk>
    <bk>
      <rc t="2" v="1705"/>
    </bk>
    <bk>
      <rc t="2" v="1706"/>
    </bk>
    <bk>
      <rc t="2" v="1707"/>
    </bk>
    <bk>
      <rc t="2" v="1708"/>
    </bk>
    <bk>
      <rc t="2" v="1709"/>
    </bk>
    <bk>
      <rc t="2" v="1710"/>
    </bk>
    <bk>
      <rc t="2" v="1711"/>
    </bk>
    <bk>
      <rc t="2" v="1712"/>
    </bk>
    <bk>
      <rc t="2" v="1713"/>
    </bk>
    <bk>
      <rc t="2" v="1714"/>
    </bk>
    <bk>
      <rc t="2" v="1715"/>
    </bk>
    <bk>
      <rc t="2" v="1716"/>
    </bk>
    <bk>
      <rc t="2" v="1717"/>
    </bk>
    <bk>
      <rc t="2" v="1718"/>
    </bk>
    <bk>
      <rc t="2" v="1719"/>
    </bk>
    <bk>
      <rc t="2" v="1720"/>
    </bk>
    <bk>
      <rc t="2" v="1721"/>
    </bk>
    <bk>
      <rc t="2" v="1722"/>
    </bk>
    <bk>
      <rc t="2" v="1723"/>
    </bk>
    <bk>
      <rc t="2" v="1724"/>
    </bk>
    <bk>
      <rc t="2" v="1725"/>
    </bk>
    <bk>
      <rc t="2" v="1726"/>
    </bk>
    <bk>
      <rc t="2" v="1727"/>
    </bk>
    <bk>
      <rc t="2" v="1728"/>
    </bk>
    <bk>
      <rc t="2" v="1729"/>
    </bk>
    <bk>
      <rc t="2" v="1730"/>
    </bk>
    <bk>
      <rc t="2" v="1731"/>
    </bk>
    <bk>
      <rc t="2" v="1732"/>
    </bk>
    <bk>
      <rc t="2" v="1733"/>
    </bk>
    <bk>
      <rc t="2" v="1734"/>
    </bk>
    <bk>
      <rc t="2" v="1735"/>
    </bk>
    <bk>
      <rc t="2" v="1736"/>
    </bk>
    <bk>
      <rc t="2" v="1737"/>
    </bk>
    <bk>
      <rc t="2" v="1738"/>
    </bk>
    <bk>
      <rc t="2" v="1739"/>
    </bk>
    <bk>
      <rc t="2" v="1740"/>
    </bk>
    <bk>
      <rc t="2" v="1741"/>
    </bk>
    <bk>
      <rc t="2" v="1742"/>
    </bk>
    <bk>
      <rc t="2" v="1743"/>
    </bk>
    <bk>
      <rc t="2" v="1744"/>
    </bk>
    <bk>
      <rc t="2" v="1745"/>
    </bk>
    <bk>
      <rc t="2" v="1746"/>
    </bk>
    <bk>
      <rc t="2" v="1747"/>
    </bk>
    <bk>
      <rc t="2" v="1748"/>
    </bk>
    <bk>
      <rc t="2" v="1749"/>
    </bk>
    <bk>
      <rc t="2" v="1750"/>
    </bk>
    <bk>
      <rc t="2" v="1751"/>
    </bk>
    <bk>
      <rc t="2" v="1752"/>
    </bk>
    <bk>
      <rc t="2" v="1753"/>
    </bk>
    <bk>
      <rc t="2" v="1754"/>
    </bk>
    <bk>
      <rc t="2" v="1755"/>
    </bk>
    <bk>
      <rc t="2" v="1756"/>
    </bk>
    <bk>
      <rc t="2" v="1757"/>
    </bk>
    <bk>
      <rc t="2" v="1758"/>
    </bk>
    <bk>
      <rc t="2" v="1759"/>
    </bk>
    <bk>
      <rc t="2" v="1760"/>
    </bk>
    <bk>
      <rc t="2" v="1761"/>
    </bk>
    <bk>
      <rc t="2" v="1762"/>
    </bk>
    <bk>
      <rc t="2" v="1763"/>
    </bk>
    <bk>
      <rc t="2" v="1764"/>
    </bk>
    <bk>
      <rc t="2" v="1765"/>
    </bk>
    <bk>
      <rc t="2" v="1766"/>
    </bk>
    <bk>
      <rc t="2" v="1767"/>
    </bk>
    <bk>
      <rc t="2" v="1768"/>
    </bk>
    <bk>
      <rc t="2" v="1769"/>
    </bk>
    <bk>
      <rc t="2" v="1770"/>
    </bk>
    <bk>
      <rc t="2" v="1771"/>
    </bk>
    <bk>
      <rc t="2" v="1772"/>
    </bk>
    <bk>
      <rc t="2" v="1773"/>
    </bk>
    <bk>
      <rc t="2" v="1774"/>
    </bk>
    <bk>
      <rc t="2" v="1775"/>
    </bk>
    <bk>
      <rc t="2" v="1776"/>
    </bk>
    <bk>
      <rc t="2" v="1777"/>
    </bk>
    <bk>
      <rc t="2" v="1778"/>
    </bk>
    <bk>
      <rc t="2" v="1779"/>
    </bk>
    <bk>
      <rc t="2" v="1780"/>
    </bk>
    <bk>
      <rc t="2" v="1781"/>
    </bk>
    <bk>
      <rc t="2" v="1782"/>
    </bk>
    <bk>
      <rc t="2" v="1783"/>
    </bk>
    <bk>
      <rc t="2" v="1784"/>
    </bk>
    <bk>
      <rc t="2" v="1785"/>
    </bk>
    <bk>
      <rc t="2" v="1786"/>
    </bk>
    <bk>
      <rc t="2" v="1787"/>
    </bk>
    <bk>
      <rc t="2" v="1788"/>
    </bk>
    <bk>
      <rc t="2" v="1789"/>
    </bk>
    <bk>
      <rc t="2" v="1790"/>
    </bk>
    <bk>
      <rc t="2" v="1791"/>
    </bk>
    <bk>
      <rc t="2" v="1792"/>
    </bk>
    <bk>
      <rc t="2" v="1793"/>
    </bk>
    <bk>
      <rc t="2" v="1794"/>
    </bk>
    <bk>
      <rc t="2" v="1795"/>
    </bk>
    <bk>
      <rc t="2" v="1796"/>
    </bk>
    <bk>
      <rc t="2" v="1797"/>
    </bk>
    <bk>
      <rc t="2" v="1798"/>
    </bk>
    <bk>
      <rc t="2" v="1799"/>
    </bk>
    <bk>
      <rc t="2" v="1800"/>
    </bk>
    <bk>
      <rc t="2" v="1801"/>
    </bk>
    <bk>
      <rc t="2" v="1802"/>
    </bk>
    <bk>
      <rc t="2" v="1803"/>
    </bk>
    <bk>
      <rc t="2" v="1804"/>
    </bk>
    <bk>
      <rc t="2" v="1805"/>
    </bk>
    <bk>
      <rc t="2" v="1806"/>
    </bk>
    <bk>
      <rc t="2" v="1807"/>
    </bk>
    <bk>
      <rc t="2" v="1808"/>
    </bk>
    <bk>
      <rc t="2" v="1809"/>
    </bk>
    <bk>
      <rc t="2" v="1810"/>
    </bk>
    <bk>
      <rc t="2" v="1811"/>
    </bk>
    <bk>
      <rc t="2" v="1812"/>
    </bk>
    <bk>
      <rc t="2" v="1813"/>
    </bk>
    <bk>
      <rc t="2" v="1814"/>
    </bk>
    <bk>
      <rc t="2" v="1815"/>
    </bk>
    <bk>
      <rc t="2" v="1816"/>
    </bk>
    <bk>
      <rc t="2" v="1817"/>
    </bk>
    <bk>
      <rc t="2" v="1818"/>
    </bk>
    <bk>
      <rc t="2" v="1819"/>
    </bk>
    <bk>
      <rc t="2" v="1820"/>
    </bk>
    <bk>
      <rc t="2" v="1821"/>
    </bk>
    <bk>
      <rc t="2" v="1822"/>
    </bk>
    <bk>
      <rc t="2" v="1823"/>
    </bk>
    <bk>
      <rc t="2" v="1824"/>
    </bk>
    <bk>
      <rc t="2" v="1825"/>
    </bk>
    <bk>
      <rc t="2" v="1826"/>
    </bk>
    <bk>
      <rc t="2" v="1827"/>
    </bk>
    <bk>
      <rc t="2" v="1828"/>
    </bk>
    <bk>
      <rc t="2" v="1829"/>
    </bk>
    <bk>
      <rc t="2" v="1830"/>
    </bk>
    <bk>
      <rc t="2" v="1831"/>
    </bk>
    <bk>
      <rc t="2" v="1832"/>
    </bk>
    <bk>
      <rc t="2" v="1833"/>
    </bk>
    <bk>
      <rc t="2" v="1834"/>
    </bk>
    <bk>
      <rc t="2" v="1835"/>
    </bk>
    <bk>
      <rc t="2" v="1836"/>
    </bk>
    <bk>
      <rc t="2" v="1837"/>
    </bk>
    <bk>
      <rc t="2" v="1838"/>
    </bk>
    <bk>
      <rc t="2" v="1839"/>
    </bk>
    <bk>
      <rc t="2" v="1840"/>
    </bk>
    <bk>
      <rc t="2" v="1841"/>
    </bk>
    <bk>
      <rc t="2" v="1842"/>
    </bk>
    <bk>
      <rc t="2" v="1843"/>
    </bk>
    <bk>
      <rc t="2" v="1844"/>
    </bk>
    <bk>
      <rc t="2" v="1845"/>
    </bk>
    <bk>
      <rc t="2" v="1846"/>
    </bk>
    <bk>
      <rc t="2" v="1847"/>
    </bk>
    <bk>
      <rc t="2" v="1848"/>
    </bk>
    <bk>
      <rc t="2" v="1849"/>
    </bk>
    <bk>
      <rc t="2" v="1850"/>
    </bk>
    <bk>
      <rc t="2" v="1851"/>
    </bk>
    <bk>
      <rc t="2" v="1852"/>
    </bk>
    <bk>
      <rc t="2" v="1853"/>
    </bk>
    <bk>
      <rc t="2" v="1854"/>
    </bk>
    <bk>
      <rc t="2" v="1855"/>
    </bk>
    <bk>
      <rc t="2" v="1856"/>
    </bk>
    <bk>
      <rc t="2" v="1857"/>
    </bk>
    <bk>
      <rc t="2" v="1858"/>
    </bk>
    <bk>
      <rc t="2" v="1859"/>
    </bk>
    <bk>
      <rc t="2" v="1860"/>
    </bk>
    <bk>
      <rc t="2" v="1861"/>
    </bk>
    <bk>
      <rc t="2" v="1862"/>
    </bk>
    <bk>
      <rc t="2" v="1863"/>
    </bk>
    <bk>
      <rc t="2" v="1864"/>
    </bk>
    <bk>
      <rc t="2" v="1865"/>
    </bk>
    <bk>
      <rc t="2" v="1866"/>
    </bk>
    <bk>
      <rc t="2" v="1867"/>
    </bk>
    <bk>
      <rc t="2" v="1868"/>
    </bk>
    <bk>
      <rc t="2" v="1869"/>
    </bk>
    <bk>
      <rc t="2" v="1870"/>
    </bk>
    <bk>
      <rc t="2" v="1871"/>
    </bk>
    <bk>
      <rc t="2" v="1872"/>
    </bk>
    <bk>
      <rc t="2" v="1873"/>
    </bk>
    <bk>
      <rc t="2" v="1874"/>
    </bk>
    <bk>
      <rc t="2" v="1875"/>
    </bk>
    <bk>
      <rc t="2" v="1876"/>
    </bk>
    <bk>
      <rc t="2" v="1877"/>
    </bk>
    <bk>
      <rc t="2" v="1878"/>
    </bk>
    <bk>
      <rc t="2" v="1879"/>
    </bk>
    <bk>
      <rc t="2" v="1880"/>
    </bk>
    <bk>
      <rc t="2" v="1881"/>
    </bk>
    <bk>
      <rc t="2" v="1882"/>
    </bk>
    <bk>
      <rc t="2" v="1883"/>
    </bk>
    <bk>
      <rc t="2" v="1884"/>
    </bk>
    <bk>
      <rc t="2" v="1885"/>
    </bk>
    <bk>
      <rc t="2" v="1886"/>
    </bk>
    <bk>
      <rc t="2" v="1887"/>
    </bk>
    <bk>
      <rc t="2" v="1888"/>
    </bk>
    <bk>
      <rc t="2" v="1889"/>
    </bk>
    <bk>
      <rc t="2" v="1890"/>
    </bk>
    <bk>
      <rc t="2" v="1891"/>
    </bk>
    <bk>
      <rc t="2" v="1892"/>
    </bk>
    <bk>
      <rc t="2" v="1893"/>
    </bk>
    <bk>
      <rc t="2" v="1894"/>
    </bk>
    <bk>
      <rc t="2" v="1895"/>
    </bk>
    <bk>
      <rc t="2" v="1896"/>
    </bk>
    <bk>
      <rc t="2" v="1897"/>
    </bk>
    <bk>
      <rc t="2" v="1898"/>
    </bk>
    <bk>
      <rc t="2" v="1899"/>
    </bk>
    <bk>
      <rc t="2" v="1900"/>
    </bk>
    <bk>
      <rc t="2" v="1901"/>
    </bk>
    <bk>
      <rc t="2" v="1902"/>
    </bk>
    <bk>
      <rc t="2" v="1903"/>
    </bk>
    <bk>
      <rc t="2" v="1904"/>
    </bk>
    <bk>
      <rc t="2" v="1905"/>
    </bk>
    <bk>
      <rc t="2" v="1906"/>
    </bk>
    <bk>
      <rc t="2" v="1907"/>
    </bk>
    <bk>
      <rc t="2" v="1908"/>
    </bk>
    <bk>
      <rc t="2" v="1909"/>
    </bk>
    <bk>
      <rc t="2" v="1910"/>
    </bk>
    <bk>
      <rc t="2" v="1911"/>
    </bk>
    <bk>
      <rc t="2" v="1912"/>
    </bk>
    <bk>
      <rc t="2" v="1913"/>
    </bk>
    <bk>
      <rc t="2" v="1914"/>
    </bk>
    <bk>
      <rc t="2" v="1915"/>
    </bk>
    <bk>
      <rc t="2" v="1916"/>
    </bk>
    <bk>
      <rc t="2" v="1917"/>
    </bk>
    <bk>
      <rc t="2" v="1918"/>
    </bk>
    <bk>
      <rc t="2" v="1919"/>
    </bk>
    <bk>
      <rc t="2" v="1920"/>
    </bk>
    <bk>
      <rc t="2" v="1921"/>
    </bk>
    <bk>
      <rc t="2" v="1922"/>
    </bk>
    <bk>
      <rc t="2" v="1923"/>
    </bk>
    <bk>
      <rc t="2" v="1924"/>
    </bk>
    <bk>
      <rc t="2" v="1925"/>
    </bk>
    <bk>
      <rc t="2" v="1926"/>
    </bk>
    <bk>
      <rc t="2" v="1927"/>
    </bk>
    <bk>
      <rc t="2" v="1928"/>
    </bk>
    <bk>
      <rc t="2" v="1929"/>
    </bk>
    <bk>
      <rc t="2" v="1930"/>
    </bk>
    <bk>
      <rc t="2" v="1931"/>
    </bk>
    <bk>
      <rc t="2" v="1932"/>
    </bk>
    <bk>
      <rc t="2" v="1933"/>
    </bk>
    <bk>
      <rc t="2" v="1934"/>
    </bk>
    <bk>
      <rc t="2" v="1935"/>
    </bk>
    <bk>
      <rc t="2" v="1936"/>
    </bk>
    <bk>
      <rc t="2" v="1937"/>
    </bk>
    <bk>
      <rc t="2" v="1938"/>
    </bk>
    <bk>
      <rc t="2" v="1939"/>
    </bk>
    <bk>
      <rc t="2" v="1940"/>
    </bk>
    <bk>
      <rc t="2" v="1941"/>
    </bk>
    <bk>
      <rc t="2" v="1942"/>
    </bk>
    <bk>
      <rc t="2" v="1943"/>
    </bk>
    <bk>
      <rc t="2" v="1944"/>
    </bk>
    <bk>
      <rc t="2" v="1945"/>
    </bk>
    <bk>
      <rc t="2" v="1946"/>
    </bk>
    <bk>
      <rc t="2" v="1947"/>
    </bk>
    <bk>
      <rc t="2" v="1948"/>
    </bk>
    <bk>
      <rc t="2" v="1949"/>
    </bk>
    <bk>
      <rc t="2" v="1950"/>
    </bk>
    <bk>
      <rc t="2" v="1951"/>
    </bk>
    <bk>
      <rc t="2" v="1952"/>
    </bk>
    <bk>
      <rc t="2" v="1953"/>
    </bk>
    <bk>
      <rc t="2" v="1954"/>
    </bk>
    <bk>
      <rc t="2" v="1955"/>
    </bk>
    <bk>
      <rc t="2" v="1956"/>
    </bk>
    <bk>
      <rc t="2" v="1957"/>
    </bk>
    <bk>
      <rc t="2" v="1958"/>
    </bk>
    <bk>
      <rc t="2" v="1959"/>
    </bk>
    <bk>
      <rc t="2" v="1960"/>
    </bk>
    <bk>
      <rc t="2" v="1961"/>
    </bk>
    <bk>
      <rc t="2" v="1962"/>
    </bk>
    <bk>
      <rc t="2" v="1963"/>
    </bk>
    <bk>
      <rc t="2" v="1964"/>
    </bk>
    <bk>
      <rc t="2" v="1965"/>
    </bk>
    <bk>
      <rc t="2" v="1966"/>
    </bk>
    <bk>
      <rc t="2" v="1967"/>
    </bk>
    <bk>
      <rc t="2" v="1968"/>
    </bk>
    <bk>
      <rc t="2" v="1969"/>
    </bk>
    <bk>
      <rc t="2" v="1970"/>
    </bk>
    <bk>
      <rc t="2" v="1971"/>
    </bk>
    <bk>
      <rc t="2" v="1972"/>
    </bk>
    <bk>
      <rc t="2" v="1973"/>
    </bk>
    <bk>
      <rc t="2" v="1974"/>
    </bk>
    <bk>
      <rc t="2" v="1975"/>
    </bk>
    <bk>
      <rc t="2" v="1976"/>
    </bk>
    <bk>
      <rc t="2" v="1977"/>
    </bk>
    <bk>
      <rc t="2" v="1978"/>
    </bk>
    <bk>
      <rc t="2" v="1979"/>
    </bk>
    <bk>
      <rc t="2" v="1980"/>
    </bk>
    <bk>
      <rc t="2" v="1981"/>
    </bk>
    <bk>
      <rc t="2" v="1982"/>
    </bk>
    <bk>
      <rc t="2" v="1983"/>
    </bk>
    <bk>
      <rc t="2" v="1984"/>
    </bk>
    <bk>
      <rc t="2" v="1985"/>
    </bk>
    <bk>
      <rc t="2" v="1986"/>
    </bk>
    <bk>
      <rc t="2" v="1987"/>
    </bk>
    <bk>
      <rc t="2" v="1988"/>
    </bk>
    <bk>
      <rc t="2" v="1989"/>
    </bk>
    <bk>
      <rc t="2" v="1990"/>
    </bk>
    <bk>
      <rc t="2" v="1991"/>
    </bk>
    <bk>
      <rc t="2" v="1992"/>
    </bk>
    <bk>
      <rc t="2" v="1993"/>
    </bk>
    <bk>
      <rc t="2" v="1994"/>
    </bk>
    <bk>
      <rc t="2" v="1995"/>
    </bk>
    <bk>
      <rc t="2" v="1996"/>
    </bk>
    <bk>
      <rc t="2" v="1997"/>
    </bk>
    <bk>
      <rc t="2" v="1998"/>
    </bk>
    <bk>
      <rc t="2" v="1999"/>
    </bk>
    <bk>
      <rc t="2" v="2000"/>
    </bk>
    <bk>
      <rc t="2" v="2001"/>
    </bk>
    <bk>
      <rc t="2" v="2002"/>
    </bk>
    <bk>
      <rc t="2" v="2003"/>
    </bk>
    <bk>
      <rc t="2" v="2004"/>
    </bk>
    <bk>
      <rc t="2" v="2005"/>
    </bk>
    <bk>
      <rc t="2" v="2006"/>
    </bk>
    <bk>
      <rc t="2" v="2007"/>
    </bk>
    <bk>
      <rc t="2" v="2008"/>
    </bk>
    <bk>
      <rc t="2" v="2009"/>
    </bk>
    <bk>
      <rc t="2" v="2010"/>
    </bk>
    <bk>
      <rc t="2" v="2011"/>
    </bk>
    <bk>
      <rc t="2" v="2012"/>
    </bk>
    <bk>
      <rc t="2" v="2013"/>
    </bk>
    <bk>
      <rc t="2" v="2014"/>
    </bk>
    <bk>
      <rc t="2" v="2015"/>
    </bk>
    <bk>
      <rc t="2" v="2016"/>
    </bk>
    <bk>
      <rc t="2" v="2017"/>
    </bk>
    <bk>
      <rc t="2" v="2018"/>
    </bk>
    <bk>
      <rc t="2" v="2019"/>
    </bk>
    <bk>
      <rc t="2" v="2020"/>
    </bk>
    <bk>
      <rc t="2" v="2021"/>
    </bk>
    <bk>
      <rc t="2" v="2022"/>
    </bk>
    <bk>
      <rc t="2" v="2023"/>
    </bk>
    <bk>
      <rc t="2" v="2024"/>
    </bk>
    <bk>
      <rc t="2" v="2025"/>
    </bk>
    <bk>
      <rc t="2" v="2026"/>
    </bk>
    <bk>
      <rc t="2" v="2027"/>
    </bk>
    <bk>
      <rc t="2" v="2028"/>
    </bk>
    <bk>
      <rc t="2" v="2029"/>
    </bk>
    <bk>
      <rc t="2" v="2030"/>
    </bk>
    <bk>
      <rc t="2" v="2031"/>
    </bk>
    <bk>
      <rc t="2" v="2032"/>
    </bk>
    <bk>
      <rc t="2" v="2033"/>
    </bk>
    <bk>
      <rc t="2" v="2034"/>
    </bk>
    <bk>
      <rc t="2" v="2035"/>
    </bk>
    <bk>
      <rc t="2" v="2036"/>
    </bk>
    <bk>
      <rc t="2" v="2037"/>
    </bk>
    <bk>
      <rc t="2" v="2038"/>
    </bk>
    <bk>
      <rc t="2" v="2039"/>
    </bk>
    <bk>
      <rc t="2" v="2040"/>
    </bk>
    <bk>
      <rc t="2" v="2041"/>
    </bk>
    <bk>
      <rc t="2" v="2042"/>
    </bk>
    <bk>
      <rc t="2" v="2043"/>
    </bk>
    <bk>
      <rc t="2" v="2044"/>
    </bk>
    <bk>
      <rc t="2" v="2045"/>
    </bk>
    <bk>
      <rc t="2" v="2046"/>
    </bk>
    <bk>
      <rc t="2" v="2047"/>
    </bk>
    <bk>
      <rc t="2" v="2048"/>
    </bk>
    <bk>
      <rc t="2" v="2049"/>
    </bk>
    <bk>
      <rc t="2" v="2050"/>
    </bk>
    <bk>
      <rc t="2" v="2051"/>
    </bk>
    <bk>
      <rc t="2" v="2052"/>
    </bk>
    <bk>
      <rc t="2" v="2053"/>
    </bk>
    <bk>
      <rc t="2" v="2054"/>
    </bk>
    <bk>
      <rc t="2" v="2055"/>
    </bk>
    <bk>
      <rc t="2" v="2056"/>
    </bk>
    <bk>
      <rc t="2" v="2057"/>
    </bk>
    <bk>
      <rc t="2" v="2058"/>
    </bk>
    <bk>
      <rc t="2" v="2059"/>
    </bk>
    <bk>
      <rc t="2" v="2060"/>
    </bk>
    <bk>
      <rc t="2" v="2061"/>
    </bk>
    <bk>
      <rc t="2" v="2062"/>
    </bk>
    <bk>
      <rc t="2" v="2063"/>
    </bk>
    <bk>
      <rc t="2" v="2064"/>
    </bk>
    <bk>
      <rc t="2" v="2065"/>
    </bk>
    <bk>
      <rc t="2" v="2066"/>
    </bk>
    <bk>
      <rc t="2" v="2067"/>
    </bk>
    <bk>
      <rc t="2" v="2068"/>
    </bk>
    <bk>
      <rc t="2" v="2069"/>
    </bk>
    <bk>
      <rc t="2" v="2070"/>
    </bk>
    <bk>
      <rc t="2" v="2071"/>
    </bk>
    <bk>
      <rc t="2" v="2072"/>
    </bk>
    <bk>
      <rc t="2" v="2073"/>
    </bk>
    <bk>
      <rc t="2" v="2074"/>
    </bk>
    <bk>
      <rc t="2" v="2075"/>
    </bk>
    <bk>
      <rc t="2" v="2076"/>
    </bk>
    <bk>
      <rc t="2" v="2077"/>
    </bk>
    <bk>
      <rc t="2" v="2078"/>
    </bk>
    <bk>
      <rc t="2" v="2079"/>
    </bk>
    <bk>
      <rc t="2" v="2080"/>
    </bk>
    <bk>
      <rc t="2" v="2081"/>
    </bk>
    <bk>
      <rc t="2" v="2082"/>
    </bk>
    <bk>
      <rc t="2" v="2083"/>
    </bk>
    <bk>
      <rc t="2" v="2084"/>
    </bk>
    <bk>
      <rc t="2" v="2085"/>
    </bk>
    <bk>
      <rc t="2" v="2086"/>
    </bk>
    <bk>
      <rc t="2" v="2087"/>
    </bk>
    <bk>
      <rc t="2" v="2088"/>
    </bk>
    <bk>
      <rc t="2" v="2089"/>
    </bk>
    <bk>
      <rc t="2" v="2090"/>
    </bk>
    <bk>
      <rc t="2" v="2091"/>
    </bk>
    <bk>
      <rc t="2" v="2092"/>
    </bk>
    <bk>
      <rc t="2" v="2093"/>
    </bk>
    <bk>
      <rc t="2" v="2094"/>
    </bk>
    <bk>
      <rc t="2" v="2095"/>
    </bk>
    <bk>
      <rc t="2" v="2096"/>
    </bk>
    <bk>
      <rc t="2" v="2097"/>
    </bk>
    <bk>
      <rc t="2" v="2098"/>
    </bk>
    <bk>
      <rc t="2" v="2099"/>
    </bk>
    <bk>
      <rc t="2" v="2100"/>
    </bk>
    <bk>
      <rc t="2" v="2101"/>
    </bk>
    <bk>
      <rc t="2" v="2102"/>
    </bk>
    <bk>
      <rc t="2" v="2103"/>
    </bk>
    <bk>
      <rc t="2" v="2104"/>
    </bk>
    <bk>
      <rc t="2" v="2105"/>
    </bk>
    <bk>
      <rc t="2" v="2106"/>
    </bk>
    <bk>
      <rc t="2" v="2107"/>
    </bk>
    <bk>
      <rc t="2" v="2108"/>
    </bk>
    <bk>
      <rc t="2" v="2109"/>
    </bk>
    <bk>
      <rc t="2" v="2110"/>
    </bk>
    <bk>
      <rc t="2" v="2111"/>
    </bk>
    <bk>
      <rc t="2" v="2112"/>
    </bk>
    <bk>
      <rc t="2" v="2113"/>
    </bk>
    <bk>
      <rc t="2" v="2114"/>
    </bk>
    <bk>
      <rc t="2" v="2115"/>
    </bk>
    <bk>
      <rc t="2" v="2116"/>
    </bk>
    <bk>
      <rc t="2" v="2117"/>
    </bk>
    <bk>
      <rc t="2" v="2118"/>
    </bk>
    <bk>
      <rc t="2" v="2119"/>
    </bk>
    <bk>
      <rc t="2" v="2120"/>
    </bk>
    <bk>
      <rc t="2" v="2121"/>
    </bk>
    <bk>
      <rc t="2" v="2122"/>
    </bk>
    <bk>
      <rc t="2" v="2123"/>
    </bk>
    <bk>
      <rc t="2" v="2124"/>
    </bk>
    <bk>
      <rc t="2" v="2125"/>
    </bk>
    <bk>
      <rc t="2" v="2126"/>
    </bk>
    <bk>
      <rc t="2" v="2127"/>
    </bk>
    <bk>
      <rc t="2" v="2128"/>
    </bk>
    <bk>
      <rc t="2" v="2129"/>
    </bk>
    <bk>
      <rc t="2" v="2130"/>
    </bk>
    <bk>
      <rc t="2" v="2131"/>
    </bk>
    <bk>
      <rc t="2" v="2132"/>
    </bk>
    <bk>
      <rc t="2" v="2133"/>
    </bk>
    <bk>
      <rc t="2" v="2134"/>
    </bk>
    <bk>
      <rc t="2" v="2135"/>
    </bk>
    <bk>
      <rc t="2" v="2136"/>
    </bk>
    <bk>
      <rc t="2" v="2137"/>
    </bk>
    <bk>
      <rc t="2" v="2138"/>
    </bk>
    <bk>
      <rc t="2" v="2139"/>
    </bk>
    <bk>
      <rc t="2" v="2140"/>
    </bk>
    <bk>
      <rc t="2" v="2141"/>
    </bk>
    <bk>
      <rc t="2" v="2142"/>
    </bk>
    <bk>
      <rc t="2" v="2143"/>
    </bk>
    <bk>
      <rc t="2" v="2144"/>
    </bk>
    <bk>
      <rc t="2" v="2145"/>
    </bk>
    <bk>
      <rc t="2" v="2146"/>
    </bk>
    <bk>
      <rc t="2" v="2147"/>
    </bk>
    <bk>
      <rc t="2" v="2148"/>
    </bk>
    <bk>
      <rc t="2" v="2149"/>
    </bk>
    <bk>
      <rc t="2" v="2150"/>
    </bk>
    <bk>
      <rc t="2" v="2151"/>
    </bk>
    <bk>
      <rc t="2" v="2152"/>
    </bk>
    <bk>
      <rc t="2" v="2153"/>
    </bk>
    <bk>
      <rc t="2" v="2154"/>
    </bk>
    <bk>
      <rc t="2" v="2155"/>
    </bk>
    <bk>
      <rc t="2" v="2156"/>
    </bk>
    <bk>
      <rc t="2" v="2157"/>
    </bk>
    <bk>
      <rc t="2" v="2158"/>
    </bk>
    <bk>
      <rc t="2" v="2159"/>
    </bk>
    <bk>
      <rc t="2" v="2160"/>
    </bk>
    <bk>
      <rc t="2" v="2161"/>
    </bk>
    <bk>
      <rc t="2" v="2162"/>
    </bk>
    <bk>
      <rc t="2" v="2163"/>
    </bk>
    <bk>
      <rc t="2" v="2164"/>
    </bk>
    <bk>
      <rc t="2" v="2165"/>
    </bk>
    <bk>
      <rc t="2" v="2166"/>
    </bk>
    <bk>
      <rc t="2" v="2167"/>
    </bk>
    <bk>
      <rc t="2" v="2168"/>
    </bk>
    <bk>
      <rc t="2" v="2169"/>
    </bk>
    <bk>
      <rc t="2" v="2170"/>
    </bk>
    <bk>
      <rc t="2" v="2171"/>
    </bk>
    <bk>
      <rc t="2" v="2172"/>
    </bk>
    <bk>
      <rc t="2" v="2173"/>
    </bk>
    <bk>
      <rc t="2" v="2174"/>
    </bk>
    <bk>
      <rc t="2" v="2175"/>
    </bk>
    <bk>
      <rc t="2" v="2176"/>
    </bk>
    <bk>
      <rc t="2" v="2177"/>
    </bk>
    <bk>
      <rc t="2" v="2178"/>
    </bk>
    <bk>
      <rc t="2" v="2179"/>
    </bk>
    <bk>
      <rc t="2" v="2180"/>
    </bk>
    <bk>
      <rc t="2" v="2181"/>
    </bk>
    <bk>
      <rc t="2" v="2182"/>
    </bk>
    <bk>
      <rc t="2" v="2183"/>
    </bk>
    <bk>
      <rc t="2" v="2184"/>
    </bk>
    <bk>
      <rc t="2" v="2185"/>
    </bk>
    <bk>
      <rc t="2" v="2186"/>
    </bk>
    <bk>
      <rc t="2" v="2187"/>
    </bk>
    <bk>
      <rc t="2" v="2188"/>
    </bk>
    <bk>
      <rc t="2" v="2189"/>
    </bk>
    <bk>
      <rc t="2" v="2190"/>
    </bk>
    <bk>
      <rc t="2" v="2191"/>
    </bk>
    <bk>
      <rc t="2" v="2192"/>
    </bk>
    <bk>
      <rc t="2" v="2193"/>
    </bk>
    <bk>
      <rc t="2" v="2194"/>
    </bk>
    <bk>
      <rc t="2" v="2195"/>
    </bk>
    <bk>
      <rc t="2" v="2196"/>
    </bk>
    <bk>
      <rc t="2" v="2197"/>
    </bk>
    <bk>
      <rc t="2" v="2198"/>
    </bk>
    <bk>
      <rc t="2" v="2199"/>
    </bk>
    <bk>
      <rc t="2" v="2200"/>
    </bk>
    <bk>
      <rc t="2" v="2201"/>
    </bk>
    <bk>
      <rc t="2" v="2202"/>
    </bk>
    <bk>
      <rc t="2" v="2203"/>
    </bk>
    <bk>
      <rc t="2" v="2204"/>
    </bk>
    <bk>
      <rc t="2" v="2205"/>
    </bk>
    <bk>
      <rc t="2" v="2206"/>
    </bk>
    <bk>
      <rc t="2" v="2207"/>
    </bk>
    <bk>
      <rc t="2" v="2208"/>
    </bk>
    <bk>
      <rc t="2" v="2209"/>
    </bk>
    <bk>
      <rc t="2" v="2210"/>
    </bk>
    <bk>
      <rc t="2" v="2211"/>
    </bk>
    <bk>
      <rc t="2" v="2212"/>
    </bk>
    <bk>
      <rc t="2" v="2213"/>
    </bk>
    <bk>
      <rc t="2" v="2214"/>
    </bk>
    <bk>
      <rc t="2" v="2215"/>
    </bk>
    <bk>
      <rc t="2" v="2216"/>
    </bk>
    <bk>
      <rc t="2" v="2217"/>
    </bk>
    <bk>
      <rc t="2" v="2218"/>
    </bk>
    <bk>
      <rc t="2" v="2219"/>
    </bk>
    <bk>
      <rc t="2" v="2220"/>
    </bk>
    <bk>
      <rc t="2" v="2221"/>
    </bk>
    <bk>
      <rc t="2" v="2222"/>
    </bk>
    <bk>
      <rc t="2" v="2223"/>
    </bk>
    <bk>
      <rc t="2" v="2224"/>
    </bk>
    <bk>
      <rc t="2" v="2225"/>
    </bk>
    <bk>
      <rc t="2" v="2226"/>
    </bk>
    <bk>
      <rc t="2" v="2227"/>
    </bk>
    <bk>
      <rc t="2" v="2228"/>
    </bk>
    <bk>
      <rc t="2" v="2229"/>
    </bk>
    <bk>
      <rc t="2" v="2230"/>
    </bk>
    <bk>
      <rc t="2" v="2231"/>
    </bk>
    <bk>
      <rc t="2" v="2232"/>
    </bk>
    <bk>
      <rc t="2" v="2233"/>
    </bk>
    <bk>
      <rc t="2" v="2234"/>
    </bk>
    <bk>
      <rc t="2" v="2235"/>
    </bk>
    <bk>
      <rc t="2" v="2236"/>
    </bk>
    <bk>
      <rc t="2" v="2237"/>
    </bk>
    <bk>
      <rc t="2" v="2238"/>
    </bk>
    <bk>
      <rc t="2" v="2239"/>
    </bk>
    <bk>
      <rc t="2" v="2240"/>
    </bk>
    <bk>
      <rc t="2" v="2241"/>
    </bk>
    <bk>
      <rc t="2" v="2242"/>
    </bk>
    <bk>
      <rc t="2" v="2243"/>
    </bk>
    <bk>
      <rc t="2" v="2244"/>
    </bk>
    <bk>
      <rc t="2" v="2245"/>
    </bk>
    <bk>
      <rc t="2" v="2246"/>
    </bk>
    <bk>
      <rc t="2" v="2247"/>
    </bk>
    <bk>
      <rc t="2" v="2248"/>
    </bk>
    <bk>
      <rc t="2" v="2249"/>
    </bk>
    <bk>
      <rc t="2" v="2250"/>
    </bk>
    <bk>
      <rc t="2" v="2251"/>
    </bk>
    <bk>
      <rc t="2" v="2252"/>
    </bk>
    <bk>
      <rc t="2" v="2253"/>
    </bk>
    <bk>
      <rc t="2" v="2254"/>
    </bk>
    <bk>
      <rc t="2" v="2255"/>
    </bk>
    <bk>
      <rc t="2" v="2256"/>
    </bk>
    <bk>
      <rc t="2" v="2257"/>
    </bk>
    <bk>
      <rc t="2" v="2258"/>
    </bk>
    <bk>
      <rc t="2" v="2259"/>
    </bk>
    <bk>
      <rc t="2" v="2260"/>
    </bk>
    <bk>
      <rc t="2" v="2261"/>
    </bk>
    <bk>
      <rc t="2" v="2262"/>
    </bk>
    <bk>
      <rc t="2" v="2263"/>
    </bk>
    <bk>
      <rc t="2" v="2264"/>
    </bk>
    <bk>
      <rc t="2" v="2265"/>
    </bk>
    <bk>
      <rc t="2" v="2266"/>
    </bk>
    <bk>
      <rc t="2" v="2267"/>
    </bk>
    <bk>
      <rc t="2" v="2268"/>
    </bk>
    <bk>
      <rc t="2" v="2269"/>
    </bk>
    <bk>
      <rc t="2" v="2270"/>
    </bk>
    <bk>
      <rc t="2" v="2271"/>
    </bk>
    <bk>
      <rc t="2" v="2272"/>
    </bk>
    <bk>
      <rc t="2" v="2273"/>
    </bk>
    <bk>
      <rc t="2" v="2274"/>
    </bk>
    <bk>
      <rc t="2" v="2275"/>
    </bk>
    <bk>
      <rc t="2" v="2276"/>
    </bk>
    <bk>
      <rc t="2" v="2277"/>
    </bk>
    <bk>
      <rc t="2" v="2278"/>
    </bk>
    <bk>
      <rc t="2" v="2279"/>
    </bk>
    <bk>
      <rc t="2" v="2280"/>
    </bk>
    <bk>
      <rc t="2" v="2281"/>
    </bk>
    <bk>
      <rc t="2" v="2282"/>
    </bk>
    <bk>
      <rc t="2" v="2283"/>
    </bk>
    <bk>
      <rc t="2" v="2284"/>
    </bk>
    <bk>
      <rc t="2" v="2285"/>
    </bk>
    <bk>
      <rc t="2" v="2286"/>
    </bk>
    <bk>
      <rc t="2" v="2287"/>
    </bk>
    <bk>
      <rc t="2" v="2288"/>
    </bk>
    <bk>
      <rc t="2" v="2289"/>
    </bk>
    <bk>
      <rc t="2" v="2290"/>
    </bk>
    <bk>
      <rc t="2" v="2291"/>
    </bk>
    <bk>
      <rc t="2" v="2292"/>
    </bk>
    <bk>
      <rc t="2" v="2293"/>
    </bk>
    <bk>
      <rc t="2" v="2294"/>
    </bk>
    <bk>
      <rc t="2" v="2295"/>
    </bk>
    <bk>
      <rc t="2" v="2296"/>
    </bk>
    <bk>
      <rc t="2" v="2297"/>
    </bk>
    <bk>
      <rc t="2" v="2298"/>
    </bk>
    <bk>
      <rc t="2" v="2299"/>
    </bk>
    <bk>
      <rc t="2" v="2300"/>
    </bk>
    <bk>
      <rc t="2" v="2301"/>
    </bk>
    <bk>
      <rc t="2" v="2302"/>
    </bk>
    <bk>
      <rc t="2" v="2303"/>
    </bk>
    <bk>
      <rc t="2" v="2304"/>
    </bk>
    <bk>
      <rc t="2" v="2305"/>
    </bk>
    <bk>
      <rc t="2" v="2306"/>
    </bk>
    <bk>
      <rc t="2" v="2307"/>
    </bk>
    <bk>
      <rc t="2" v="2308"/>
    </bk>
    <bk>
      <rc t="2" v="2309"/>
    </bk>
    <bk>
      <rc t="2" v="2310"/>
    </bk>
    <bk>
      <rc t="2" v="2311"/>
    </bk>
    <bk>
      <rc t="2" v="2312"/>
    </bk>
    <bk>
      <rc t="2" v="2313"/>
    </bk>
    <bk>
      <rc t="2" v="2314"/>
    </bk>
    <bk>
      <rc t="2" v="2315"/>
    </bk>
    <bk>
      <rc t="2" v="2316"/>
    </bk>
    <bk>
      <rc t="2" v="2317"/>
    </bk>
    <bk>
      <rc t="2" v="2318"/>
    </bk>
    <bk>
      <rc t="2" v="2319"/>
    </bk>
    <bk>
      <rc t="2" v="2320"/>
    </bk>
    <bk>
      <rc t="2" v="2321"/>
    </bk>
    <bk>
      <rc t="2" v="2322"/>
    </bk>
    <bk>
      <rc t="2" v="2323"/>
    </bk>
    <bk>
      <rc t="2" v="2324"/>
    </bk>
    <bk>
      <rc t="2" v="2325"/>
    </bk>
    <bk>
      <rc t="2" v="2326"/>
    </bk>
    <bk>
      <rc t="2" v="2327"/>
    </bk>
    <bk>
      <rc t="2" v="2328"/>
    </bk>
    <bk>
      <rc t="2" v="2329"/>
    </bk>
    <bk>
      <rc t="2" v="2330"/>
    </bk>
    <bk>
      <rc t="2" v="2331"/>
    </bk>
    <bk>
      <rc t="2" v="2332"/>
    </bk>
    <bk>
      <rc t="2" v="2333"/>
    </bk>
    <bk>
      <rc t="2" v="2334"/>
    </bk>
    <bk>
      <rc t="2" v="2335"/>
    </bk>
    <bk>
      <rc t="2" v="2336"/>
    </bk>
    <bk>
      <rc t="2" v="2337"/>
    </bk>
    <bk>
      <rc t="2" v="2338"/>
    </bk>
    <bk>
      <rc t="2" v="2339"/>
    </bk>
    <bk>
      <rc t="2" v="2340"/>
    </bk>
    <bk>
      <rc t="2" v="2341"/>
    </bk>
    <bk>
      <rc t="2" v="2342"/>
    </bk>
    <bk>
      <rc t="2" v="2343"/>
    </bk>
    <bk>
      <rc t="2" v="2344"/>
    </bk>
    <bk>
      <rc t="2" v="2345"/>
    </bk>
    <bk>
      <rc t="2" v="2346"/>
    </bk>
    <bk>
      <rc t="2" v="2347"/>
    </bk>
    <bk>
      <rc t="2" v="2348"/>
    </bk>
    <bk>
      <rc t="2" v="2349"/>
    </bk>
    <bk>
      <rc t="2" v="2350"/>
    </bk>
    <bk>
      <rc t="2" v="2351"/>
    </bk>
    <bk>
      <rc t="2" v="2352"/>
    </bk>
    <bk>
      <rc t="2" v="2353"/>
    </bk>
    <bk>
      <rc t="2" v="2354"/>
    </bk>
    <bk>
      <rc t="2" v="2355"/>
    </bk>
    <bk>
      <rc t="2" v="2356"/>
    </bk>
    <bk>
      <rc t="2" v="2357"/>
    </bk>
    <bk>
      <rc t="2" v="2358"/>
    </bk>
    <bk>
      <rc t="2" v="2359"/>
    </bk>
    <bk>
      <rc t="2" v="2360"/>
    </bk>
    <bk>
      <rc t="2" v="2361"/>
    </bk>
    <bk>
      <rc t="2" v="2362"/>
    </bk>
    <bk>
      <rc t="2" v="2363"/>
    </bk>
    <bk>
      <rc t="2" v="2364"/>
    </bk>
    <bk>
      <rc t="2" v="2365"/>
    </bk>
    <bk>
      <rc t="2" v="2366"/>
    </bk>
    <bk>
      <rc t="2" v="2367"/>
    </bk>
    <bk>
      <rc t="2" v="2368"/>
    </bk>
    <bk>
      <rc t="2" v="2369"/>
    </bk>
    <bk>
      <rc t="2" v="2370"/>
    </bk>
    <bk>
      <rc t="2" v="2371"/>
    </bk>
    <bk>
      <rc t="2" v="2372"/>
    </bk>
    <bk>
      <rc t="2" v="2373"/>
    </bk>
    <bk>
      <rc t="2" v="2374"/>
    </bk>
    <bk>
      <rc t="2" v="2375"/>
    </bk>
    <bk>
      <rc t="2" v="2376"/>
    </bk>
    <bk>
      <rc t="2" v="2377"/>
    </bk>
    <bk>
      <rc t="2" v="2378"/>
    </bk>
    <bk>
      <rc t="2" v="2379"/>
    </bk>
    <bk>
      <rc t="2" v="2380"/>
    </bk>
    <bk>
      <rc t="2" v="2381"/>
    </bk>
    <bk>
      <rc t="2" v="2382"/>
    </bk>
    <bk>
      <rc t="2" v="2383"/>
    </bk>
    <bk>
      <rc t="2" v="2384"/>
    </bk>
    <bk>
      <rc t="2" v="2385"/>
    </bk>
    <bk>
      <rc t="2" v="2386"/>
    </bk>
    <bk>
      <rc t="2" v="2387"/>
    </bk>
    <bk>
      <rc t="2" v="2388"/>
    </bk>
    <bk>
      <rc t="2" v="2389"/>
    </bk>
    <bk>
      <rc t="2" v="2390"/>
    </bk>
    <bk>
      <rc t="2" v="2391"/>
    </bk>
    <bk>
      <rc t="2" v="2392"/>
    </bk>
    <bk>
      <rc t="2" v="2393"/>
    </bk>
    <bk>
      <rc t="2" v="2394"/>
    </bk>
    <bk>
      <rc t="2" v="2395"/>
    </bk>
    <bk>
      <rc t="2" v="2396"/>
    </bk>
    <bk>
      <rc t="2" v="2397"/>
    </bk>
    <bk>
      <rc t="2" v="2398"/>
    </bk>
    <bk>
      <rc t="2" v="2399"/>
    </bk>
    <bk>
      <rc t="2" v="2400"/>
    </bk>
    <bk>
      <rc t="2" v="2401"/>
    </bk>
    <bk>
      <rc t="2" v="2402"/>
    </bk>
    <bk>
      <rc t="2" v="2403"/>
    </bk>
    <bk>
      <rc t="2" v="2404"/>
    </bk>
    <bk>
      <rc t="2" v="2405"/>
    </bk>
    <bk>
      <rc t="2" v="2406"/>
    </bk>
    <bk>
      <rc t="2" v="2407"/>
    </bk>
    <bk>
      <rc t="2" v="2408"/>
    </bk>
    <bk>
      <rc t="2" v="2409"/>
    </bk>
    <bk>
      <rc t="2" v="2410"/>
    </bk>
    <bk>
      <rc t="2" v="2411"/>
    </bk>
    <bk>
      <rc t="2" v="2412"/>
    </bk>
    <bk>
      <rc t="2" v="2413"/>
    </bk>
    <bk>
      <rc t="2" v="2414"/>
    </bk>
    <bk>
      <rc t="2" v="2415"/>
    </bk>
    <bk>
      <rc t="2" v="2416"/>
    </bk>
    <bk>
      <rc t="2" v="2417"/>
    </bk>
    <bk>
      <rc t="2" v="2418"/>
    </bk>
    <bk>
      <rc t="2" v="2419"/>
    </bk>
    <bk>
      <rc t="2" v="2420"/>
    </bk>
    <bk>
      <rc t="2" v="2421"/>
    </bk>
    <bk>
      <rc t="2" v="2422"/>
    </bk>
    <bk>
      <rc t="2" v="2423"/>
    </bk>
    <bk>
      <rc t="2" v="2424"/>
    </bk>
    <bk>
      <rc t="2" v="2425"/>
    </bk>
    <bk>
      <rc t="2" v="2426"/>
    </bk>
    <bk>
      <rc t="2" v="2427"/>
    </bk>
    <bk>
      <rc t="2" v="2428"/>
    </bk>
    <bk>
      <rc t="2" v="2429"/>
    </bk>
    <bk>
      <rc t="2" v="2430"/>
    </bk>
    <bk>
      <rc t="2" v="2431"/>
    </bk>
    <bk>
      <rc t="2" v="2432"/>
    </bk>
    <bk>
      <rc t="2" v="2433"/>
    </bk>
    <bk>
      <rc t="2" v="2434"/>
    </bk>
    <bk>
      <rc t="2" v="2435"/>
    </bk>
    <bk>
      <rc t="2" v="2436"/>
    </bk>
    <bk>
      <rc t="2" v="2437"/>
    </bk>
    <bk>
      <rc t="2" v="2438"/>
    </bk>
    <bk>
      <rc t="2" v="2439"/>
    </bk>
    <bk>
      <rc t="2" v="2440"/>
    </bk>
    <bk>
      <rc t="2" v="2441"/>
    </bk>
    <bk>
      <rc t="2" v="2442"/>
    </bk>
    <bk>
      <rc t="2" v="2443"/>
    </bk>
    <bk>
      <rc t="2" v="2444"/>
    </bk>
    <bk>
      <rc t="2" v="2445"/>
    </bk>
    <bk>
      <rc t="2" v="2446"/>
    </bk>
    <bk>
      <rc t="2" v="2447"/>
    </bk>
    <bk>
      <rc t="2" v="2448"/>
    </bk>
    <bk>
      <rc t="2" v="2449"/>
    </bk>
    <bk>
      <rc t="2" v="2450"/>
    </bk>
    <bk>
      <rc t="2" v="2451"/>
    </bk>
    <bk>
      <rc t="2" v="2452"/>
    </bk>
    <bk>
      <rc t="2" v="2453"/>
    </bk>
    <bk>
      <rc t="2" v="2454"/>
    </bk>
    <bk>
      <rc t="2" v="2455"/>
    </bk>
    <bk>
      <rc t="2" v="2456"/>
    </bk>
    <bk>
      <rc t="2" v="2457"/>
    </bk>
    <bk>
      <rc t="2" v="2458"/>
    </bk>
    <bk>
      <rc t="2" v="2459"/>
    </bk>
    <bk>
      <rc t="2" v="2460"/>
    </bk>
    <bk>
      <rc t="2" v="2461"/>
    </bk>
    <bk>
      <rc t="2" v="2462"/>
    </bk>
    <bk>
      <rc t="2" v="2463"/>
    </bk>
    <bk>
      <rc t="2" v="2464"/>
    </bk>
    <bk>
      <rc t="2" v="2465"/>
    </bk>
    <bk>
      <rc t="2" v="2466"/>
    </bk>
    <bk>
      <rc t="2" v="2467"/>
    </bk>
    <bk>
      <rc t="2" v="2468"/>
    </bk>
    <bk>
      <rc t="2" v="2469"/>
    </bk>
    <bk>
      <rc t="2" v="2470"/>
    </bk>
    <bk>
      <rc t="2" v="2471"/>
    </bk>
    <bk>
      <rc t="2" v="2472"/>
    </bk>
    <bk>
      <rc t="2" v="2473"/>
    </bk>
    <bk>
      <rc t="2" v="2474"/>
    </bk>
    <bk>
      <rc t="2" v="2475"/>
    </bk>
    <bk>
      <rc t="2" v="2476"/>
    </bk>
    <bk>
      <rc t="2" v="2477"/>
    </bk>
    <bk>
      <rc t="2" v="2478"/>
    </bk>
    <bk>
      <rc t="2" v="2479"/>
    </bk>
    <bk>
      <rc t="2" v="2480"/>
    </bk>
    <bk>
      <rc t="2" v="2481"/>
    </bk>
    <bk>
      <rc t="2" v="2482"/>
    </bk>
    <bk>
      <rc t="2" v="2483"/>
    </bk>
    <bk>
      <rc t="2" v="2484"/>
    </bk>
    <bk>
      <rc t="2" v="2485"/>
    </bk>
    <bk>
      <rc t="2" v="2486"/>
    </bk>
    <bk>
      <rc t="2" v="2487"/>
    </bk>
    <bk>
      <rc t="2" v="2488"/>
    </bk>
    <bk>
      <rc t="2" v="2489"/>
    </bk>
    <bk>
      <rc t="2" v="2490"/>
    </bk>
    <bk>
      <rc t="2" v="2491"/>
    </bk>
    <bk>
      <rc t="2" v="2492"/>
    </bk>
    <bk>
      <rc t="2" v="2493"/>
    </bk>
    <bk>
      <rc t="2" v="2494"/>
    </bk>
    <bk>
      <rc t="2" v="2495"/>
    </bk>
    <bk>
      <rc t="2" v="2496"/>
    </bk>
    <bk>
      <rc t="2" v="2497"/>
    </bk>
    <bk>
      <rc t="2" v="2498"/>
    </bk>
    <bk>
      <rc t="2" v="2499"/>
    </bk>
    <bk>
      <rc t="2" v="2500"/>
    </bk>
    <bk>
      <rc t="2" v="2501"/>
    </bk>
    <bk>
      <rc t="2" v="2502"/>
    </bk>
    <bk>
      <rc t="2" v="2503"/>
    </bk>
    <bk>
      <rc t="2" v="2504"/>
    </bk>
    <bk>
      <rc t="2" v="2505"/>
    </bk>
    <bk>
      <rc t="2" v="2506"/>
    </bk>
    <bk>
      <rc t="2" v="2507"/>
    </bk>
    <bk>
      <rc t="2" v="2508"/>
    </bk>
    <bk>
      <rc t="2" v="2509"/>
    </bk>
    <bk>
      <rc t="2" v="2510"/>
    </bk>
    <bk>
      <rc t="2" v="2511"/>
    </bk>
    <bk>
      <rc t="2" v="2512"/>
    </bk>
    <bk>
      <rc t="2" v="2513"/>
    </bk>
    <bk>
      <rc t="2" v="2514"/>
    </bk>
    <bk>
      <rc t="2" v="2515"/>
    </bk>
    <bk>
      <rc t="2" v="2516"/>
    </bk>
    <bk>
      <rc t="2" v="2517"/>
    </bk>
    <bk>
      <rc t="2" v="2518"/>
    </bk>
    <bk>
      <rc t="2" v="2519"/>
    </bk>
    <bk>
      <rc t="2" v="2520"/>
    </bk>
    <bk>
      <rc t="2" v="2521"/>
    </bk>
    <bk>
      <rc t="2" v="2522"/>
    </bk>
    <bk>
      <rc t="2" v="2523"/>
    </bk>
    <bk>
      <rc t="2" v="2524"/>
    </bk>
    <bk>
      <rc t="2" v="2525"/>
    </bk>
    <bk>
      <rc t="2" v="2526"/>
    </bk>
    <bk>
      <rc t="2" v="2527"/>
    </bk>
    <bk>
      <rc t="2" v="2528"/>
    </bk>
    <bk>
      <rc t="2" v="2529"/>
    </bk>
    <bk>
      <rc t="2" v="2530"/>
    </bk>
    <bk>
      <rc t="2" v="2531"/>
    </bk>
    <bk>
      <rc t="2" v="2532"/>
    </bk>
    <bk>
      <rc t="2" v="2533"/>
    </bk>
    <bk>
      <rc t="2" v="2534"/>
    </bk>
    <bk>
      <rc t="2" v="2535"/>
    </bk>
    <bk>
      <rc t="2" v="2536"/>
    </bk>
    <bk>
      <rc t="2" v="2537"/>
    </bk>
    <bk>
      <rc t="2" v="2538"/>
    </bk>
    <bk>
      <rc t="2" v="2539"/>
    </bk>
    <bk>
      <rc t="2" v="2540"/>
    </bk>
    <bk>
      <rc t="2" v="2541"/>
    </bk>
    <bk>
      <rc t="2" v="2542"/>
    </bk>
    <bk>
      <rc t="2" v="2543"/>
    </bk>
    <bk>
      <rc t="2" v="2544"/>
    </bk>
    <bk>
      <rc t="2" v="2545"/>
    </bk>
    <bk>
      <rc t="2" v="2546"/>
    </bk>
    <bk>
      <rc t="2" v="2547"/>
    </bk>
    <bk>
      <rc t="2" v="2548"/>
    </bk>
    <bk>
      <rc t="2" v="2549"/>
    </bk>
    <bk>
      <rc t="2" v="2550"/>
    </bk>
    <bk>
      <rc t="2" v="2551"/>
    </bk>
    <bk>
      <rc t="2" v="2552"/>
    </bk>
    <bk>
      <rc t="2" v="2553"/>
    </bk>
    <bk>
      <rc t="2" v="2554"/>
    </bk>
    <bk>
      <rc t="2" v="2555"/>
    </bk>
    <bk>
      <rc t="2" v="2556"/>
    </bk>
    <bk>
      <rc t="2" v="2557"/>
    </bk>
    <bk>
      <rc t="2" v="2558"/>
    </bk>
    <bk>
      <rc t="2" v="2559"/>
    </bk>
    <bk>
      <rc t="2" v="2560"/>
    </bk>
    <bk>
      <rc t="2" v="2561"/>
    </bk>
    <bk>
      <rc t="2" v="2562"/>
    </bk>
    <bk>
      <rc t="2" v="2563"/>
    </bk>
    <bk>
      <rc t="2" v="2564"/>
    </bk>
    <bk>
      <rc t="2" v="2565"/>
    </bk>
    <bk>
      <rc t="2" v="2566"/>
    </bk>
    <bk>
      <rc t="2" v="2567"/>
    </bk>
    <bk>
      <rc t="2" v="2568"/>
    </bk>
    <bk>
      <rc t="2" v="2569"/>
    </bk>
    <bk>
      <rc t="2" v="2570"/>
    </bk>
    <bk>
      <rc t="2" v="2571"/>
    </bk>
    <bk>
      <rc t="2" v="2572"/>
    </bk>
    <bk>
      <rc t="2" v="2573"/>
    </bk>
    <bk>
      <rc t="2" v="2574"/>
    </bk>
    <bk>
      <rc t="2" v="2575"/>
    </bk>
    <bk>
      <rc t="2" v="2576"/>
    </bk>
    <bk>
      <rc t="2" v="2577"/>
    </bk>
    <bk>
      <rc t="2" v="2578"/>
    </bk>
    <bk>
      <rc t="2" v="2579"/>
    </bk>
    <bk>
      <rc t="2" v="2580"/>
    </bk>
    <bk>
      <rc t="2" v="2581"/>
    </bk>
    <bk>
      <rc t="2" v="2582"/>
    </bk>
    <bk>
      <rc t="2" v="2583"/>
    </bk>
    <bk>
      <rc t="2" v="2584"/>
    </bk>
    <bk>
      <rc t="2" v="2585"/>
    </bk>
    <bk>
      <rc t="2" v="2586"/>
    </bk>
    <bk>
      <rc t="2" v="2587"/>
    </bk>
    <bk>
      <rc t="2" v="2588"/>
    </bk>
    <bk>
      <rc t="2" v="2589"/>
    </bk>
    <bk>
      <rc t="2" v="2590"/>
    </bk>
    <bk>
      <rc t="2" v="2591"/>
    </bk>
    <bk>
      <rc t="2" v="2592"/>
    </bk>
    <bk>
      <rc t="2" v="2593"/>
    </bk>
    <bk>
      <rc t="2" v="2594"/>
    </bk>
    <bk>
      <rc t="2" v="2595"/>
    </bk>
    <bk>
      <rc t="2" v="2596"/>
    </bk>
    <bk>
      <rc t="2" v="2597"/>
    </bk>
    <bk>
      <rc t="2" v="2598"/>
    </bk>
    <bk>
      <rc t="2" v="2599"/>
    </bk>
    <bk>
      <rc t="2" v="2600"/>
    </bk>
    <bk>
      <rc t="2" v="2601"/>
    </bk>
    <bk>
      <rc t="2" v="2602"/>
    </bk>
    <bk>
      <rc t="2" v="2603"/>
    </bk>
    <bk>
      <rc t="2" v="2604"/>
    </bk>
    <bk>
      <rc t="2" v="2605"/>
    </bk>
    <bk>
      <rc t="2" v="2606"/>
    </bk>
    <bk>
      <rc t="2" v="2607"/>
    </bk>
    <bk>
      <rc t="2" v="2608"/>
    </bk>
    <bk>
      <rc t="2" v="2609"/>
    </bk>
    <bk>
      <rc t="2" v="2610"/>
    </bk>
    <bk>
      <rc t="2" v="2611"/>
    </bk>
    <bk>
      <rc t="2" v="2612"/>
    </bk>
    <bk>
      <rc t="2" v="2613"/>
    </bk>
    <bk>
      <rc t="2" v="2614"/>
    </bk>
    <bk>
      <rc t="2" v="2615"/>
    </bk>
    <bk>
      <rc t="2" v="2616"/>
    </bk>
    <bk>
      <rc t="2" v="2617"/>
    </bk>
    <bk>
      <rc t="2" v="2618"/>
    </bk>
    <bk>
      <rc t="2" v="2619"/>
    </bk>
    <bk>
      <rc t="2" v="2620"/>
    </bk>
    <bk>
      <rc t="2" v="2621"/>
    </bk>
    <bk>
      <rc t="2" v="2622"/>
    </bk>
    <bk>
      <rc t="2" v="2623"/>
    </bk>
    <bk>
      <rc t="2" v="2624"/>
    </bk>
    <bk>
      <rc t="2" v="2625"/>
    </bk>
    <bk>
      <rc t="2" v="2626"/>
    </bk>
    <bk>
      <rc t="2" v="2627"/>
    </bk>
    <bk>
      <rc t="2" v="2628"/>
    </bk>
    <bk>
      <rc t="2" v="2629"/>
    </bk>
    <bk>
      <rc t="2" v="2630"/>
    </bk>
    <bk>
      <rc t="2" v="2631"/>
    </bk>
    <bk>
      <rc t="2" v="2632"/>
    </bk>
    <bk>
      <rc t="2" v="2633"/>
    </bk>
    <bk>
      <rc t="2" v="2634"/>
    </bk>
    <bk>
      <rc t="2" v="2635"/>
    </bk>
    <bk>
      <rc t="2" v="2636"/>
    </bk>
    <bk>
      <rc t="2" v="2637"/>
    </bk>
    <bk>
      <rc t="2" v="2638"/>
    </bk>
    <bk>
      <rc t="2" v="2639"/>
    </bk>
    <bk>
      <rc t="2" v="2640"/>
    </bk>
    <bk>
      <rc t="2" v="2641"/>
    </bk>
    <bk>
      <rc t="2" v="2642"/>
    </bk>
    <bk>
      <rc t="2" v="2643"/>
    </bk>
    <bk>
      <rc t="2" v="2644"/>
    </bk>
    <bk>
      <rc t="2" v="2645"/>
    </bk>
    <bk>
      <rc t="2" v="2646"/>
    </bk>
    <bk>
      <rc t="2" v="2647"/>
    </bk>
    <bk>
      <rc t="2" v="2648"/>
    </bk>
    <bk>
      <rc t="2" v="2649"/>
    </bk>
    <bk>
      <rc t="2" v="2650"/>
    </bk>
    <bk>
      <rc t="2" v="2651"/>
    </bk>
    <bk>
      <rc t="2" v="2652"/>
    </bk>
    <bk>
      <rc t="2" v="2653"/>
    </bk>
    <bk>
      <rc t="2" v="2654"/>
    </bk>
    <bk>
      <rc t="2" v="2655"/>
    </bk>
    <bk>
      <rc t="2" v="2656"/>
    </bk>
    <bk>
      <rc t="2" v="2657"/>
    </bk>
    <bk>
      <rc t="2" v="2658"/>
    </bk>
    <bk>
      <rc t="2" v="2659"/>
    </bk>
    <bk>
      <rc t="2" v="2660"/>
    </bk>
    <bk>
      <rc t="2" v="2661"/>
    </bk>
    <bk>
      <rc t="2" v="2662"/>
    </bk>
    <bk>
      <rc t="2" v="2663"/>
    </bk>
    <bk>
      <rc t="2" v="2664"/>
    </bk>
    <bk>
      <rc t="2" v="2665"/>
    </bk>
    <bk>
      <rc t="2" v="2666"/>
    </bk>
    <bk>
      <rc t="2" v="2667"/>
    </bk>
    <bk>
      <rc t="2" v="2668"/>
    </bk>
    <bk>
      <rc t="2" v="2669"/>
    </bk>
    <bk>
      <rc t="2" v="2670"/>
    </bk>
    <bk>
      <rc t="2" v="2671"/>
    </bk>
    <bk>
      <rc t="2" v="2672"/>
    </bk>
    <bk>
      <rc t="2" v="2673"/>
    </bk>
    <bk>
      <rc t="2" v="2674"/>
    </bk>
    <bk>
      <rc t="2" v="2675"/>
    </bk>
    <bk>
      <rc t="2" v="2676"/>
    </bk>
    <bk>
      <rc t="2" v="2677"/>
    </bk>
    <bk>
      <rc t="2" v="2678"/>
    </bk>
    <bk>
      <rc t="2" v="2679"/>
    </bk>
    <bk>
      <rc t="2" v="2680"/>
    </bk>
    <bk>
      <rc t="2" v="2681"/>
    </bk>
    <bk>
      <rc t="2" v="2682"/>
    </bk>
    <bk>
      <rc t="2" v="2683"/>
    </bk>
    <bk>
      <rc t="2" v="2684"/>
    </bk>
    <bk>
      <rc t="2" v="2685"/>
    </bk>
    <bk>
      <rc t="2" v="2686"/>
    </bk>
    <bk>
      <rc t="2" v="2687"/>
    </bk>
    <bk>
      <rc t="2" v="2688"/>
    </bk>
    <bk>
      <rc t="2" v="2689"/>
    </bk>
    <bk>
      <rc t="2" v="2690"/>
    </bk>
    <bk>
      <rc t="2" v="2691"/>
    </bk>
    <bk>
      <rc t="2" v="2692"/>
    </bk>
    <bk>
      <rc t="2" v="2693"/>
    </bk>
    <bk>
      <rc t="2" v="2694"/>
    </bk>
    <bk>
      <rc t="2" v="2695"/>
    </bk>
    <bk>
      <rc t="2" v="2696"/>
    </bk>
    <bk>
      <rc t="2" v="2697"/>
    </bk>
    <bk>
      <rc t="2" v="2698"/>
    </bk>
    <bk>
      <rc t="2" v="2699"/>
    </bk>
    <bk>
      <rc t="2" v="2700"/>
    </bk>
    <bk>
      <rc t="2" v="2701"/>
    </bk>
    <bk>
      <rc t="2" v="2702"/>
    </bk>
    <bk>
      <rc t="2" v="2703"/>
    </bk>
    <bk>
      <rc t="2" v="2704"/>
    </bk>
    <bk>
      <rc t="2" v="2705"/>
    </bk>
    <bk>
      <rc t="2" v="2706"/>
    </bk>
    <bk>
      <rc t="2" v="2707"/>
    </bk>
    <bk>
      <rc t="2" v="2708"/>
    </bk>
    <bk>
      <rc t="2" v="2709"/>
    </bk>
    <bk>
      <rc t="2" v="2710"/>
    </bk>
    <bk>
      <rc t="2" v="2711"/>
    </bk>
    <bk>
      <rc t="2" v="2712"/>
    </bk>
    <bk>
      <rc t="2" v="2713"/>
    </bk>
    <bk>
      <rc t="2" v="2714"/>
    </bk>
    <bk>
      <rc t="2" v="2715"/>
    </bk>
    <bk>
      <rc t="2" v="2716"/>
    </bk>
    <bk>
      <rc t="2" v="2717"/>
    </bk>
    <bk>
      <rc t="2" v="2718"/>
    </bk>
    <bk>
      <rc t="2" v="2719"/>
    </bk>
    <bk>
      <rc t="2" v="2720"/>
    </bk>
    <bk>
      <rc t="2" v="2721"/>
    </bk>
    <bk>
      <rc t="2" v="2722"/>
    </bk>
    <bk>
      <rc t="2" v="2723"/>
    </bk>
    <bk>
      <rc t="2" v="2724"/>
    </bk>
    <bk>
      <rc t="2" v="2725"/>
    </bk>
    <bk>
      <rc t="2" v="2726"/>
    </bk>
    <bk>
      <rc t="2" v="2727"/>
    </bk>
    <bk>
      <rc t="2" v="2728"/>
    </bk>
    <bk>
      <rc t="2" v="2729"/>
    </bk>
    <bk>
      <rc t="2" v="2730"/>
    </bk>
    <bk>
      <rc t="2" v="2731"/>
    </bk>
    <bk>
      <rc t="2" v="2732"/>
    </bk>
    <bk>
      <rc t="2" v="2733"/>
    </bk>
    <bk>
      <rc t="2" v="2734"/>
    </bk>
    <bk>
      <rc t="2" v="2735"/>
    </bk>
    <bk>
      <rc t="2" v="2736"/>
    </bk>
    <bk>
      <rc t="2" v="2737"/>
    </bk>
    <bk>
      <rc t="2" v="2738"/>
    </bk>
    <bk>
      <rc t="2" v="2739"/>
    </bk>
    <bk>
      <rc t="2" v="2740"/>
    </bk>
    <bk>
      <rc t="2" v="2741"/>
    </bk>
    <bk>
      <rc t="2" v="2742"/>
    </bk>
    <bk>
      <rc t="2" v="2743"/>
    </bk>
    <bk>
      <rc t="2" v="2744"/>
    </bk>
    <bk>
      <rc t="2" v="2745"/>
    </bk>
    <bk>
      <rc t="2" v="2746"/>
    </bk>
    <bk>
      <rc t="2" v="2747"/>
    </bk>
    <bk>
      <rc t="2" v="2748"/>
    </bk>
    <bk>
      <rc t="2" v="2749"/>
    </bk>
    <bk>
      <rc t="2" v="2750"/>
    </bk>
    <bk>
      <rc t="2" v="2751"/>
    </bk>
    <bk>
      <rc t="2" v="2752"/>
    </bk>
    <bk>
      <rc t="2" v="2753"/>
    </bk>
    <bk>
      <rc t="2" v="2754"/>
    </bk>
    <bk>
      <rc t="2" v="2755"/>
    </bk>
    <bk>
      <rc t="2" v="2756"/>
    </bk>
    <bk>
      <rc t="2" v="2757"/>
    </bk>
    <bk>
      <rc t="2" v="2758"/>
    </bk>
    <bk>
      <rc t="2" v="2759"/>
    </bk>
    <bk>
      <rc t="2" v="2760"/>
    </bk>
    <bk>
      <rc t="2" v="2761"/>
    </bk>
    <bk>
      <rc t="2" v="2762"/>
    </bk>
    <bk>
      <rc t="2" v="2763"/>
    </bk>
    <bk>
      <rc t="2" v="2764"/>
    </bk>
    <bk>
      <rc t="2" v="2765"/>
    </bk>
    <bk>
      <rc t="2" v="2766"/>
    </bk>
    <bk>
      <rc t="2" v="2767"/>
    </bk>
    <bk>
      <rc t="2" v="2768"/>
    </bk>
    <bk>
      <rc t="2" v="2769"/>
    </bk>
    <bk>
      <rc t="2" v="2770"/>
    </bk>
    <bk>
      <rc t="2" v="2771"/>
    </bk>
    <bk>
      <rc t="2" v="2772"/>
    </bk>
    <bk>
      <rc t="2" v="2773"/>
    </bk>
    <bk>
      <rc t="2" v="2774"/>
    </bk>
    <bk>
      <rc t="2" v="2775"/>
    </bk>
    <bk>
      <rc t="2" v="2776"/>
    </bk>
    <bk>
      <rc t="2" v="2777"/>
    </bk>
    <bk>
      <rc t="2" v="2778"/>
    </bk>
    <bk>
      <rc t="2" v="2779"/>
    </bk>
    <bk>
      <rc t="2" v="2780"/>
    </bk>
    <bk>
      <rc t="2" v="2781"/>
    </bk>
    <bk>
      <rc t="2" v="2782"/>
    </bk>
    <bk>
      <rc t="2" v="2783"/>
    </bk>
    <bk>
      <rc t="2" v="2784"/>
    </bk>
    <bk>
      <rc t="2" v="2785"/>
    </bk>
    <bk>
      <rc t="2" v="2786"/>
    </bk>
    <bk>
      <rc t="2" v="2787"/>
    </bk>
    <bk>
      <rc t="2" v="2788"/>
    </bk>
    <bk>
      <rc t="2" v="2789"/>
    </bk>
    <bk>
      <rc t="2" v="2790"/>
    </bk>
    <bk>
      <rc t="2" v="2791"/>
    </bk>
    <bk>
      <rc t="2" v="2792"/>
    </bk>
    <bk>
      <rc t="2" v="2793"/>
    </bk>
    <bk>
      <rc t="2" v="2794"/>
    </bk>
    <bk>
      <rc t="2" v="2795"/>
    </bk>
    <bk>
      <rc t="2" v="2796"/>
    </bk>
    <bk>
      <rc t="2" v="2797"/>
    </bk>
    <bk>
      <rc t="2" v="2798"/>
    </bk>
    <bk>
      <rc t="2" v="2799"/>
    </bk>
    <bk>
      <rc t="2" v="2800"/>
    </bk>
    <bk>
      <rc t="2" v="2801"/>
    </bk>
    <bk>
      <rc t="2" v="2802"/>
    </bk>
    <bk>
      <rc t="2" v="2803"/>
    </bk>
    <bk>
      <rc t="2" v="2804"/>
    </bk>
    <bk>
      <rc t="2" v="2805"/>
    </bk>
    <bk>
      <rc t="2" v="2806"/>
    </bk>
    <bk>
      <rc t="2" v="2807"/>
    </bk>
    <bk>
      <rc t="2" v="2808"/>
    </bk>
    <bk>
      <rc t="2" v="2809"/>
    </bk>
    <bk>
      <rc t="2" v="2810"/>
    </bk>
    <bk>
      <rc t="2" v="2811"/>
    </bk>
    <bk>
      <rc t="2" v="2812"/>
    </bk>
    <bk>
      <rc t="2" v="2813"/>
    </bk>
    <bk>
      <rc t="2" v="2814"/>
    </bk>
    <bk>
      <rc t="2" v="2815"/>
    </bk>
    <bk>
      <rc t="2" v="2816"/>
    </bk>
    <bk>
      <rc t="2" v="2817"/>
    </bk>
    <bk>
      <rc t="2" v="2818"/>
    </bk>
    <bk>
      <rc t="2" v="2819"/>
    </bk>
    <bk>
      <rc t="2" v="2820"/>
    </bk>
    <bk>
      <rc t="2" v="2821"/>
    </bk>
    <bk>
      <rc t="2" v="2822"/>
    </bk>
    <bk>
      <rc t="2" v="2823"/>
    </bk>
    <bk>
      <rc t="2" v="2824"/>
    </bk>
    <bk>
      <rc t="2" v="2825"/>
    </bk>
    <bk>
      <rc t="2" v="2826"/>
    </bk>
    <bk>
      <rc t="2" v="2827"/>
    </bk>
    <bk>
      <rc t="2" v="2828"/>
    </bk>
    <bk>
      <rc t="2" v="2829"/>
    </bk>
    <bk>
      <rc t="2" v="2830"/>
    </bk>
    <bk>
      <rc t="2" v="2831"/>
    </bk>
    <bk>
      <rc t="2" v="2832"/>
    </bk>
    <bk>
      <rc t="2" v="2833"/>
    </bk>
    <bk>
      <rc t="2" v="2834"/>
    </bk>
    <bk>
      <rc t="2" v="2835"/>
    </bk>
    <bk>
      <rc t="2" v="2836"/>
    </bk>
    <bk>
      <rc t="2" v="2837"/>
    </bk>
    <bk>
      <rc t="2" v="2838"/>
    </bk>
    <bk>
      <rc t="2" v="2839"/>
    </bk>
    <bk>
      <rc t="2" v="2840"/>
    </bk>
    <bk>
      <rc t="2" v="2841"/>
    </bk>
    <bk>
      <rc t="2" v="2842"/>
    </bk>
    <bk>
      <rc t="2" v="2843"/>
    </bk>
    <bk>
      <rc t="2" v="2844"/>
    </bk>
    <bk>
      <rc t="2" v="2845"/>
    </bk>
    <bk>
      <rc t="2" v="2846"/>
    </bk>
    <bk>
      <rc t="2" v="2847"/>
    </bk>
    <bk>
      <rc t="2" v="2848"/>
    </bk>
    <bk>
      <rc t="2" v="2849"/>
    </bk>
    <bk>
      <rc t="2" v="2850"/>
    </bk>
    <bk>
      <rc t="2" v="2851"/>
    </bk>
    <bk>
      <rc t="2" v="2852"/>
    </bk>
    <bk>
      <rc t="2" v="2853"/>
    </bk>
    <bk>
      <rc t="2" v="2854"/>
    </bk>
    <bk>
      <rc t="2" v="2855"/>
    </bk>
    <bk>
      <rc t="2" v="2856"/>
    </bk>
    <bk>
      <rc t="2" v="2857"/>
    </bk>
    <bk>
      <rc t="2" v="2858"/>
    </bk>
    <bk>
      <rc t="2" v="2859"/>
    </bk>
    <bk>
      <rc t="2" v="2860"/>
    </bk>
    <bk>
      <rc t="2" v="2861"/>
    </bk>
    <bk>
      <rc t="2" v="2862"/>
    </bk>
    <bk>
      <rc t="2" v="2863"/>
    </bk>
    <bk>
      <rc t="2" v="2864"/>
    </bk>
    <bk>
      <rc t="2" v="2865"/>
    </bk>
    <bk>
      <rc t="2" v="2866"/>
    </bk>
    <bk>
      <rc t="2" v="2867"/>
    </bk>
    <bk>
      <rc t="2" v="2868"/>
    </bk>
    <bk>
      <rc t="2" v="2869"/>
    </bk>
    <bk>
      <rc t="2" v="2870"/>
    </bk>
    <bk>
      <rc t="2" v="2871"/>
    </bk>
    <bk>
      <rc t="2" v="2872"/>
    </bk>
    <bk>
      <rc t="2" v="2873"/>
    </bk>
    <bk>
      <rc t="2" v="2874"/>
    </bk>
    <bk>
      <rc t="2" v="2875"/>
    </bk>
    <bk>
      <rc t="2" v="2876"/>
    </bk>
    <bk>
      <rc t="2" v="2877"/>
    </bk>
    <bk>
      <rc t="2" v="2878"/>
    </bk>
    <bk>
      <rc t="2" v="2879"/>
    </bk>
    <bk>
      <rc t="2" v="2880"/>
    </bk>
    <bk>
      <rc t="2" v="2881"/>
    </bk>
    <bk>
      <rc t="2" v="2882"/>
    </bk>
    <bk>
      <rc t="2" v="2883"/>
    </bk>
    <bk>
      <rc t="2" v="2884"/>
    </bk>
    <bk>
      <rc t="2" v="2885"/>
    </bk>
    <bk>
      <rc t="2" v="2886"/>
    </bk>
    <bk>
      <rc t="2" v="2887"/>
    </bk>
    <bk>
      <rc t="2" v="2888"/>
    </bk>
    <bk>
      <rc t="2" v="2889"/>
    </bk>
    <bk>
      <rc t="2" v="2890"/>
    </bk>
    <bk>
      <rc t="2" v="2891"/>
    </bk>
    <bk>
      <rc t="2" v="2892"/>
    </bk>
    <bk>
      <rc t="2" v="2893"/>
    </bk>
    <bk>
      <rc t="2" v="2894"/>
    </bk>
    <bk>
      <rc t="2" v="2895"/>
    </bk>
    <bk>
      <rc t="2" v="2896"/>
    </bk>
    <bk>
      <rc t="2" v="2897"/>
    </bk>
    <bk>
      <rc t="2" v="2898"/>
    </bk>
    <bk>
      <rc t="2" v="2899"/>
    </bk>
    <bk>
      <rc t="2" v="2900"/>
    </bk>
    <bk>
      <rc t="2" v="2901"/>
    </bk>
    <bk>
      <rc t="2" v="2902"/>
    </bk>
    <bk>
      <rc t="2" v="2903"/>
    </bk>
    <bk>
      <rc t="2" v="2904"/>
    </bk>
    <bk>
      <rc t="2" v="2905"/>
    </bk>
    <bk>
      <rc t="2" v="2906"/>
    </bk>
    <bk>
      <rc t="2" v="2907"/>
    </bk>
    <bk>
      <rc t="2" v="2908"/>
    </bk>
    <bk>
      <rc t="2" v="2909"/>
    </bk>
    <bk>
      <rc t="2" v="2910"/>
    </bk>
    <bk>
      <rc t="2" v="2911"/>
    </bk>
    <bk>
      <rc t="2" v="2912"/>
    </bk>
    <bk>
      <rc t="2" v="2913"/>
    </bk>
    <bk>
      <rc t="2" v="2914"/>
    </bk>
    <bk>
      <rc t="2" v="2915"/>
    </bk>
    <bk>
      <rc t="2" v="2916"/>
    </bk>
    <bk>
      <rc t="2" v="2917"/>
    </bk>
    <bk>
      <rc t="2" v="2918"/>
    </bk>
    <bk>
      <rc t="2" v="2919"/>
    </bk>
    <bk>
      <rc t="2" v="2920"/>
    </bk>
    <bk>
      <rc t="2" v="2921"/>
    </bk>
    <bk>
      <rc t="2" v="2922"/>
    </bk>
    <bk>
      <rc t="2" v="2923"/>
    </bk>
    <bk>
      <rc t="2" v="2924"/>
    </bk>
    <bk>
      <rc t="2" v="2925"/>
    </bk>
    <bk>
      <rc t="2" v="2926"/>
    </bk>
    <bk>
      <rc t="2" v="2927"/>
    </bk>
    <bk>
      <rc t="2" v="2928"/>
    </bk>
    <bk>
      <rc t="2" v="2929"/>
    </bk>
    <bk>
      <rc t="2" v="2930"/>
    </bk>
    <bk>
      <rc t="2" v="2931"/>
    </bk>
    <bk>
      <rc t="2" v="2932"/>
    </bk>
    <bk>
      <rc t="2" v="2933"/>
    </bk>
    <bk>
      <rc t="2" v="2934"/>
    </bk>
    <bk>
      <rc t="2" v="2935"/>
    </bk>
    <bk>
      <rc t="2" v="2936"/>
    </bk>
    <bk>
      <rc t="2" v="2937"/>
    </bk>
    <bk>
      <rc t="2" v="2938"/>
    </bk>
    <bk>
      <rc t="2" v="2939"/>
    </bk>
    <bk>
      <rc t="2" v="2940"/>
    </bk>
    <bk>
      <rc t="2" v="2941"/>
    </bk>
    <bk>
      <rc t="2" v="2942"/>
    </bk>
    <bk>
      <rc t="2" v="2943"/>
    </bk>
    <bk>
      <rc t="2" v="2944"/>
    </bk>
    <bk>
      <rc t="2" v="2945"/>
    </bk>
    <bk>
      <rc t="2" v="2946"/>
    </bk>
    <bk>
      <rc t="2" v="2947"/>
    </bk>
    <bk>
      <rc t="2" v="2948"/>
    </bk>
    <bk>
      <rc t="2" v="2949"/>
    </bk>
    <bk>
      <rc t="2" v="2950"/>
    </bk>
    <bk>
      <rc t="2" v="2951"/>
    </bk>
    <bk>
      <rc t="2" v="2952"/>
    </bk>
    <bk>
      <rc t="2" v="2953"/>
    </bk>
    <bk>
      <rc t="2" v="2954"/>
    </bk>
    <bk>
      <rc t="2" v="2955"/>
    </bk>
    <bk>
      <rc t="2" v="2956"/>
    </bk>
    <bk>
      <rc t="2" v="2957"/>
    </bk>
    <bk>
      <rc t="2" v="2958"/>
    </bk>
    <bk>
      <rc t="2" v="2959"/>
    </bk>
    <bk>
      <rc t="2" v="2960"/>
    </bk>
    <bk>
      <rc t="2" v="2961"/>
    </bk>
    <bk>
      <rc t="2" v="2962"/>
    </bk>
    <bk>
      <rc t="2" v="2963"/>
    </bk>
    <bk>
      <rc t="2" v="2964"/>
    </bk>
    <bk>
      <rc t="2" v="2965"/>
    </bk>
    <bk>
      <rc t="2" v="2966"/>
    </bk>
    <bk>
      <rc t="2" v="2967"/>
    </bk>
    <bk>
      <rc t="2" v="2968"/>
    </bk>
    <bk>
      <rc t="2" v="2969"/>
    </bk>
    <bk>
      <rc t="2" v="2970"/>
    </bk>
    <bk>
      <rc t="2" v="2971"/>
    </bk>
    <bk>
      <rc t="2" v="2972"/>
    </bk>
    <bk>
      <rc t="2" v="2973"/>
    </bk>
    <bk>
      <rc t="2" v="2974"/>
    </bk>
    <bk>
      <rc t="2" v="2975"/>
    </bk>
    <bk>
      <rc t="2" v="2976"/>
    </bk>
    <bk>
      <rc t="2" v="2977"/>
    </bk>
    <bk>
      <rc t="2" v="2978"/>
    </bk>
    <bk>
      <rc t="2" v="2979"/>
    </bk>
    <bk>
      <rc t="2" v="2980"/>
    </bk>
    <bk>
      <rc t="2" v="2981"/>
    </bk>
    <bk>
      <rc t="2" v="2982"/>
    </bk>
    <bk>
      <rc t="2" v="2983"/>
    </bk>
    <bk>
      <rc t="2" v="2984"/>
    </bk>
    <bk>
      <rc t="2" v="2985"/>
    </bk>
    <bk>
      <rc t="2" v="2986"/>
    </bk>
    <bk>
      <rc t="2" v="2987"/>
    </bk>
    <bk>
      <rc t="2" v="2988"/>
    </bk>
    <bk>
      <rc t="2" v="2989"/>
    </bk>
    <bk>
      <rc t="2" v="2990"/>
    </bk>
    <bk>
      <rc t="2" v="2991"/>
    </bk>
    <bk>
      <rc t="2" v="2992"/>
    </bk>
    <bk>
      <rc t="2" v="2993"/>
    </bk>
    <bk>
      <rc t="2" v="2994"/>
    </bk>
    <bk>
      <rc t="2" v="2995"/>
    </bk>
    <bk>
      <rc t="2" v="2996"/>
    </bk>
    <bk>
      <rc t="2" v="2997"/>
    </bk>
    <bk>
      <rc t="2" v="2998"/>
    </bk>
    <bk>
      <rc t="2" v="2999"/>
    </bk>
    <bk>
      <rc t="2" v="3000"/>
    </bk>
    <bk>
      <rc t="2" v="3001"/>
    </bk>
    <bk>
      <rc t="2" v="3002"/>
    </bk>
    <bk>
      <rc t="2" v="3003"/>
    </bk>
    <bk>
      <rc t="2" v="3004"/>
    </bk>
    <bk>
      <rc t="2" v="3005"/>
    </bk>
    <bk>
      <rc t="2" v="3006"/>
    </bk>
    <bk>
      <rc t="2" v="3007"/>
    </bk>
    <bk>
      <rc t="2" v="3008"/>
    </bk>
    <bk>
      <rc t="2" v="3009"/>
    </bk>
    <bk>
      <rc t="2" v="3010"/>
    </bk>
    <bk>
      <rc t="2" v="3011"/>
    </bk>
    <bk>
      <rc t="2" v="3012"/>
    </bk>
    <bk>
      <rc t="2" v="3013"/>
    </bk>
    <bk>
      <rc t="2" v="3014"/>
    </bk>
    <bk>
      <rc t="2" v="3015"/>
    </bk>
    <bk>
      <rc t="2" v="3016"/>
    </bk>
    <bk>
      <rc t="2" v="3017"/>
    </bk>
    <bk>
      <rc t="2" v="3018"/>
    </bk>
    <bk>
      <rc t="2" v="3019"/>
    </bk>
    <bk>
      <rc t="2" v="3020"/>
    </bk>
    <bk>
      <rc t="2" v="3021"/>
    </bk>
    <bk>
      <rc t="2" v="3022"/>
    </bk>
    <bk>
      <rc t="2" v="3023"/>
    </bk>
    <bk>
      <rc t="2" v="3024"/>
    </bk>
    <bk>
      <rc t="2" v="3025"/>
    </bk>
    <bk>
      <rc t="2" v="3026"/>
    </bk>
    <bk>
      <rc t="2" v="3027"/>
    </bk>
    <bk>
      <rc t="2" v="3028"/>
    </bk>
    <bk>
      <rc t="2" v="3029"/>
    </bk>
    <bk>
      <rc t="2" v="3030"/>
    </bk>
    <bk>
      <rc t="2" v="3031"/>
    </bk>
    <bk>
      <rc t="2" v="3032"/>
    </bk>
    <bk>
      <rc t="2" v="3033"/>
    </bk>
    <bk>
      <rc t="2" v="3034"/>
    </bk>
    <bk>
      <rc t="2" v="3035"/>
    </bk>
    <bk>
      <rc t="2" v="3036"/>
    </bk>
    <bk>
      <rc t="2" v="3037"/>
    </bk>
    <bk>
      <rc t="2" v="3038"/>
    </bk>
    <bk>
      <rc t="2" v="3039"/>
    </bk>
    <bk>
      <rc t="2" v="3040"/>
    </bk>
    <bk>
      <rc t="2" v="3041"/>
    </bk>
    <bk>
      <rc t="2" v="3042"/>
    </bk>
    <bk>
      <rc t="2" v="3043"/>
    </bk>
    <bk>
      <rc t="2" v="3044"/>
    </bk>
    <bk>
      <rc t="2" v="3045"/>
    </bk>
    <bk>
      <rc t="2" v="3046"/>
    </bk>
    <bk>
      <rc t="2" v="3047"/>
    </bk>
    <bk>
      <rc t="2" v="3048"/>
    </bk>
    <bk>
      <rc t="2" v="3049"/>
    </bk>
    <bk>
      <rc t="2" v="3050"/>
    </bk>
    <bk>
      <rc t="2" v="3051"/>
    </bk>
    <bk>
      <rc t="2" v="3052"/>
    </bk>
    <bk>
      <rc t="2" v="3053"/>
    </bk>
    <bk>
      <rc t="2" v="3054"/>
    </bk>
    <bk>
      <rc t="2" v="3055"/>
    </bk>
    <bk>
      <rc t="2" v="3056"/>
    </bk>
    <bk>
      <rc t="2" v="3057"/>
    </bk>
    <bk>
      <rc t="2" v="3058"/>
    </bk>
    <bk>
      <rc t="2" v="3059"/>
    </bk>
    <bk>
      <rc t="2" v="3060"/>
    </bk>
    <bk>
      <rc t="2" v="3061"/>
    </bk>
    <bk>
      <rc t="2" v="3062"/>
    </bk>
    <bk>
      <rc t="2" v="3063"/>
    </bk>
    <bk>
      <rc t="2" v="3064"/>
    </bk>
    <bk>
      <rc t="2" v="3065"/>
    </bk>
    <bk>
      <rc t="2" v="3066"/>
    </bk>
    <bk>
      <rc t="2" v="3067"/>
    </bk>
    <bk>
      <rc t="2" v="3068"/>
    </bk>
    <bk>
      <rc t="2" v="3069"/>
    </bk>
    <bk>
      <rc t="2" v="3070"/>
    </bk>
    <bk>
      <rc t="2" v="3071"/>
    </bk>
    <bk>
      <rc t="2" v="3072"/>
    </bk>
    <bk>
      <rc t="2" v="3073"/>
    </bk>
    <bk>
      <rc t="2" v="3074"/>
    </bk>
    <bk>
      <rc t="2" v="3075"/>
    </bk>
    <bk>
      <rc t="2" v="3076"/>
    </bk>
    <bk>
      <rc t="2" v="3077"/>
    </bk>
    <bk>
      <rc t="2" v="3078"/>
    </bk>
    <bk>
      <rc t="2" v="3079"/>
    </bk>
    <bk>
      <rc t="2" v="3080"/>
    </bk>
    <bk>
      <rc t="2" v="3081"/>
    </bk>
    <bk>
      <rc t="2" v="3082"/>
    </bk>
    <bk>
      <rc t="2" v="3083"/>
    </bk>
    <bk>
      <rc t="2" v="3084"/>
    </bk>
    <bk>
      <rc t="2" v="3085"/>
    </bk>
    <bk>
      <rc t="2" v="3086"/>
    </bk>
    <bk>
      <rc t="2" v="3087"/>
    </bk>
    <bk>
      <rc t="2" v="3088"/>
    </bk>
    <bk>
      <rc t="2" v="3089"/>
    </bk>
    <bk>
      <rc t="2" v="3090"/>
    </bk>
    <bk>
      <rc t="2" v="3091"/>
    </bk>
    <bk>
      <rc t="2" v="3092"/>
    </bk>
    <bk>
      <rc t="2" v="3093"/>
    </bk>
    <bk>
      <rc t="2" v="3094"/>
    </bk>
    <bk>
      <rc t="2" v="3095"/>
    </bk>
    <bk>
      <rc t="2" v="3096"/>
    </bk>
    <bk>
      <rc t="2" v="3097"/>
    </bk>
    <bk>
      <rc t="2" v="3098"/>
    </bk>
    <bk>
      <rc t="2" v="3099"/>
    </bk>
    <bk>
      <rc t="2" v="3100"/>
    </bk>
    <bk>
      <rc t="2" v="3101"/>
    </bk>
    <bk>
      <rc t="2" v="3102"/>
    </bk>
    <bk>
      <rc t="2" v="3103"/>
    </bk>
    <bk>
      <rc t="2" v="3104"/>
    </bk>
    <bk>
      <rc t="2" v="3105"/>
    </bk>
    <bk>
      <rc t="2" v="3106"/>
    </bk>
    <bk>
      <rc t="2" v="3107"/>
    </bk>
    <bk>
      <rc t="2" v="3108"/>
    </bk>
    <bk>
      <rc t="2" v="3109"/>
    </bk>
    <bk>
      <rc t="2" v="3110"/>
    </bk>
    <bk>
      <rc t="2" v="3111"/>
    </bk>
    <bk>
      <rc t="2" v="3112"/>
    </bk>
    <bk>
      <rc t="2" v="3113"/>
    </bk>
    <bk>
      <rc t="2" v="3114"/>
    </bk>
    <bk>
      <rc t="2" v="3115"/>
    </bk>
    <bk>
      <rc t="2" v="3116"/>
    </bk>
    <bk>
      <rc t="2" v="3117"/>
    </bk>
    <bk>
      <rc t="2" v="3118"/>
    </bk>
    <bk>
      <rc t="2" v="3119"/>
    </bk>
    <bk>
      <rc t="2" v="3120"/>
    </bk>
    <bk>
      <rc t="2" v="3121"/>
    </bk>
    <bk>
      <rc t="2" v="3122"/>
    </bk>
    <bk>
      <rc t="2" v="3123"/>
    </bk>
    <bk>
      <rc t="2" v="3124"/>
    </bk>
    <bk>
      <rc t="2" v="3125"/>
    </bk>
    <bk>
      <rc t="2" v="3126"/>
    </bk>
    <bk>
      <rc t="2" v="3127"/>
    </bk>
    <bk>
      <rc t="2" v="3128"/>
    </bk>
    <bk>
      <rc t="2" v="3129"/>
    </bk>
    <bk>
      <rc t="2" v="3130"/>
    </bk>
    <bk>
      <rc t="2" v="3131"/>
    </bk>
    <bk>
      <rc t="2" v="3132"/>
    </bk>
    <bk>
      <rc t="2" v="3133"/>
    </bk>
    <bk>
      <rc t="2" v="3134"/>
    </bk>
    <bk>
      <rc t="2" v="3135"/>
    </bk>
    <bk>
      <rc t="2" v="3136"/>
    </bk>
    <bk>
      <rc t="2" v="3137"/>
    </bk>
    <bk>
      <rc t="2" v="3138"/>
    </bk>
    <bk>
      <rc t="2" v="3139"/>
    </bk>
    <bk>
      <rc t="2" v="3140"/>
    </bk>
    <bk>
      <rc t="2" v="3141"/>
    </bk>
    <bk>
      <rc t="2" v="3142"/>
    </bk>
    <bk>
      <rc t="2" v="3143"/>
    </bk>
    <bk>
      <rc t="2" v="3144"/>
    </bk>
    <bk>
      <rc t="2" v="3145"/>
    </bk>
    <bk>
      <rc t="2" v="3146"/>
    </bk>
    <bk>
      <rc t="2" v="3147"/>
    </bk>
    <bk>
      <rc t="2" v="3148"/>
    </bk>
    <bk>
      <rc t="2" v="3149"/>
    </bk>
    <bk>
      <rc t="2" v="3150"/>
    </bk>
    <bk>
      <rc t="2" v="3151"/>
    </bk>
    <bk>
      <rc t="2" v="3152"/>
    </bk>
    <bk>
      <rc t="2" v="3153"/>
    </bk>
    <bk>
      <rc t="2" v="3154"/>
    </bk>
    <bk>
      <rc t="2" v="3155"/>
    </bk>
    <bk>
      <rc t="2" v="3156"/>
    </bk>
    <bk>
      <rc t="2" v="3157"/>
    </bk>
    <bk>
      <rc t="2" v="3158"/>
    </bk>
    <bk>
      <rc t="2" v="3159"/>
    </bk>
    <bk>
      <rc t="2" v="3160"/>
    </bk>
    <bk>
      <rc t="2" v="3161"/>
    </bk>
    <bk>
      <rc t="2" v="3162"/>
    </bk>
    <bk>
      <rc t="2" v="3163"/>
    </bk>
    <bk>
      <rc t="2" v="3164"/>
    </bk>
    <bk>
      <rc t="2" v="3165"/>
    </bk>
    <bk>
      <rc t="2" v="3166"/>
    </bk>
    <bk>
      <rc t="2" v="3167"/>
    </bk>
    <bk>
      <rc t="2" v="3168"/>
    </bk>
    <bk>
      <rc t="2" v="3169"/>
    </bk>
    <bk>
      <rc t="2" v="3170"/>
    </bk>
    <bk>
      <rc t="2" v="3171"/>
    </bk>
    <bk>
      <rc t="2" v="3172"/>
    </bk>
    <bk>
      <rc t="2" v="3173"/>
    </bk>
    <bk>
      <rc t="2" v="3174"/>
    </bk>
    <bk>
      <rc t="2" v="3175"/>
    </bk>
    <bk>
      <rc t="2" v="3176"/>
    </bk>
    <bk>
      <rc t="2" v="3177"/>
    </bk>
    <bk>
      <rc t="2" v="3178"/>
    </bk>
    <bk>
      <rc t="2" v="3179"/>
    </bk>
    <bk>
      <rc t="2" v="3180"/>
    </bk>
    <bk>
      <rc t="2" v="3181"/>
    </bk>
    <bk>
      <rc t="2" v="3182"/>
    </bk>
    <bk>
      <rc t="2" v="3183"/>
    </bk>
    <bk>
      <rc t="2" v="3184"/>
    </bk>
    <bk>
      <rc t="2" v="3185"/>
    </bk>
    <bk>
      <rc t="2" v="3186"/>
    </bk>
    <bk>
      <rc t="2" v="3187"/>
    </bk>
    <bk>
      <rc t="2" v="3188"/>
    </bk>
    <bk>
      <rc t="2" v="3189"/>
    </bk>
    <bk>
      <rc t="2" v="3190"/>
    </bk>
    <bk>
      <rc t="2" v="3191"/>
    </bk>
    <bk>
      <rc t="2" v="3192"/>
    </bk>
    <bk>
      <rc t="2" v="3193"/>
    </bk>
    <bk>
      <rc t="2" v="3194"/>
    </bk>
    <bk>
      <rc t="2" v="3195"/>
    </bk>
    <bk>
      <rc t="2" v="3196"/>
    </bk>
    <bk>
      <rc t="2" v="3197"/>
    </bk>
    <bk>
      <rc t="2" v="3198"/>
    </bk>
    <bk>
      <rc t="2" v="3199"/>
    </bk>
    <bk>
      <rc t="2" v="3200"/>
    </bk>
    <bk>
      <rc t="2" v="3201"/>
    </bk>
    <bk>
      <rc t="2" v="3202"/>
    </bk>
    <bk>
      <rc t="2" v="3203"/>
    </bk>
    <bk>
      <rc t="2" v="3204"/>
    </bk>
    <bk>
      <rc t="2" v="3205"/>
    </bk>
    <bk>
      <rc t="2" v="3206"/>
    </bk>
    <bk>
      <rc t="2" v="3207"/>
    </bk>
    <bk>
      <rc t="2" v="3208"/>
    </bk>
    <bk>
      <rc t="2" v="3209"/>
    </bk>
    <bk>
      <rc t="2" v="3210"/>
    </bk>
    <bk>
      <rc t="2" v="3211"/>
    </bk>
    <bk>
      <rc t="2" v="3212"/>
    </bk>
    <bk>
      <rc t="2" v="3213"/>
    </bk>
    <bk>
      <rc t="2" v="3214"/>
    </bk>
    <bk>
      <rc t="2" v="3215"/>
    </bk>
    <bk>
      <rc t="2" v="3216"/>
    </bk>
    <bk>
      <rc t="2" v="3217"/>
    </bk>
    <bk>
      <rc t="2" v="3218"/>
    </bk>
    <bk>
      <rc t="2" v="3219"/>
    </bk>
    <bk>
      <rc t="2" v="3220"/>
    </bk>
    <bk>
      <rc t="2" v="3221"/>
    </bk>
    <bk>
      <rc t="2" v="3222"/>
    </bk>
    <bk>
      <rc t="2" v="3223"/>
    </bk>
    <bk>
      <rc t="2" v="3224"/>
    </bk>
    <bk>
      <rc t="2" v="3225"/>
    </bk>
    <bk>
      <rc t="2" v="3226"/>
    </bk>
    <bk>
      <rc t="2" v="3227"/>
    </bk>
    <bk>
      <rc t="2" v="3228"/>
    </bk>
    <bk>
      <rc t="2" v="3229"/>
    </bk>
    <bk>
      <rc t="2" v="3230"/>
    </bk>
    <bk>
      <rc t="2" v="3231"/>
    </bk>
    <bk>
      <rc t="2" v="3232"/>
    </bk>
    <bk>
      <rc t="2" v="3233"/>
    </bk>
    <bk>
      <rc t="2" v="3234"/>
    </bk>
    <bk>
      <rc t="2" v="3235"/>
    </bk>
    <bk>
      <rc t="2" v="3236"/>
    </bk>
    <bk>
      <rc t="2" v="3237"/>
    </bk>
    <bk>
      <rc t="2" v="3238"/>
    </bk>
    <bk>
      <rc t="2" v="3239"/>
    </bk>
    <bk>
      <rc t="2" v="3240"/>
    </bk>
    <bk>
      <rc t="2" v="3241"/>
    </bk>
    <bk>
      <rc t="2" v="3242"/>
    </bk>
    <bk>
      <rc t="2" v="3243"/>
    </bk>
    <bk>
      <rc t="2" v="3244"/>
    </bk>
    <bk>
      <rc t="2" v="3245"/>
    </bk>
    <bk>
      <rc t="2" v="3246"/>
    </bk>
    <bk>
      <rc t="2" v="3247"/>
    </bk>
    <bk>
      <rc t="2" v="3248"/>
    </bk>
    <bk>
      <rc t="2" v="3249"/>
    </bk>
    <bk>
      <rc t="2" v="3250"/>
    </bk>
    <bk>
      <rc t="2" v="3251"/>
    </bk>
    <bk>
      <rc t="2" v="3252"/>
    </bk>
    <bk>
      <rc t="2" v="3253"/>
    </bk>
    <bk>
      <rc t="2" v="3254"/>
    </bk>
    <bk>
      <rc t="2" v="3255"/>
    </bk>
    <bk>
      <rc t="2" v="3256"/>
    </bk>
    <bk>
      <rc t="2" v="3257"/>
    </bk>
    <bk>
      <rc t="2" v="3258"/>
    </bk>
    <bk>
      <rc t="2" v="3259"/>
    </bk>
    <bk>
      <rc t="2" v="3260"/>
    </bk>
    <bk>
      <rc t="2" v="3261"/>
    </bk>
    <bk>
      <rc t="2" v="3262"/>
    </bk>
    <bk>
      <rc t="2" v="3263"/>
    </bk>
    <bk>
      <rc t="2" v="3264"/>
    </bk>
    <bk>
      <rc t="2" v="3265"/>
    </bk>
    <bk>
      <rc t="2" v="3266"/>
    </bk>
    <bk>
      <rc t="2" v="3267"/>
    </bk>
    <bk>
      <rc t="2" v="3268"/>
    </bk>
    <bk>
      <rc t="2" v="3269"/>
    </bk>
    <bk>
      <rc t="2" v="3270"/>
    </bk>
    <bk>
      <rc t="2" v="3271"/>
    </bk>
    <bk>
      <rc t="2" v="3272"/>
    </bk>
    <bk>
      <rc t="2" v="3273"/>
    </bk>
    <bk>
      <rc t="2" v="3274"/>
    </bk>
    <bk>
      <rc t="2" v="3275"/>
    </bk>
    <bk>
      <rc t="2" v="3276"/>
    </bk>
    <bk>
      <rc t="2" v="3277"/>
    </bk>
    <bk>
      <rc t="2" v="3278"/>
    </bk>
    <bk>
      <rc t="2" v="3279"/>
    </bk>
    <bk>
      <rc t="2" v="3280"/>
    </bk>
    <bk>
      <rc t="2" v="3281"/>
    </bk>
    <bk>
      <rc t="2" v="3282"/>
    </bk>
    <bk>
      <rc t="2" v="3283"/>
    </bk>
    <bk>
      <rc t="2" v="3284"/>
    </bk>
    <bk>
      <rc t="2" v="3285"/>
    </bk>
    <bk>
      <rc t="2" v="3286"/>
    </bk>
    <bk>
      <rc t="2" v="3287"/>
    </bk>
    <bk>
      <rc t="2" v="3288"/>
    </bk>
    <bk>
      <rc t="2" v="3289"/>
    </bk>
    <bk>
      <rc t="2" v="3290"/>
    </bk>
    <bk>
      <rc t="2" v="3291"/>
    </bk>
    <bk>
      <rc t="2" v="3292"/>
    </bk>
    <bk>
      <rc t="2" v="3293"/>
    </bk>
    <bk>
      <rc t="2" v="3294"/>
    </bk>
    <bk>
      <rc t="2" v="3295"/>
    </bk>
    <bk>
      <rc t="2" v="3296"/>
    </bk>
    <bk>
      <rc t="2" v="3297"/>
    </bk>
    <bk>
      <rc t="2" v="3298"/>
    </bk>
    <bk>
      <rc t="2" v="3299"/>
    </bk>
    <bk>
      <rc t="2" v="3300"/>
    </bk>
    <bk>
      <rc t="2" v="3301"/>
    </bk>
    <bk>
      <rc t="2" v="3302"/>
    </bk>
    <bk>
      <rc t="2" v="3303"/>
    </bk>
    <bk>
      <rc t="2" v="3304"/>
    </bk>
    <bk>
      <rc t="2" v="3305"/>
    </bk>
    <bk>
      <rc t="2" v="3306"/>
    </bk>
    <bk>
      <rc t="2" v="3307"/>
    </bk>
    <bk>
      <rc t="2" v="3308"/>
    </bk>
    <bk>
      <rc t="2" v="3309"/>
    </bk>
    <bk>
      <rc t="2" v="3310"/>
    </bk>
    <bk>
      <rc t="2" v="3311"/>
    </bk>
    <bk>
      <rc t="2" v="3312"/>
    </bk>
    <bk>
      <rc t="2" v="3313"/>
    </bk>
    <bk>
      <rc t="2" v="3314"/>
    </bk>
    <bk>
      <rc t="2" v="3315"/>
    </bk>
    <bk>
      <rc t="2" v="3316"/>
    </bk>
    <bk>
      <rc t="2" v="3317"/>
    </bk>
    <bk>
      <rc t="2" v="3318"/>
    </bk>
    <bk>
      <rc t="2" v="3319"/>
    </bk>
    <bk>
      <rc t="2" v="3320"/>
    </bk>
    <bk>
      <rc t="2" v="3321"/>
    </bk>
    <bk>
      <rc t="2" v="3322"/>
    </bk>
    <bk>
      <rc t="2" v="3323"/>
    </bk>
    <bk>
      <rc t="2" v="3324"/>
    </bk>
    <bk>
      <rc t="2" v="3325"/>
    </bk>
    <bk>
      <rc t="2" v="3326"/>
    </bk>
    <bk>
      <rc t="2" v="3327"/>
    </bk>
    <bk>
      <rc t="2" v="3328"/>
    </bk>
    <bk>
      <rc t="2" v="3329"/>
    </bk>
    <bk>
      <rc t="2" v="3330"/>
    </bk>
    <bk>
      <rc t="2" v="3331"/>
    </bk>
    <bk>
      <rc t="2" v="3332"/>
    </bk>
    <bk>
      <rc t="2" v="3333"/>
    </bk>
    <bk>
      <rc t="2" v="3334"/>
    </bk>
    <bk>
      <rc t="2" v="3335"/>
    </bk>
    <bk>
      <rc t="2" v="3336"/>
    </bk>
    <bk>
      <rc t="2" v="3337"/>
    </bk>
    <bk>
      <rc t="2" v="3338"/>
    </bk>
    <bk>
      <rc t="2" v="3339"/>
    </bk>
    <bk>
      <rc t="2" v="3340"/>
    </bk>
    <bk>
      <rc t="2" v="3341"/>
    </bk>
    <bk>
      <rc t="2" v="3342"/>
    </bk>
    <bk>
      <rc t="2" v="3343"/>
    </bk>
    <bk>
      <rc t="2" v="3344"/>
    </bk>
    <bk>
      <rc t="2" v="3345"/>
    </bk>
    <bk>
      <rc t="2" v="3346"/>
    </bk>
    <bk>
      <rc t="2" v="3347"/>
    </bk>
    <bk>
      <rc t="2" v="3348"/>
    </bk>
    <bk>
      <rc t="2" v="3349"/>
    </bk>
    <bk>
      <rc t="2" v="3350"/>
    </bk>
    <bk>
      <rc t="2" v="3351"/>
    </bk>
    <bk>
      <rc t="2" v="3352"/>
    </bk>
    <bk>
      <rc t="2" v="3353"/>
    </bk>
    <bk>
      <rc t="2" v="3354"/>
    </bk>
    <bk>
      <rc t="2" v="3355"/>
    </bk>
    <bk>
      <rc t="2" v="3356"/>
    </bk>
    <bk>
      <rc t="2" v="3357"/>
    </bk>
    <bk>
      <rc t="2" v="3358"/>
    </bk>
    <bk>
      <rc t="2" v="3359"/>
    </bk>
    <bk>
      <rc t="2" v="3360"/>
    </bk>
    <bk>
      <rc t="2" v="3361"/>
    </bk>
    <bk>
      <rc t="2" v="3362"/>
    </bk>
    <bk>
      <rc t="2" v="3363"/>
    </bk>
    <bk>
      <rc t="2" v="3364"/>
    </bk>
    <bk>
      <rc t="2" v="3365"/>
    </bk>
    <bk>
      <rc t="2" v="3366"/>
    </bk>
    <bk>
      <rc t="2" v="3367"/>
    </bk>
    <bk>
      <rc t="2" v="3368"/>
    </bk>
    <bk>
      <rc t="2" v="3369"/>
    </bk>
    <bk>
      <rc t="2" v="3370"/>
    </bk>
    <bk>
      <rc t="2" v="3371"/>
    </bk>
    <bk>
      <rc t="2" v="3372"/>
    </bk>
    <bk>
      <rc t="2" v="3373"/>
    </bk>
    <bk>
      <rc t="2" v="3374"/>
    </bk>
    <bk>
      <rc t="2" v="3375"/>
    </bk>
    <bk>
      <rc t="2" v="3376"/>
    </bk>
    <bk>
      <rc t="2" v="3377"/>
    </bk>
    <bk>
      <rc t="2" v="3378"/>
    </bk>
    <bk>
      <rc t="2" v="3379"/>
    </bk>
    <bk>
      <rc t="2" v="3380"/>
    </bk>
    <bk>
      <rc t="2" v="3381"/>
    </bk>
    <bk>
      <rc t="2" v="3382"/>
    </bk>
    <bk>
      <rc t="2" v="3383"/>
    </bk>
    <bk>
      <rc t="2" v="3384"/>
    </bk>
    <bk>
      <rc t="2" v="3385"/>
    </bk>
    <bk>
      <rc t="2" v="3386"/>
    </bk>
    <bk>
      <rc t="2" v="3387"/>
    </bk>
    <bk>
      <rc t="2" v="3388"/>
    </bk>
    <bk>
      <rc t="2" v="3389"/>
    </bk>
    <bk>
      <rc t="2" v="3390"/>
    </bk>
    <bk>
      <rc t="2" v="3391"/>
    </bk>
    <bk>
      <rc t="2" v="3392"/>
    </bk>
    <bk>
      <rc t="2" v="3393"/>
    </bk>
    <bk>
      <rc t="2" v="3394"/>
    </bk>
    <bk>
      <rc t="2" v="3395"/>
    </bk>
    <bk>
      <rc t="2" v="3396"/>
    </bk>
    <bk>
      <rc t="2" v="3397"/>
    </bk>
    <bk>
      <rc t="2" v="3398"/>
    </bk>
    <bk>
      <rc t="2" v="3399"/>
    </bk>
    <bk>
      <rc t="2" v="3400"/>
    </bk>
    <bk>
      <rc t="2" v="3401"/>
    </bk>
    <bk>
      <rc t="2" v="3402"/>
    </bk>
    <bk>
      <rc t="2" v="3403"/>
    </bk>
    <bk>
      <rc t="2" v="3404"/>
    </bk>
    <bk>
      <rc t="2" v="3405"/>
    </bk>
    <bk>
      <rc t="2" v="3406"/>
    </bk>
    <bk>
      <rc t="2" v="3407"/>
    </bk>
    <bk>
      <rc t="2" v="3408"/>
    </bk>
    <bk>
      <rc t="2" v="3409"/>
    </bk>
    <bk>
      <rc t="2" v="3410"/>
    </bk>
    <bk>
      <rc t="2" v="3411"/>
    </bk>
    <bk>
      <rc t="2" v="3412"/>
    </bk>
    <bk>
      <rc t="2" v="3413"/>
    </bk>
    <bk>
      <rc t="2" v="3414"/>
    </bk>
    <bk>
      <rc t="2" v="3415"/>
    </bk>
    <bk>
      <rc t="2" v="3416"/>
    </bk>
    <bk>
      <rc t="2" v="3417"/>
    </bk>
    <bk>
      <rc t="2" v="3418"/>
    </bk>
    <bk>
      <rc t="2" v="3419"/>
    </bk>
    <bk>
      <rc t="2" v="3420"/>
    </bk>
    <bk>
      <rc t="2" v="3421"/>
    </bk>
    <bk>
      <rc t="2" v="3422"/>
    </bk>
    <bk>
      <rc t="2" v="3423"/>
    </bk>
    <bk>
      <rc t="2" v="3424"/>
    </bk>
    <bk>
      <rc t="2" v="3425"/>
    </bk>
    <bk>
      <rc t="2" v="3426"/>
    </bk>
    <bk>
      <rc t="2" v="3427"/>
    </bk>
    <bk>
      <rc t="2" v="3428"/>
    </bk>
    <bk>
      <rc t="2" v="3429"/>
    </bk>
    <bk>
      <rc t="2" v="3430"/>
    </bk>
    <bk>
      <rc t="2" v="3431"/>
    </bk>
    <bk>
      <rc t="2" v="3432"/>
    </bk>
    <bk>
      <rc t="2" v="3433"/>
    </bk>
    <bk>
      <rc t="2" v="3434"/>
    </bk>
    <bk>
      <rc t="2" v="3435"/>
    </bk>
    <bk>
      <rc t="2" v="3436"/>
    </bk>
    <bk>
      <rc t="2" v="3437"/>
    </bk>
    <bk>
      <rc t="2" v="3438"/>
    </bk>
    <bk>
      <rc t="2" v="3439"/>
    </bk>
    <bk>
      <rc t="2" v="3440"/>
    </bk>
    <bk>
      <rc t="2" v="3441"/>
    </bk>
    <bk>
      <rc t="2" v="3442"/>
    </bk>
    <bk>
      <rc t="2" v="3443"/>
    </bk>
    <bk>
      <rc t="2" v="3444"/>
    </bk>
    <bk>
      <rc t="2" v="3445"/>
    </bk>
    <bk>
      <rc t="2" v="3446"/>
    </bk>
    <bk>
      <rc t="2" v="3447"/>
    </bk>
    <bk>
      <rc t="2" v="3448"/>
    </bk>
    <bk>
      <rc t="2" v="3449"/>
    </bk>
    <bk>
      <rc t="2" v="3450"/>
    </bk>
    <bk>
      <rc t="2" v="3451"/>
    </bk>
    <bk>
      <rc t="2" v="3452"/>
    </bk>
    <bk>
      <rc t="2" v="3453"/>
    </bk>
    <bk>
      <rc t="2" v="3454"/>
    </bk>
    <bk>
      <rc t="2" v="3455"/>
    </bk>
    <bk>
      <rc t="2" v="3456"/>
    </bk>
    <bk>
      <rc t="2" v="3457"/>
    </bk>
    <bk>
      <rc t="2" v="3458"/>
    </bk>
    <bk>
      <rc t="2" v="3459"/>
    </bk>
    <bk>
      <rc t="2" v="3460"/>
    </bk>
    <bk>
      <rc t="2" v="3461"/>
    </bk>
    <bk>
      <rc t="2" v="3462"/>
    </bk>
    <bk>
      <rc t="2" v="3463"/>
    </bk>
    <bk>
      <rc t="2" v="3464"/>
    </bk>
    <bk>
      <rc t="2" v="3465"/>
    </bk>
    <bk>
      <rc t="2" v="3466"/>
    </bk>
    <bk>
      <rc t="2" v="3467"/>
    </bk>
    <bk>
      <rc t="2" v="3468"/>
    </bk>
    <bk>
      <rc t="2" v="3469"/>
    </bk>
    <bk>
      <rc t="2" v="3470"/>
    </bk>
    <bk>
      <rc t="2" v="3471"/>
    </bk>
    <bk>
      <rc t="2" v="3472"/>
    </bk>
    <bk>
      <rc t="2" v="3473"/>
    </bk>
    <bk>
      <rc t="2" v="3474"/>
    </bk>
    <bk>
      <rc t="2" v="3475"/>
    </bk>
    <bk>
      <rc t="2" v="3476"/>
    </bk>
    <bk>
      <rc t="2" v="3477"/>
    </bk>
    <bk>
      <rc t="2" v="3478"/>
    </bk>
    <bk>
      <rc t="2" v="3479"/>
    </bk>
    <bk>
      <rc t="2" v="3480"/>
    </bk>
    <bk>
      <rc t="2" v="3481"/>
    </bk>
    <bk>
      <rc t="2" v="3482"/>
    </bk>
    <bk>
      <rc t="2" v="3483"/>
    </bk>
    <bk>
      <rc t="2" v="3484"/>
    </bk>
    <bk>
      <rc t="2" v="3485"/>
    </bk>
    <bk>
      <rc t="2" v="3486"/>
    </bk>
    <bk>
      <rc t="2" v="3487"/>
    </bk>
    <bk>
      <rc t="2" v="3488"/>
    </bk>
    <bk>
      <rc t="2" v="3489"/>
    </bk>
    <bk>
      <rc t="2" v="3490"/>
    </bk>
    <bk>
      <rc t="2" v="3491"/>
    </bk>
    <bk>
      <rc t="2" v="3492"/>
    </bk>
    <bk>
      <rc t="2" v="3493"/>
    </bk>
    <bk>
      <rc t="2" v="3494"/>
    </bk>
    <bk>
      <rc t="2" v="3495"/>
    </bk>
    <bk>
      <rc t="2" v="3496"/>
    </bk>
    <bk>
      <rc t="2" v="3497"/>
    </bk>
    <bk>
      <rc t="2" v="3498"/>
    </bk>
    <bk>
      <rc t="2" v="3499"/>
    </bk>
    <bk>
      <rc t="2" v="3500"/>
    </bk>
    <bk>
      <rc t="2" v="3501"/>
    </bk>
    <bk>
      <rc t="2" v="3502"/>
    </bk>
    <bk>
      <rc t="2" v="3503"/>
    </bk>
    <bk>
      <rc t="2" v="3504"/>
    </bk>
    <bk>
      <rc t="2" v="3505"/>
    </bk>
    <bk>
      <rc t="2" v="3506"/>
    </bk>
    <bk>
      <rc t="2" v="3507"/>
    </bk>
    <bk>
      <rc t="2" v="3508"/>
    </bk>
    <bk>
      <rc t="2" v="3509"/>
    </bk>
    <bk>
      <rc t="2" v="3510"/>
    </bk>
    <bk>
      <rc t="2" v="3511"/>
    </bk>
    <bk>
      <rc t="2" v="3512"/>
    </bk>
    <bk>
      <rc t="2" v="3513"/>
    </bk>
    <bk>
      <rc t="2" v="3514"/>
    </bk>
    <bk>
      <rc t="2" v="3515"/>
    </bk>
    <bk>
      <rc t="2" v="3516"/>
    </bk>
    <bk>
      <rc t="2" v="3517"/>
    </bk>
    <bk>
      <rc t="2" v="3518"/>
    </bk>
    <bk>
      <rc t="2" v="3519"/>
    </bk>
    <bk>
      <rc t="2" v="3520"/>
    </bk>
    <bk>
      <rc t="2" v="3521"/>
    </bk>
    <bk>
      <rc t="2" v="3522"/>
    </bk>
    <bk>
      <rc t="2" v="3523"/>
    </bk>
    <bk>
      <rc t="2" v="3524"/>
    </bk>
    <bk>
      <rc t="2" v="3525"/>
    </bk>
    <bk>
      <rc t="2" v="3526"/>
    </bk>
    <bk>
      <rc t="2" v="3527"/>
    </bk>
    <bk>
      <rc t="2" v="3528"/>
    </bk>
    <bk>
      <rc t="2" v="3529"/>
    </bk>
    <bk>
      <rc t="2" v="3530"/>
    </bk>
    <bk>
      <rc t="2" v="3531"/>
    </bk>
    <bk>
      <rc t="2" v="3532"/>
    </bk>
    <bk>
      <rc t="2" v="3533"/>
    </bk>
    <bk>
      <rc t="2" v="3534"/>
    </bk>
    <bk>
      <rc t="2" v="3535"/>
    </bk>
    <bk>
      <rc t="2" v="3536"/>
    </bk>
    <bk>
      <rc t="2" v="3537"/>
    </bk>
    <bk>
      <rc t="2" v="3538"/>
    </bk>
    <bk>
      <rc t="2" v="3539"/>
    </bk>
    <bk>
      <rc t="2" v="3540"/>
    </bk>
    <bk>
      <rc t="2" v="3541"/>
    </bk>
    <bk>
      <rc t="2" v="3542"/>
    </bk>
    <bk>
      <rc t="2" v="3543"/>
    </bk>
    <bk>
      <rc t="2" v="3544"/>
    </bk>
    <bk>
      <rc t="2" v="3545"/>
    </bk>
    <bk>
      <rc t="2" v="3546"/>
    </bk>
    <bk>
      <rc t="2" v="3547"/>
    </bk>
    <bk>
      <rc t="2" v="3548"/>
    </bk>
    <bk>
      <rc t="2" v="3549"/>
    </bk>
    <bk>
      <rc t="2" v="3550"/>
    </bk>
    <bk>
      <rc t="2" v="3551"/>
    </bk>
    <bk>
      <rc t="2" v="3552"/>
    </bk>
    <bk>
      <rc t="2" v="3553"/>
    </bk>
    <bk>
      <rc t="2" v="3554"/>
    </bk>
    <bk>
      <rc t="2" v="3555"/>
    </bk>
    <bk>
      <rc t="2" v="3556"/>
    </bk>
    <bk>
      <rc t="2" v="3557"/>
    </bk>
    <bk>
      <rc t="2" v="3558"/>
    </bk>
    <bk>
      <rc t="2" v="3559"/>
    </bk>
    <bk>
      <rc t="2" v="3560"/>
    </bk>
    <bk>
      <rc t="2" v="3561"/>
    </bk>
    <bk>
      <rc t="2" v="3562"/>
    </bk>
    <bk>
      <rc t="2" v="3563"/>
    </bk>
    <bk>
      <rc t="2" v="3564"/>
    </bk>
    <bk>
      <rc t="2" v="3565"/>
    </bk>
    <bk>
      <rc t="2" v="3566"/>
    </bk>
    <bk>
      <rc t="2" v="3567"/>
    </bk>
    <bk>
      <rc t="2" v="3568"/>
    </bk>
    <bk>
      <rc t="2" v="3569"/>
    </bk>
    <bk>
      <rc t="2" v="3570"/>
    </bk>
    <bk>
      <rc t="2" v="3571"/>
    </bk>
    <bk>
      <rc t="2" v="3572"/>
    </bk>
    <bk>
      <rc t="2" v="3573"/>
    </bk>
    <bk>
      <rc t="2" v="3574"/>
    </bk>
    <bk>
      <rc t="2" v="3575"/>
    </bk>
    <bk>
      <rc t="2" v="3576"/>
    </bk>
    <bk>
      <rc t="2" v="3577"/>
    </bk>
    <bk>
      <rc t="2" v="3578"/>
    </bk>
    <bk>
      <rc t="2" v="3579"/>
    </bk>
    <bk>
      <rc t="2" v="3580"/>
    </bk>
    <bk>
      <rc t="2" v="3581"/>
    </bk>
    <bk>
      <rc t="2" v="3582"/>
    </bk>
    <bk>
      <rc t="2" v="3583"/>
    </bk>
    <bk>
      <rc t="2" v="3584"/>
    </bk>
    <bk>
      <rc t="2" v="3585"/>
    </bk>
    <bk>
      <rc t="2" v="3586"/>
    </bk>
    <bk>
      <rc t="2" v="3587"/>
    </bk>
    <bk>
      <rc t="2" v="3588"/>
    </bk>
    <bk>
      <rc t="2" v="3589"/>
    </bk>
    <bk>
      <rc t="2" v="3590"/>
    </bk>
    <bk>
      <rc t="2" v="3591"/>
    </bk>
    <bk>
      <rc t="2" v="3592"/>
    </bk>
    <bk>
      <rc t="2" v="3593"/>
    </bk>
    <bk>
      <rc t="2" v="3594"/>
    </bk>
    <bk>
      <rc t="2" v="3595"/>
    </bk>
    <bk>
      <rc t="2" v="3596"/>
    </bk>
    <bk>
      <rc t="2" v="3597"/>
    </bk>
    <bk>
      <rc t="2" v="3598"/>
    </bk>
    <bk>
      <rc t="2" v="3599"/>
    </bk>
    <bk>
      <rc t="2" v="3600"/>
    </bk>
    <bk>
      <rc t="2" v="3601"/>
    </bk>
    <bk>
      <rc t="2" v="3602"/>
    </bk>
    <bk>
      <rc t="2" v="3603"/>
    </bk>
    <bk>
      <rc t="2" v="3604"/>
    </bk>
    <bk>
      <rc t="2" v="3605"/>
    </bk>
    <bk>
      <rc t="2" v="3606"/>
    </bk>
    <bk>
      <rc t="2" v="3607"/>
    </bk>
    <bk>
      <rc t="2" v="3608"/>
    </bk>
    <bk>
      <rc t="2" v="3609"/>
    </bk>
    <bk>
      <rc t="2" v="3610"/>
    </bk>
    <bk>
      <rc t="2" v="3611"/>
    </bk>
    <bk>
      <rc t="2" v="3612"/>
    </bk>
    <bk>
      <rc t="2" v="3613"/>
    </bk>
    <bk>
      <rc t="2" v="3614"/>
    </bk>
    <bk>
      <rc t="2" v="3615"/>
    </bk>
    <bk>
      <rc t="2" v="3616"/>
    </bk>
    <bk>
      <rc t="2" v="3617"/>
    </bk>
    <bk>
      <rc t="2" v="3618"/>
    </bk>
    <bk>
      <rc t="2" v="3619"/>
    </bk>
    <bk>
      <rc t="2" v="3620"/>
    </bk>
    <bk>
      <rc t="2" v="3621"/>
    </bk>
    <bk>
      <rc t="2" v="3622"/>
    </bk>
    <bk>
      <rc t="2" v="3623"/>
    </bk>
    <bk>
      <rc t="2" v="3624"/>
    </bk>
    <bk>
      <rc t="2" v="3625"/>
    </bk>
    <bk>
      <rc t="2" v="3626"/>
    </bk>
    <bk>
      <rc t="2" v="3627"/>
    </bk>
    <bk>
      <rc t="2" v="3628"/>
    </bk>
    <bk>
      <rc t="2" v="3629"/>
    </bk>
    <bk>
      <rc t="2" v="3630"/>
    </bk>
    <bk>
      <rc t="2" v="3631"/>
    </bk>
    <bk>
      <rc t="2" v="3632"/>
    </bk>
    <bk>
      <rc t="2" v="3633"/>
    </bk>
    <bk>
      <rc t="2" v="3634"/>
    </bk>
    <bk>
      <rc t="2" v="3635"/>
    </bk>
    <bk>
      <rc t="2" v="3636"/>
    </bk>
    <bk>
      <rc t="2" v="3637"/>
    </bk>
    <bk>
      <rc t="2" v="3638"/>
    </bk>
    <bk>
      <rc t="2" v="3639"/>
    </bk>
    <bk>
      <rc t="2" v="3640"/>
    </bk>
    <bk>
      <rc t="2" v="3641"/>
    </bk>
    <bk>
      <rc t="2" v="3642"/>
    </bk>
    <bk>
      <rc t="2" v="3643"/>
    </bk>
    <bk>
      <rc t="2" v="3644"/>
    </bk>
    <bk>
      <rc t="2" v="3645"/>
    </bk>
    <bk>
      <rc t="2" v="3646"/>
    </bk>
    <bk>
      <rc t="2" v="3647"/>
    </bk>
    <bk>
      <rc t="2" v="3648"/>
    </bk>
    <bk>
      <rc t="2" v="3649"/>
    </bk>
    <bk>
      <rc t="2" v="3650"/>
    </bk>
    <bk>
      <rc t="2" v="3651"/>
    </bk>
    <bk>
      <rc t="2" v="3652"/>
    </bk>
    <bk>
      <rc t="2" v="3653"/>
    </bk>
    <bk>
      <rc t="2" v="3654"/>
    </bk>
    <bk>
      <rc t="2" v="3655"/>
    </bk>
    <bk>
      <rc t="2" v="3656"/>
    </bk>
    <bk>
      <rc t="2" v="3657"/>
    </bk>
    <bk>
      <rc t="2" v="3658"/>
    </bk>
    <bk>
      <rc t="2" v="3659"/>
    </bk>
    <bk>
      <rc t="2" v="3660"/>
    </bk>
    <bk>
      <rc t="2" v="3661"/>
    </bk>
    <bk>
      <rc t="2" v="3662"/>
    </bk>
    <bk>
      <rc t="2" v="3663"/>
    </bk>
    <bk>
      <rc t="2" v="3664"/>
    </bk>
    <bk>
      <rc t="2" v="3665"/>
    </bk>
    <bk>
      <rc t="2" v="3666"/>
    </bk>
    <bk>
      <rc t="2" v="3667"/>
    </bk>
    <bk>
      <rc t="2" v="3668"/>
    </bk>
    <bk>
      <rc t="2" v="3669"/>
    </bk>
    <bk>
      <rc t="2" v="3670"/>
    </bk>
    <bk>
      <rc t="2" v="3671"/>
    </bk>
    <bk>
      <rc t="2" v="3672"/>
    </bk>
    <bk>
      <rc t="2" v="3673"/>
    </bk>
    <bk>
      <rc t="2" v="3674"/>
    </bk>
    <bk>
      <rc t="2" v="3675"/>
    </bk>
    <bk>
      <rc t="2" v="3676"/>
    </bk>
    <bk>
      <rc t="2" v="3677"/>
    </bk>
    <bk>
      <rc t="2" v="3678"/>
    </bk>
    <bk>
      <rc t="2" v="3679"/>
    </bk>
    <bk>
      <rc t="2" v="3680"/>
    </bk>
    <bk>
      <rc t="2" v="3681"/>
    </bk>
    <bk>
      <rc t="2" v="3682"/>
    </bk>
    <bk>
      <rc t="2" v="3683"/>
    </bk>
    <bk>
      <rc t="2" v="3684"/>
    </bk>
    <bk>
      <rc t="2" v="3685"/>
    </bk>
    <bk>
      <rc t="2" v="3686"/>
    </bk>
    <bk>
      <rc t="2" v="3687"/>
    </bk>
    <bk>
      <rc t="2" v="3688"/>
    </bk>
    <bk>
      <rc t="2" v="3689"/>
    </bk>
    <bk>
      <rc t="2" v="3690"/>
    </bk>
    <bk>
      <rc t="2" v="3691"/>
    </bk>
    <bk>
      <rc t="2" v="3692"/>
    </bk>
    <bk>
      <rc t="2" v="3693"/>
    </bk>
    <bk>
      <rc t="2" v="3694"/>
    </bk>
    <bk>
      <rc t="2" v="3695"/>
    </bk>
    <bk>
      <rc t="2" v="3696"/>
    </bk>
    <bk>
      <rc t="2" v="3697"/>
    </bk>
    <bk>
      <rc t="2" v="3698"/>
    </bk>
    <bk>
      <rc t="2" v="3699"/>
    </bk>
    <bk>
      <rc t="2" v="3700"/>
    </bk>
    <bk>
      <rc t="2" v="3701"/>
    </bk>
    <bk>
      <rc t="2" v="3702"/>
    </bk>
    <bk>
      <rc t="2" v="3703"/>
    </bk>
    <bk>
      <rc t="2" v="3704"/>
    </bk>
    <bk>
      <rc t="2" v="3705"/>
    </bk>
    <bk>
      <rc t="2" v="3706"/>
    </bk>
    <bk>
      <rc t="2" v="3707"/>
    </bk>
    <bk>
      <rc t="2" v="3708"/>
    </bk>
    <bk>
      <rc t="2" v="3709"/>
    </bk>
    <bk>
      <rc t="2" v="3710"/>
    </bk>
    <bk>
      <rc t="2" v="3711"/>
    </bk>
    <bk>
      <rc t="2" v="3712"/>
    </bk>
    <bk>
      <rc t="2" v="3713"/>
    </bk>
    <bk>
      <rc t="2" v="3714"/>
    </bk>
    <bk>
      <rc t="2" v="3715"/>
    </bk>
    <bk>
      <rc t="2" v="3716"/>
    </bk>
    <bk>
      <rc t="2" v="3717"/>
    </bk>
    <bk>
      <rc t="2" v="3718"/>
    </bk>
    <bk>
      <rc t="2" v="3719"/>
    </bk>
    <bk>
      <rc t="2" v="3720"/>
    </bk>
    <bk>
      <rc t="2" v="3721"/>
    </bk>
    <bk>
      <rc t="2" v="3722"/>
    </bk>
    <bk>
      <rc t="2" v="3723"/>
    </bk>
    <bk>
      <rc t="2" v="3724"/>
    </bk>
    <bk>
      <rc t="2" v="3725"/>
    </bk>
    <bk>
      <rc t="2" v="3726"/>
    </bk>
    <bk>
      <rc t="2" v="3727"/>
    </bk>
    <bk>
      <rc t="2" v="3728"/>
    </bk>
    <bk>
      <rc t="2" v="3729"/>
    </bk>
    <bk>
      <rc t="2" v="3730"/>
    </bk>
    <bk>
      <rc t="2" v="3731"/>
    </bk>
    <bk>
      <rc t="2" v="3732"/>
    </bk>
    <bk>
      <rc t="2" v="3733"/>
    </bk>
    <bk>
      <rc t="2" v="3734"/>
    </bk>
    <bk>
      <rc t="2" v="3735"/>
    </bk>
    <bk>
      <rc t="2" v="3736"/>
    </bk>
    <bk>
      <rc t="2" v="3737"/>
    </bk>
    <bk>
      <rc t="2" v="3738"/>
    </bk>
    <bk>
      <rc t="2" v="3739"/>
    </bk>
    <bk>
      <rc t="2" v="3740"/>
    </bk>
    <bk>
      <rc t="2" v="3741"/>
    </bk>
    <bk>
      <rc t="2" v="3742"/>
    </bk>
    <bk>
      <rc t="2" v="3743"/>
    </bk>
    <bk>
      <rc t="2" v="3744"/>
    </bk>
    <bk>
      <rc t="2" v="3745"/>
    </bk>
    <bk>
      <rc t="2" v="3746"/>
    </bk>
    <bk>
      <rc t="2" v="3747"/>
    </bk>
    <bk>
      <rc t="2" v="3748"/>
    </bk>
    <bk>
      <rc t="2" v="3749"/>
    </bk>
    <bk>
      <rc t="2" v="3750"/>
    </bk>
    <bk>
      <rc t="2" v="3751"/>
    </bk>
    <bk>
      <rc t="2" v="3752"/>
    </bk>
    <bk>
      <rc t="2" v="3753"/>
    </bk>
    <bk>
      <rc t="2" v="3754"/>
    </bk>
    <bk>
      <rc t="2" v="3755"/>
    </bk>
    <bk>
      <rc t="2" v="3756"/>
    </bk>
    <bk>
      <rc t="2" v="3757"/>
    </bk>
    <bk>
      <rc t="2" v="3758"/>
    </bk>
    <bk>
      <rc t="2" v="3759"/>
    </bk>
    <bk>
      <rc t="2" v="3760"/>
    </bk>
    <bk>
      <rc t="2" v="3761"/>
    </bk>
    <bk>
      <rc t="2" v="3762"/>
    </bk>
    <bk>
      <rc t="2" v="3763"/>
    </bk>
    <bk>
      <rc t="2" v="3764"/>
    </bk>
    <bk>
      <rc t="2" v="3765"/>
    </bk>
    <bk>
      <rc t="2" v="3766"/>
    </bk>
    <bk>
      <rc t="2" v="3767"/>
    </bk>
    <bk>
      <rc t="2" v="3768"/>
    </bk>
    <bk>
      <rc t="2" v="3769"/>
    </bk>
    <bk>
      <rc t="2" v="3770"/>
    </bk>
    <bk>
      <rc t="2" v="3771"/>
    </bk>
    <bk>
      <rc t="2" v="3772"/>
    </bk>
    <bk>
      <rc t="2" v="3773"/>
    </bk>
    <bk>
      <rc t="2" v="3774"/>
    </bk>
    <bk>
      <rc t="2" v="3775"/>
    </bk>
    <bk>
      <rc t="2" v="3776"/>
    </bk>
    <bk>
      <rc t="2" v="3777"/>
    </bk>
    <bk>
      <rc t="2" v="3778"/>
    </bk>
    <bk>
      <rc t="2" v="3779"/>
    </bk>
    <bk>
      <rc t="2" v="3780"/>
    </bk>
    <bk>
      <rc t="2" v="3781"/>
    </bk>
    <bk>
      <rc t="2" v="3782"/>
    </bk>
    <bk>
      <rc t="2" v="3783"/>
    </bk>
    <bk>
      <rc t="2" v="3784"/>
    </bk>
    <bk>
      <rc t="2" v="3785"/>
    </bk>
    <bk>
      <rc t="2" v="3786"/>
    </bk>
    <bk>
      <rc t="2" v="3787"/>
    </bk>
    <bk>
      <rc t="2" v="3788"/>
    </bk>
    <bk>
      <rc t="2" v="3789"/>
    </bk>
    <bk>
      <rc t="2" v="3790"/>
    </bk>
    <bk>
      <rc t="2" v="3791"/>
    </bk>
    <bk>
      <rc t="2" v="3792"/>
    </bk>
    <bk>
      <rc t="2" v="3793"/>
    </bk>
    <bk>
      <rc t="2" v="3794"/>
    </bk>
    <bk>
      <rc t="2" v="3795"/>
    </bk>
    <bk>
      <rc t="2" v="3796"/>
    </bk>
    <bk>
      <rc t="2" v="3797"/>
    </bk>
    <bk>
      <rc t="2" v="3798"/>
    </bk>
    <bk>
      <rc t="2" v="3799"/>
    </bk>
    <bk>
      <rc t="2" v="3800"/>
    </bk>
    <bk>
      <rc t="2" v="3801"/>
    </bk>
    <bk>
      <rc t="2" v="3802"/>
    </bk>
    <bk>
      <rc t="2" v="3803"/>
    </bk>
    <bk>
      <rc t="2" v="3804"/>
    </bk>
    <bk>
      <rc t="2" v="3805"/>
    </bk>
    <bk>
      <rc t="2" v="3806"/>
    </bk>
    <bk>
      <rc t="2" v="3807"/>
    </bk>
    <bk>
      <rc t="2" v="3808"/>
    </bk>
    <bk>
      <rc t="2" v="3809"/>
    </bk>
    <bk>
      <rc t="2" v="3810"/>
    </bk>
    <bk>
      <rc t="2" v="3811"/>
    </bk>
    <bk>
      <rc t="2" v="3812"/>
    </bk>
    <bk>
      <rc t="2" v="3813"/>
    </bk>
    <bk>
      <rc t="2" v="3814"/>
    </bk>
    <bk>
      <rc t="2" v="3815"/>
    </bk>
    <bk>
      <rc t="2" v="3816"/>
    </bk>
    <bk>
      <rc t="2" v="3817"/>
    </bk>
    <bk>
      <rc t="2" v="3818"/>
    </bk>
    <bk>
      <rc t="2" v="3819"/>
    </bk>
    <bk>
      <rc t="2" v="3820"/>
    </bk>
    <bk>
      <rc t="2" v="3821"/>
    </bk>
    <bk>
      <rc t="2" v="3822"/>
    </bk>
    <bk>
      <rc t="2" v="3823"/>
    </bk>
    <bk>
      <rc t="2" v="3824"/>
    </bk>
    <bk>
      <rc t="2" v="3825"/>
    </bk>
    <bk>
      <rc t="2" v="3826"/>
    </bk>
    <bk>
      <rc t="2" v="3827"/>
    </bk>
    <bk>
      <rc t="2" v="3828"/>
    </bk>
    <bk>
      <rc t="2" v="3829"/>
    </bk>
    <bk>
      <rc t="2" v="3830"/>
    </bk>
    <bk>
      <rc t="2" v="3831"/>
    </bk>
    <bk>
      <rc t="2" v="3832"/>
    </bk>
    <bk>
      <rc t="2" v="3833"/>
    </bk>
    <bk>
      <rc t="2" v="3834"/>
    </bk>
    <bk>
      <rc t="2" v="3835"/>
    </bk>
    <bk>
      <rc t="2" v="3836"/>
    </bk>
    <bk>
      <rc t="2" v="3837"/>
    </bk>
    <bk>
      <rc t="2" v="3838"/>
    </bk>
    <bk>
      <rc t="2" v="3839"/>
    </bk>
    <bk>
      <rc t="2" v="3840"/>
    </bk>
    <bk>
      <rc t="2" v="3841"/>
    </bk>
    <bk>
      <rc t="2" v="3842"/>
    </bk>
    <bk>
      <rc t="2" v="3843"/>
    </bk>
    <bk>
      <rc t="2" v="3844"/>
    </bk>
    <bk>
      <rc t="2" v="3845"/>
    </bk>
    <bk>
      <rc t="2" v="3846"/>
    </bk>
    <bk>
      <rc t="2" v="3847"/>
    </bk>
    <bk>
      <rc t="2" v="3848"/>
    </bk>
    <bk>
      <rc t="2" v="3849"/>
    </bk>
    <bk>
      <rc t="2" v="3850"/>
    </bk>
    <bk>
      <rc t="2" v="3851"/>
    </bk>
    <bk>
      <rc t="2" v="3852"/>
    </bk>
    <bk>
      <rc t="2" v="3853"/>
    </bk>
    <bk>
      <rc t="2" v="3854"/>
    </bk>
    <bk>
      <rc t="2" v="3855"/>
    </bk>
    <bk>
      <rc t="2" v="3856"/>
    </bk>
    <bk>
      <rc t="2" v="3857"/>
    </bk>
    <bk>
      <rc t="2" v="3858"/>
    </bk>
    <bk>
      <rc t="2" v="3859"/>
    </bk>
    <bk>
      <rc t="2" v="3860"/>
    </bk>
    <bk>
      <rc t="2" v="3861"/>
    </bk>
    <bk>
      <rc t="2" v="3862"/>
    </bk>
    <bk>
      <rc t="2" v="3863"/>
    </bk>
    <bk>
      <rc t="2" v="3864"/>
    </bk>
    <bk>
      <rc t="2" v="3865"/>
    </bk>
    <bk>
      <rc t="2" v="3866"/>
    </bk>
    <bk>
      <rc t="2" v="3867"/>
    </bk>
    <bk>
      <rc t="2" v="3868"/>
    </bk>
    <bk>
      <rc t="2" v="3869"/>
    </bk>
    <bk>
      <rc t="2" v="3870"/>
    </bk>
    <bk>
      <rc t="2" v="3871"/>
    </bk>
    <bk>
      <rc t="2" v="3872"/>
    </bk>
    <bk>
      <rc t="2" v="3873"/>
    </bk>
    <bk>
      <rc t="2" v="3874"/>
    </bk>
    <bk>
      <rc t="2" v="3875"/>
    </bk>
    <bk>
      <rc t="2" v="3876"/>
    </bk>
    <bk>
      <rc t="2" v="3877"/>
    </bk>
    <bk>
      <rc t="2" v="3878"/>
    </bk>
    <bk>
      <rc t="2" v="3879"/>
    </bk>
    <bk>
      <rc t="2" v="3880"/>
    </bk>
    <bk>
      <rc t="2" v="3881"/>
    </bk>
    <bk>
      <rc t="2" v="3882"/>
    </bk>
    <bk>
      <rc t="2" v="3883"/>
    </bk>
    <bk>
      <rc t="2" v="3884"/>
    </bk>
    <bk>
      <rc t="2" v="3885"/>
    </bk>
    <bk>
      <rc t="2" v="3886"/>
    </bk>
    <bk>
      <rc t="2" v="3887"/>
    </bk>
    <bk>
      <rc t="2" v="3888"/>
    </bk>
    <bk>
      <rc t="2" v="3889"/>
    </bk>
    <bk>
      <rc t="2" v="3890"/>
    </bk>
    <bk>
      <rc t="2" v="3891"/>
    </bk>
    <bk>
      <rc t="2" v="3892"/>
    </bk>
    <bk>
      <rc t="2" v="3893"/>
    </bk>
    <bk>
      <rc t="2" v="3894"/>
    </bk>
    <bk>
      <rc t="2" v="3895"/>
    </bk>
    <bk>
      <rc t="2" v="3896"/>
    </bk>
    <bk>
      <rc t="2" v="3897"/>
    </bk>
    <bk>
      <rc t="2" v="3898"/>
    </bk>
    <bk>
      <rc t="2" v="3899"/>
    </bk>
    <bk>
      <rc t="2" v="3900"/>
    </bk>
    <bk>
      <rc t="2" v="3901"/>
    </bk>
    <bk>
      <rc t="2" v="3902"/>
    </bk>
    <bk>
      <rc t="2" v="3903"/>
    </bk>
    <bk>
      <rc t="2" v="3904"/>
    </bk>
    <bk>
      <rc t="2" v="3905"/>
    </bk>
    <bk>
      <rc t="2" v="3906"/>
    </bk>
    <bk>
      <rc t="2" v="3907"/>
    </bk>
    <bk>
      <rc t="2" v="3908"/>
    </bk>
    <bk>
      <rc t="2" v="3909"/>
    </bk>
    <bk>
      <rc t="2" v="3910"/>
    </bk>
    <bk>
      <rc t="2" v="3911"/>
    </bk>
    <bk>
      <rc t="2" v="3912"/>
    </bk>
    <bk>
      <rc t="2" v="3913"/>
    </bk>
    <bk>
      <rc t="2" v="3914"/>
    </bk>
    <bk>
      <rc t="2" v="3915"/>
    </bk>
    <bk>
      <rc t="2" v="3916"/>
    </bk>
    <bk>
      <rc t="2" v="3917"/>
    </bk>
    <bk>
      <rc t="2" v="3918"/>
    </bk>
    <bk>
      <rc t="2" v="3919"/>
    </bk>
    <bk>
      <rc t="2" v="3920"/>
    </bk>
    <bk>
      <rc t="2" v="3921"/>
    </bk>
    <bk>
      <rc t="2" v="3922"/>
    </bk>
    <bk>
      <rc t="2" v="3923"/>
    </bk>
    <bk>
      <rc t="2" v="3924"/>
    </bk>
    <bk>
      <rc t="2" v="3925"/>
    </bk>
    <bk>
      <rc t="2" v="3926"/>
    </bk>
    <bk>
      <rc t="2" v="3927"/>
    </bk>
    <bk>
      <rc t="2" v="3928"/>
    </bk>
    <bk>
      <rc t="2" v="3929"/>
    </bk>
    <bk>
      <rc t="2" v="3930"/>
    </bk>
    <bk>
      <rc t="2" v="3931"/>
    </bk>
    <bk>
      <rc t="2" v="3932"/>
    </bk>
    <bk>
      <rc t="2" v="3933"/>
    </bk>
    <bk>
      <rc t="2" v="3934"/>
    </bk>
    <bk>
      <rc t="2" v="3935"/>
    </bk>
    <bk>
      <rc t="2" v="3936"/>
    </bk>
    <bk>
      <rc t="2" v="3937"/>
    </bk>
    <bk>
      <rc t="2" v="3938"/>
    </bk>
    <bk>
      <rc t="2" v="3939"/>
    </bk>
    <bk>
      <rc t="2" v="3940"/>
    </bk>
    <bk>
      <rc t="2" v="3941"/>
    </bk>
    <bk>
      <rc t="2" v="3942"/>
    </bk>
    <bk>
      <rc t="2" v="3943"/>
    </bk>
    <bk>
      <rc t="2" v="3944"/>
    </bk>
    <bk>
      <rc t="2" v="3945"/>
    </bk>
    <bk>
      <rc t="2" v="3946"/>
    </bk>
    <bk>
      <rc t="2" v="3947"/>
    </bk>
    <bk>
      <rc t="2" v="3948"/>
    </bk>
    <bk>
      <rc t="2" v="3949"/>
    </bk>
    <bk>
      <rc t="2" v="3950"/>
    </bk>
    <bk>
      <rc t="2" v="3951"/>
    </bk>
    <bk>
      <rc t="2" v="3952"/>
    </bk>
    <bk>
      <rc t="2" v="3953"/>
    </bk>
    <bk>
      <rc t="2" v="3954"/>
    </bk>
    <bk>
      <rc t="2" v="3955"/>
    </bk>
    <bk>
      <rc t="2" v="3956"/>
    </bk>
    <bk>
      <rc t="2" v="3957"/>
    </bk>
    <bk>
      <rc t="2" v="3958"/>
    </bk>
    <bk>
      <rc t="2" v="3959"/>
    </bk>
    <bk>
      <rc t="2" v="3960"/>
    </bk>
    <bk>
      <rc t="2" v="3961"/>
    </bk>
    <bk>
      <rc t="2" v="3962"/>
    </bk>
    <bk>
      <rc t="2" v="3963"/>
    </bk>
    <bk>
      <rc t="2" v="3964"/>
    </bk>
    <bk>
      <rc t="2" v="3965"/>
    </bk>
    <bk>
      <rc t="2" v="3966"/>
    </bk>
    <bk>
      <rc t="2" v="3967"/>
    </bk>
    <bk>
      <rc t="2" v="3968"/>
    </bk>
    <bk>
      <rc t="2" v="3969"/>
    </bk>
    <bk>
      <rc t="2" v="3970"/>
    </bk>
    <bk>
      <rc t="2" v="3971"/>
    </bk>
    <bk>
      <rc t="2" v="3972"/>
    </bk>
    <bk>
      <rc t="2" v="3973"/>
    </bk>
    <bk>
      <rc t="2" v="3974"/>
    </bk>
    <bk>
      <rc t="2" v="3975"/>
    </bk>
    <bk>
      <rc t="2" v="3976"/>
    </bk>
    <bk>
      <rc t="2" v="3977"/>
    </bk>
    <bk>
      <rc t="2" v="3978"/>
    </bk>
    <bk>
      <rc t="2" v="3979"/>
    </bk>
    <bk>
      <rc t="2" v="3980"/>
    </bk>
    <bk>
      <rc t="2" v="3981"/>
    </bk>
    <bk>
      <rc t="2" v="3982"/>
    </bk>
    <bk>
      <rc t="2" v="3983"/>
    </bk>
    <bk>
      <rc t="2" v="3984"/>
    </bk>
    <bk>
      <rc t="2" v="3985"/>
    </bk>
    <bk>
      <rc t="2" v="3986"/>
    </bk>
    <bk>
      <rc t="2" v="3987"/>
    </bk>
    <bk>
      <rc t="2" v="3988"/>
    </bk>
    <bk>
      <rc t="2" v="3989"/>
    </bk>
    <bk>
      <rc t="2" v="3990"/>
    </bk>
    <bk>
      <rc t="2" v="3991"/>
    </bk>
    <bk>
      <rc t="2" v="3992"/>
    </bk>
    <bk>
      <rc t="2" v="3993"/>
    </bk>
    <bk>
      <rc t="2" v="3994"/>
    </bk>
    <bk>
      <rc t="2" v="3995"/>
    </bk>
    <bk>
      <rc t="2" v="3996"/>
    </bk>
    <bk>
      <rc t="2" v="3997"/>
    </bk>
    <bk>
      <rc t="2" v="3998"/>
    </bk>
    <bk>
      <rc t="2" v="3999"/>
    </bk>
    <bk>
      <rc t="2" v="4000"/>
    </bk>
    <bk>
      <rc t="2" v="4001"/>
    </bk>
    <bk>
      <rc t="2" v="4002"/>
    </bk>
    <bk>
      <rc t="2" v="4003"/>
    </bk>
    <bk>
      <rc t="2" v="4004"/>
    </bk>
    <bk>
      <rc t="2" v="4005"/>
    </bk>
    <bk>
      <rc t="2" v="4006"/>
    </bk>
    <bk>
      <rc t="2" v="4007"/>
    </bk>
    <bk>
      <rc t="2" v="4008"/>
    </bk>
    <bk>
      <rc t="2" v="4009"/>
    </bk>
    <bk>
      <rc t="2" v="4010"/>
    </bk>
    <bk>
      <rc t="2" v="4011"/>
    </bk>
    <bk>
      <rc t="2" v="4012"/>
    </bk>
    <bk>
      <rc t="2" v="4013"/>
    </bk>
    <bk>
      <rc t="2" v="4014"/>
    </bk>
    <bk>
      <rc t="2" v="4015"/>
    </bk>
    <bk>
      <rc t="2" v="4016"/>
    </bk>
    <bk>
      <rc t="2" v="4017"/>
    </bk>
    <bk>
      <rc t="2" v="4018"/>
    </bk>
    <bk>
      <rc t="2" v="4019"/>
    </bk>
    <bk>
      <rc t="2" v="4020"/>
    </bk>
    <bk>
      <rc t="2" v="4021"/>
    </bk>
    <bk>
      <rc t="2" v="4022"/>
    </bk>
    <bk>
      <rc t="2" v="4023"/>
    </bk>
    <bk>
      <rc t="2" v="4024"/>
    </bk>
    <bk>
      <rc t="2" v="4025"/>
    </bk>
    <bk>
      <rc t="2" v="4026"/>
    </bk>
    <bk>
      <rc t="2" v="4027"/>
    </bk>
    <bk>
      <rc t="2" v="4028"/>
    </bk>
    <bk>
      <rc t="2" v="4029"/>
    </bk>
    <bk>
      <rc t="2" v="4030"/>
    </bk>
    <bk>
      <rc t="2" v="4031"/>
    </bk>
    <bk>
      <rc t="2" v="4032"/>
    </bk>
    <bk>
      <rc t="2" v="4033"/>
    </bk>
    <bk>
      <rc t="2" v="4034"/>
    </bk>
    <bk>
      <rc t="2" v="4035"/>
    </bk>
    <bk>
      <rc t="2" v="4036"/>
    </bk>
    <bk>
      <rc t="2" v="4037"/>
    </bk>
    <bk>
      <rc t="2" v="4038"/>
    </bk>
    <bk>
      <rc t="2" v="4039"/>
    </bk>
    <bk>
      <rc t="2" v="4040"/>
    </bk>
    <bk>
      <rc t="2" v="4041"/>
    </bk>
    <bk>
      <rc t="2" v="4042"/>
    </bk>
    <bk>
      <rc t="2" v="4043"/>
    </bk>
    <bk>
      <rc t="2" v="4044"/>
    </bk>
    <bk>
      <rc t="2" v="4045"/>
    </bk>
    <bk>
      <rc t="2" v="4046"/>
    </bk>
    <bk>
      <rc t="2" v="4047"/>
    </bk>
    <bk>
      <rc t="2" v="4048"/>
    </bk>
    <bk>
      <rc t="2" v="4049"/>
    </bk>
    <bk>
      <rc t="2" v="4050"/>
    </bk>
    <bk>
      <rc t="2" v="4051"/>
    </bk>
    <bk>
      <rc t="2" v="4052"/>
    </bk>
    <bk>
      <rc t="2" v="4053"/>
    </bk>
    <bk>
      <rc t="2" v="4054"/>
    </bk>
    <bk>
      <rc t="2" v="4055"/>
    </bk>
    <bk>
      <rc t="2" v="4056"/>
    </bk>
    <bk>
      <rc t="2" v="4057"/>
    </bk>
    <bk>
      <rc t="2" v="4058"/>
    </bk>
    <bk>
      <rc t="2" v="4059"/>
    </bk>
    <bk>
      <rc t="2" v="4060"/>
    </bk>
    <bk>
      <rc t="2" v="4061"/>
    </bk>
    <bk>
      <rc t="2" v="4062"/>
    </bk>
    <bk>
      <rc t="2" v="4063"/>
    </bk>
    <bk>
      <rc t="2" v="4064"/>
    </bk>
    <bk>
      <rc t="2" v="4065"/>
    </bk>
    <bk>
      <rc t="2" v="4066"/>
    </bk>
    <bk>
      <rc t="2" v="4067"/>
    </bk>
    <bk>
      <rc t="2" v="4068"/>
    </bk>
    <bk>
      <rc t="2" v="4069"/>
    </bk>
    <bk>
      <rc t="2" v="4070"/>
    </bk>
    <bk>
      <rc t="2" v="4071"/>
    </bk>
    <bk>
      <rc t="2" v="4072"/>
    </bk>
    <bk>
      <rc t="2" v="4073"/>
    </bk>
    <bk>
      <rc t="2" v="4074"/>
    </bk>
    <bk>
      <rc t="2" v="4075"/>
    </bk>
    <bk>
      <rc t="2" v="4076"/>
    </bk>
    <bk>
      <rc t="2" v="4077"/>
    </bk>
    <bk>
      <rc t="2" v="4078"/>
    </bk>
    <bk>
      <rc t="2" v="4079"/>
    </bk>
    <bk>
      <rc t="2" v="4080"/>
    </bk>
    <bk>
      <rc t="2" v="4081"/>
    </bk>
    <bk>
      <rc t="2" v="4082"/>
    </bk>
    <bk>
      <rc t="2" v="4083"/>
    </bk>
    <bk>
      <rc t="2" v="4084"/>
    </bk>
    <bk>
      <rc t="2" v="4085"/>
    </bk>
    <bk>
      <rc t="2" v="4086"/>
    </bk>
    <bk>
      <rc t="2" v="4087"/>
    </bk>
    <bk>
      <rc t="2" v="4088"/>
    </bk>
    <bk>
      <rc t="2" v="4089"/>
    </bk>
    <bk>
      <rc t="2" v="4090"/>
    </bk>
    <bk>
      <rc t="2" v="4091"/>
    </bk>
    <bk>
      <rc t="2" v="4092"/>
    </bk>
    <bk>
      <rc t="2" v="4093"/>
    </bk>
    <bk>
      <rc t="2" v="4094"/>
    </bk>
    <bk>
      <rc t="2" v="4095"/>
    </bk>
    <bk>
      <rc t="2" v="4096"/>
    </bk>
    <bk>
      <rc t="2" v="4097"/>
    </bk>
    <bk>
      <rc t="2" v="4098"/>
    </bk>
    <bk>
      <rc t="2" v="4099"/>
    </bk>
    <bk>
      <rc t="2" v="4100"/>
    </bk>
    <bk>
      <rc t="2" v="4101"/>
    </bk>
    <bk>
      <rc t="2" v="4102"/>
    </bk>
    <bk>
      <rc t="2" v="4103"/>
    </bk>
    <bk>
      <rc t="2" v="4104"/>
    </bk>
    <bk>
      <rc t="2" v="4105"/>
    </bk>
    <bk>
      <rc t="2" v="4106"/>
    </bk>
    <bk>
      <rc t="2" v="4107"/>
    </bk>
    <bk>
      <rc t="2" v="4108"/>
    </bk>
    <bk>
      <rc t="2" v="4109"/>
    </bk>
    <bk>
      <rc t="2" v="4110"/>
    </bk>
    <bk>
      <rc t="2" v="4111"/>
    </bk>
    <bk>
      <rc t="2" v="4112"/>
    </bk>
    <bk>
      <rc t="2" v="4113"/>
    </bk>
    <bk>
      <rc t="2" v="4114"/>
    </bk>
    <bk>
      <rc t="2" v="4115"/>
    </bk>
    <bk>
      <rc t="2" v="4116"/>
    </bk>
    <bk>
      <rc t="2" v="4117"/>
    </bk>
    <bk>
      <rc t="2" v="4118"/>
    </bk>
    <bk>
      <rc t="2" v="4119"/>
    </bk>
    <bk>
      <rc t="2" v="4120"/>
    </bk>
    <bk>
      <rc t="2" v="4121"/>
    </bk>
    <bk>
      <rc t="2" v="4122"/>
    </bk>
    <bk>
      <rc t="2" v="4123"/>
    </bk>
    <bk>
      <rc t="2" v="4124"/>
    </bk>
    <bk>
      <rc t="2" v="4125"/>
    </bk>
    <bk>
      <rc t="2" v="4126"/>
    </bk>
    <bk>
      <rc t="2" v="4127"/>
    </bk>
    <bk>
      <rc t="2" v="4128"/>
    </bk>
    <bk>
      <rc t="2" v="4129"/>
    </bk>
    <bk>
      <rc t="2" v="4130"/>
    </bk>
    <bk>
      <rc t="2" v="4131"/>
    </bk>
    <bk>
      <rc t="2" v="4132"/>
    </bk>
    <bk>
      <rc t="2" v="4133"/>
    </bk>
    <bk>
      <rc t="2" v="4134"/>
    </bk>
    <bk>
      <rc t="2" v="4135"/>
    </bk>
    <bk>
      <rc t="2" v="4136"/>
    </bk>
    <bk>
      <rc t="2" v="4137"/>
    </bk>
    <bk>
      <rc t="2" v="4138"/>
    </bk>
    <bk>
      <rc t="2" v="4139"/>
    </bk>
    <bk>
      <rc t="2" v="4140"/>
    </bk>
    <bk>
      <rc t="2" v="4141"/>
    </bk>
    <bk>
      <rc t="2" v="4142"/>
    </bk>
    <bk>
      <rc t="2" v="4143"/>
    </bk>
    <bk>
      <rc t="2" v="4144"/>
    </bk>
    <bk>
      <rc t="2" v="4145"/>
    </bk>
    <bk>
      <rc t="2" v="4146"/>
    </bk>
    <bk>
      <rc t="2" v="4147"/>
    </bk>
    <bk>
      <rc t="2" v="4148"/>
    </bk>
    <bk>
      <rc t="2" v="4149"/>
    </bk>
    <bk>
      <rc t="2" v="4150"/>
    </bk>
    <bk>
      <rc t="2" v="4151"/>
    </bk>
    <bk>
      <rc t="2" v="4152"/>
    </bk>
    <bk>
      <rc t="2" v="4153"/>
    </bk>
    <bk>
      <rc t="2" v="4154"/>
    </bk>
    <bk>
      <rc t="2" v="4155"/>
    </bk>
    <bk>
      <rc t="2" v="4156"/>
    </bk>
    <bk>
      <rc t="2" v="4157"/>
    </bk>
    <bk>
      <rc t="2" v="4158"/>
    </bk>
    <bk>
      <rc t="2" v="4159"/>
    </bk>
    <bk>
      <rc t="2" v="4160"/>
    </bk>
    <bk>
      <rc t="2" v="4161"/>
    </bk>
    <bk>
      <rc t="2" v="4162"/>
    </bk>
    <bk>
      <rc t="2" v="4163"/>
    </bk>
    <bk>
      <rc t="2" v="4164"/>
    </bk>
    <bk>
      <rc t="2" v="4165"/>
    </bk>
    <bk>
      <rc t="2" v="4166"/>
    </bk>
    <bk>
      <rc t="2" v="4167"/>
    </bk>
    <bk>
      <rc t="2" v="4168"/>
    </bk>
    <bk>
      <rc t="2" v="4169"/>
    </bk>
    <bk>
      <rc t="2" v="4170"/>
    </bk>
    <bk>
      <rc t="2" v="4171"/>
    </bk>
    <bk>
      <rc t="2" v="4172"/>
    </bk>
    <bk>
      <rc t="2" v="4173"/>
    </bk>
    <bk>
      <rc t="2" v="4174"/>
    </bk>
    <bk>
      <rc t="2" v="4175"/>
    </bk>
    <bk>
      <rc t="2" v="4176"/>
    </bk>
    <bk>
      <rc t="2" v="4177"/>
    </bk>
    <bk>
      <rc t="2" v="4178"/>
    </bk>
    <bk>
      <rc t="2" v="4179"/>
    </bk>
    <bk>
      <rc t="2" v="4180"/>
    </bk>
    <bk>
      <rc t="2" v="4181"/>
    </bk>
    <bk>
      <rc t="2" v="4182"/>
    </bk>
    <bk>
      <rc t="2" v="4183"/>
    </bk>
    <bk>
      <rc t="2" v="4184"/>
    </bk>
    <bk>
      <rc t="2" v="4185"/>
    </bk>
    <bk>
      <rc t="2" v="4186"/>
    </bk>
    <bk>
      <rc t="2" v="4187"/>
    </bk>
    <bk>
      <rc t="2" v="4188"/>
    </bk>
    <bk>
      <rc t="2" v="4189"/>
    </bk>
    <bk>
      <rc t="2" v="4190"/>
    </bk>
    <bk>
      <rc t="2" v="4191"/>
    </bk>
    <bk>
      <rc t="2" v="4192"/>
    </bk>
    <bk>
      <rc t="2" v="4193"/>
    </bk>
    <bk>
      <rc t="2" v="4194"/>
    </bk>
    <bk>
      <rc t="2" v="4195"/>
    </bk>
    <bk>
      <rc t="2" v="4196"/>
    </bk>
    <bk>
      <rc t="2" v="4197"/>
    </bk>
    <bk>
      <rc t="2" v="4198"/>
    </bk>
    <bk>
      <rc t="2" v="4199"/>
    </bk>
    <bk>
      <rc t="2" v="4200"/>
    </bk>
    <bk>
      <rc t="2" v="4201"/>
    </bk>
    <bk>
      <rc t="2" v="4202"/>
    </bk>
    <bk>
      <rc t="2" v="4203"/>
    </bk>
    <bk>
      <rc t="2" v="4204"/>
    </bk>
    <bk>
      <rc t="2" v="4205"/>
    </bk>
    <bk>
      <rc t="2" v="4206"/>
    </bk>
    <bk>
      <rc t="2" v="4207"/>
    </bk>
    <bk>
      <rc t="2" v="4208"/>
    </bk>
    <bk>
      <rc t="2" v="4209"/>
    </bk>
    <bk>
      <rc t="2" v="4210"/>
    </bk>
    <bk>
      <rc t="2" v="4211"/>
    </bk>
    <bk>
      <rc t="2" v="4212"/>
    </bk>
    <bk>
      <rc t="2" v="4213"/>
    </bk>
    <bk>
      <rc t="2" v="4214"/>
    </bk>
    <bk>
      <rc t="2" v="4215"/>
    </bk>
    <bk>
      <rc t="2" v="4216"/>
    </bk>
    <bk>
      <rc t="2" v="4217"/>
    </bk>
    <bk>
      <rc t="2" v="4218"/>
    </bk>
    <bk>
      <rc t="2" v="4219"/>
    </bk>
    <bk>
      <rc t="2" v="4220"/>
    </bk>
    <bk>
      <rc t="2" v="4221"/>
    </bk>
    <bk>
      <rc t="2" v="4222"/>
    </bk>
    <bk>
      <rc t="2" v="4223"/>
    </bk>
    <bk>
      <rc t="2" v="4224"/>
    </bk>
    <bk>
      <rc t="2" v="4225"/>
    </bk>
    <bk>
      <rc t="2" v="4226"/>
    </bk>
    <bk>
      <rc t="2" v="4227"/>
    </bk>
    <bk>
      <rc t="2" v="4228"/>
    </bk>
    <bk>
      <rc t="2" v="4229"/>
    </bk>
    <bk>
      <rc t="2" v="4230"/>
    </bk>
    <bk>
      <rc t="2" v="4231"/>
    </bk>
    <bk>
      <rc t="2" v="4232"/>
    </bk>
    <bk>
      <rc t="2" v="4233"/>
    </bk>
    <bk>
      <rc t="2" v="4234"/>
    </bk>
    <bk>
      <rc t="2" v="4235"/>
    </bk>
    <bk>
      <rc t="2" v="4236"/>
    </bk>
    <bk>
      <rc t="2" v="4237"/>
    </bk>
    <bk>
      <rc t="2" v="4238"/>
    </bk>
    <bk>
      <rc t="2" v="4239"/>
    </bk>
    <bk>
      <rc t="2" v="4240"/>
    </bk>
    <bk>
      <rc t="2" v="4241"/>
    </bk>
    <bk>
      <rc t="2" v="4242"/>
    </bk>
    <bk>
      <rc t="2" v="4243"/>
    </bk>
    <bk>
      <rc t="2" v="4244"/>
    </bk>
    <bk>
      <rc t="2" v="4245"/>
    </bk>
    <bk>
      <rc t="2" v="4246"/>
    </bk>
    <bk>
      <rc t="2" v="4247"/>
    </bk>
    <bk>
      <rc t="2" v="4248"/>
    </bk>
    <bk>
      <rc t="2" v="4249"/>
    </bk>
    <bk>
      <rc t="2" v="4250"/>
    </bk>
    <bk>
      <rc t="2" v="4251"/>
    </bk>
    <bk>
      <rc t="2" v="4252"/>
    </bk>
    <bk>
      <rc t="2" v="4253"/>
    </bk>
    <bk>
      <rc t="2" v="4254"/>
    </bk>
    <bk>
      <rc t="2" v="4255"/>
    </bk>
    <bk>
      <rc t="2" v="4256"/>
    </bk>
    <bk>
      <rc t="2" v="4257"/>
    </bk>
    <bk>
      <rc t="2" v="4258"/>
    </bk>
    <bk>
      <rc t="2" v="4259"/>
    </bk>
    <bk>
      <rc t="2" v="4260"/>
    </bk>
    <bk>
      <rc t="2" v="4261"/>
    </bk>
    <bk>
      <rc t="2" v="4262"/>
    </bk>
    <bk>
      <rc t="2" v="4263"/>
    </bk>
    <bk>
      <rc t="2" v="4264"/>
    </bk>
    <bk>
      <rc t="2" v="4265"/>
    </bk>
    <bk>
      <rc t="2" v="4266"/>
    </bk>
    <bk>
      <rc t="2" v="4267"/>
    </bk>
    <bk>
      <rc t="2" v="4268"/>
    </bk>
    <bk>
      <rc t="2" v="4269"/>
    </bk>
    <bk>
      <rc t="2" v="4270"/>
    </bk>
    <bk>
      <rc t="2" v="4271"/>
    </bk>
    <bk>
      <rc t="2" v="4272"/>
    </bk>
    <bk>
      <rc t="2" v="4273"/>
    </bk>
    <bk>
      <rc t="2" v="4274"/>
    </bk>
    <bk>
      <rc t="2" v="4275"/>
    </bk>
    <bk>
      <rc t="2" v="4276"/>
    </bk>
    <bk>
      <rc t="2" v="4277"/>
    </bk>
    <bk>
      <rc t="2" v="4278"/>
    </bk>
    <bk>
      <rc t="2" v="4279"/>
    </bk>
    <bk>
      <rc t="2" v="4280"/>
    </bk>
    <bk>
      <rc t="2" v="4281"/>
    </bk>
    <bk>
      <rc t="2" v="4282"/>
    </bk>
    <bk>
      <rc t="2" v="4283"/>
    </bk>
    <bk>
      <rc t="2" v="4284"/>
    </bk>
    <bk>
      <rc t="2" v="4285"/>
    </bk>
    <bk>
      <rc t="2" v="4286"/>
    </bk>
    <bk>
      <rc t="2" v="4287"/>
    </bk>
    <bk>
      <rc t="2" v="4288"/>
    </bk>
    <bk>
      <rc t="2" v="4289"/>
    </bk>
    <bk>
      <rc t="2" v="4290"/>
    </bk>
    <bk>
      <rc t="2" v="4291"/>
    </bk>
    <bk>
      <rc t="2" v="4292"/>
    </bk>
    <bk>
      <rc t="2" v="4293"/>
    </bk>
    <bk>
      <rc t="2" v="4294"/>
    </bk>
    <bk>
      <rc t="2" v="4295"/>
    </bk>
    <bk>
      <rc t="2" v="4296"/>
    </bk>
    <bk>
      <rc t="2" v="4297"/>
    </bk>
    <bk>
      <rc t="2" v="4298"/>
    </bk>
    <bk>
      <rc t="2" v="4299"/>
    </bk>
    <bk>
      <rc t="2" v="4300"/>
    </bk>
    <bk>
      <rc t="2" v="4301"/>
    </bk>
    <bk>
      <rc t="2" v="4302"/>
    </bk>
    <bk>
      <rc t="2" v="4303"/>
    </bk>
    <bk>
      <rc t="2" v="4304"/>
    </bk>
    <bk>
      <rc t="2" v="4305"/>
    </bk>
    <bk>
      <rc t="2" v="4306"/>
    </bk>
    <bk>
      <rc t="2" v="4307"/>
    </bk>
    <bk>
      <rc t="2" v="4308"/>
    </bk>
    <bk>
      <rc t="2" v="4309"/>
    </bk>
    <bk>
      <rc t="2" v="4310"/>
    </bk>
    <bk>
      <rc t="2" v="4311"/>
    </bk>
    <bk>
      <rc t="2" v="4312"/>
    </bk>
    <bk>
      <rc t="2" v="4313"/>
    </bk>
    <bk>
      <rc t="2" v="4314"/>
    </bk>
    <bk>
      <rc t="2" v="4315"/>
    </bk>
    <bk>
      <rc t="2" v="4316"/>
    </bk>
    <bk>
      <rc t="2" v="4317"/>
    </bk>
    <bk>
      <rc t="2" v="4318"/>
    </bk>
    <bk>
      <rc t="2" v="4319"/>
    </bk>
    <bk>
      <rc t="2" v="4320"/>
    </bk>
    <bk>
      <rc t="2" v="4321"/>
    </bk>
    <bk>
      <rc t="2" v="4322"/>
    </bk>
    <bk>
      <rc t="2" v="4323"/>
    </bk>
    <bk>
      <rc t="2" v="4324"/>
    </bk>
    <bk>
      <rc t="2" v="4325"/>
    </bk>
    <bk>
      <rc t="2" v="4326"/>
    </bk>
    <bk>
      <rc t="2" v="4327"/>
    </bk>
    <bk>
      <rc t="2" v="4328"/>
    </bk>
    <bk>
      <rc t="2" v="4329"/>
    </bk>
    <bk>
      <rc t="2" v="4330"/>
    </bk>
    <bk>
      <rc t="2" v="4331"/>
    </bk>
    <bk>
      <rc t="2" v="4332"/>
    </bk>
    <bk>
      <rc t="2" v="4333"/>
    </bk>
    <bk>
      <rc t="2" v="4334"/>
    </bk>
    <bk>
      <rc t="2" v="4335"/>
    </bk>
    <bk>
      <rc t="2" v="4336"/>
    </bk>
    <bk>
      <rc t="2" v="4337"/>
    </bk>
    <bk>
      <rc t="2" v="4338"/>
    </bk>
    <bk>
      <rc t="2" v="4339"/>
    </bk>
    <bk>
      <rc t="2" v="4340"/>
    </bk>
    <bk>
      <rc t="2" v="4341"/>
    </bk>
    <bk>
      <rc t="2" v="4342"/>
    </bk>
    <bk>
      <rc t="2" v="4343"/>
    </bk>
    <bk>
      <rc t="2" v="4344"/>
    </bk>
    <bk>
      <rc t="2" v="4345"/>
    </bk>
    <bk>
      <rc t="2" v="4346"/>
    </bk>
    <bk>
      <rc t="2" v="4347"/>
    </bk>
    <bk>
      <rc t="2" v="4348"/>
    </bk>
    <bk>
      <rc t="2" v="4349"/>
    </bk>
    <bk>
      <rc t="2" v="4350"/>
    </bk>
    <bk>
      <rc t="2" v="4351"/>
    </bk>
    <bk>
      <rc t="2" v="4352"/>
    </bk>
    <bk>
      <rc t="2" v="4353"/>
    </bk>
    <bk>
      <rc t="2" v="4354"/>
    </bk>
    <bk>
      <rc t="2" v="4355"/>
    </bk>
    <bk>
      <rc t="2" v="4356"/>
    </bk>
    <bk>
      <rc t="2" v="4357"/>
    </bk>
    <bk>
      <rc t="2" v="4358"/>
    </bk>
    <bk>
      <rc t="2" v="4359"/>
    </bk>
    <bk>
      <rc t="2" v="4360"/>
    </bk>
    <bk>
      <rc t="2" v="4361"/>
    </bk>
    <bk>
      <rc t="2" v="4362"/>
    </bk>
    <bk>
      <rc t="2" v="4363"/>
    </bk>
    <bk>
      <rc t="2" v="4364"/>
    </bk>
    <bk>
      <rc t="2" v="4365"/>
    </bk>
    <bk>
      <rc t="2" v="4366"/>
    </bk>
    <bk>
      <rc t="2" v="4367"/>
    </bk>
    <bk>
      <rc t="2" v="4368"/>
    </bk>
    <bk>
      <rc t="2" v="4369"/>
    </bk>
    <bk>
      <rc t="2" v="4370"/>
    </bk>
    <bk>
      <rc t="2" v="4371"/>
    </bk>
    <bk>
      <rc t="2" v="4372"/>
    </bk>
    <bk>
      <rc t="2" v="4373"/>
    </bk>
    <bk>
      <rc t="2" v="4374"/>
    </bk>
    <bk>
      <rc t="2" v="4375"/>
    </bk>
    <bk>
      <rc t="2" v="4376"/>
    </bk>
    <bk>
      <rc t="2" v="4377"/>
    </bk>
    <bk>
      <rc t="2" v="4378"/>
    </bk>
    <bk>
      <rc t="2" v="4379"/>
    </bk>
    <bk>
      <rc t="2" v="4380"/>
    </bk>
    <bk>
      <rc t="2" v="4381"/>
    </bk>
    <bk>
      <rc t="2" v="4382"/>
    </bk>
    <bk>
      <rc t="2" v="4383"/>
    </bk>
    <bk>
      <rc t="2" v="4384"/>
    </bk>
    <bk>
      <rc t="2" v="4385"/>
    </bk>
    <bk>
      <rc t="2" v="4386"/>
    </bk>
    <bk>
      <rc t="2" v="4387"/>
    </bk>
    <bk>
      <rc t="2" v="4388"/>
    </bk>
    <bk>
      <rc t="2" v="4389"/>
    </bk>
    <bk>
      <rc t="2" v="4390"/>
    </bk>
    <bk>
      <rc t="2" v="4391"/>
    </bk>
    <bk>
      <rc t="2" v="4392"/>
    </bk>
    <bk>
      <rc t="2" v="4393"/>
    </bk>
    <bk>
      <rc t="2" v="4394"/>
    </bk>
    <bk>
      <rc t="2" v="4395"/>
    </bk>
    <bk>
      <rc t="2" v="4396"/>
    </bk>
    <bk>
      <rc t="2" v="4397"/>
    </bk>
    <bk>
      <rc t="2" v="4398"/>
    </bk>
    <bk>
      <rc t="2" v="4399"/>
    </bk>
    <bk>
      <rc t="2" v="4400"/>
    </bk>
    <bk>
      <rc t="2" v="4401"/>
    </bk>
    <bk>
      <rc t="2" v="4402"/>
    </bk>
    <bk>
      <rc t="2" v="4403"/>
    </bk>
    <bk>
      <rc t="2" v="4404"/>
    </bk>
    <bk>
      <rc t="2" v="4405"/>
    </bk>
    <bk>
      <rc t="2" v="4406"/>
    </bk>
    <bk>
      <rc t="2" v="4407"/>
    </bk>
    <bk>
      <rc t="2" v="4408"/>
    </bk>
    <bk>
      <rc t="2" v="4409"/>
    </bk>
    <bk>
      <rc t="2" v="4410"/>
    </bk>
    <bk>
      <rc t="2" v="4411"/>
    </bk>
    <bk>
      <rc t="2" v="4412"/>
    </bk>
    <bk>
      <rc t="2" v="4413"/>
    </bk>
    <bk>
      <rc t="2" v="4414"/>
    </bk>
    <bk>
      <rc t="2" v="4415"/>
    </bk>
    <bk>
      <rc t="2" v="4416"/>
    </bk>
    <bk>
      <rc t="2" v="4417"/>
    </bk>
    <bk>
      <rc t="2" v="4418"/>
    </bk>
    <bk>
      <rc t="2" v="4419"/>
    </bk>
    <bk>
      <rc t="2" v="4420"/>
    </bk>
    <bk>
      <rc t="2" v="4421"/>
    </bk>
    <bk>
      <rc t="2" v="4422"/>
    </bk>
    <bk>
      <rc t="2" v="4423"/>
    </bk>
    <bk>
      <rc t="2" v="4424"/>
    </bk>
    <bk>
      <rc t="2" v="4425"/>
    </bk>
    <bk>
      <rc t="2" v="4426"/>
    </bk>
    <bk>
      <rc t="2" v="4427"/>
    </bk>
    <bk>
      <rc t="2" v="4428"/>
    </bk>
    <bk>
      <rc t="2" v="4429"/>
    </bk>
    <bk>
      <rc t="2" v="4430"/>
    </bk>
    <bk>
      <rc t="2" v="4431"/>
    </bk>
    <bk>
      <rc t="2" v="4432"/>
    </bk>
    <bk>
      <rc t="2" v="4433"/>
    </bk>
    <bk>
      <rc t="2" v="4434"/>
    </bk>
    <bk>
      <rc t="2" v="4435"/>
    </bk>
    <bk>
      <rc t="2" v="4436"/>
    </bk>
    <bk>
      <rc t="2" v="4437"/>
    </bk>
    <bk>
      <rc t="2" v="4438"/>
    </bk>
    <bk>
      <rc t="2" v="4439"/>
    </bk>
    <bk>
      <rc t="2" v="4440"/>
    </bk>
    <bk>
      <rc t="2" v="4441"/>
    </bk>
    <bk>
      <rc t="2" v="4442"/>
    </bk>
    <bk>
      <rc t="2" v="4443"/>
    </bk>
    <bk>
      <rc t="2" v="4444"/>
    </bk>
    <bk>
      <rc t="2" v="4445"/>
    </bk>
    <bk>
      <rc t="2" v="4446"/>
    </bk>
    <bk>
      <rc t="2" v="4447"/>
    </bk>
    <bk>
      <rc t="2" v="4448"/>
    </bk>
    <bk>
      <rc t="2" v="4449"/>
    </bk>
    <bk>
      <rc t="2" v="4450"/>
    </bk>
    <bk>
      <rc t="2" v="4451"/>
    </bk>
    <bk>
      <rc t="2" v="4452"/>
    </bk>
    <bk>
      <rc t="2" v="4453"/>
    </bk>
    <bk>
      <rc t="2" v="4454"/>
    </bk>
    <bk>
      <rc t="2" v="4455"/>
    </bk>
    <bk>
      <rc t="2" v="4456"/>
    </bk>
    <bk>
      <rc t="2" v="4457"/>
    </bk>
    <bk>
      <rc t="2" v="4458"/>
    </bk>
    <bk>
      <rc t="2" v="4459"/>
    </bk>
    <bk>
      <rc t="2" v="4460"/>
    </bk>
    <bk>
      <rc t="2" v="4461"/>
    </bk>
    <bk>
      <rc t="2" v="4462"/>
    </bk>
    <bk>
      <rc t="2" v="4463"/>
    </bk>
    <bk>
      <rc t="2" v="4464"/>
    </bk>
    <bk>
      <rc t="2" v="4465"/>
    </bk>
    <bk>
      <rc t="2" v="4466"/>
    </bk>
    <bk>
      <rc t="2" v="4467"/>
    </bk>
    <bk>
      <rc t="2" v="4468"/>
    </bk>
    <bk>
      <rc t="2" v="4469"/>
    </bk>
    <bk>
      <rc t="2" v="4470"/>
    </bk>
    <bk>
      <rc t="2" v="4471"/>
    </bk>
    <bk>
      <rc t="2" v="4472"/>
    </bk>
    <bk>
      <rc t="2" v="4473"/>
    </bk>
    <bk>
      <rc t="2" v="4474"/>
    </bk>
    <bk>
      <rc t="2" v="4475"/>
    </bk>
    <bk>
      <rc t="2" v="4476"/>
    </bk>
    <bk>
      <rc t="2" v="4477"/>
    </bk>
    <bk>
      <rc t="2" v="4478"/>
    </bk>
    <bk>
      <rc t="2" v="4479"/>
    </bk>
    <bk>
      <rc t="2" v="4480"/>
    </bk>
    <bk>
      <rc t="2" v="4481"/>
    </bk>
    <bk>
      <rc t="2" v="4482"/>
    </bk>
    <bk>
      <rc t="2" v="4483"/>
    </bk>
    <bk>
      <rc t="2" v="4484"/>
    </bk>
    <bk>
      <rc t="2" v="4485"/>
    </bk>
    <bk>
      <rc t="2" v="4486"/>
    </bk>
    <bk>
      <rc t="2" v="4487"/>
    </bk>
    <bk>
      <rc t="2" v="4488"/>
    </bk>
    <bk>
      <rc t="2" v="4489"/>
    </bk>
    <bk>
      <rc t="2" v="4490"/>
    </bk>
    <bk>
      <rc t="2" v="4491"/>
    </bk>
    <bk>
      <rc t="2" v="4492"/>
    </bk>
    <bk>
      <rc t="2" v="4493"/>
    </bk>
    <bk>
      <rc t="2" v="4494"/>
    </bk>
    <bk>
      <rc t="2" v="4495"/>
    </bk>
    <bk>
      <rc t="2" v="4496"/>
    </bk>
    <bk>
      <rc t="2" v="4497"/>
    </bk>
    <bk>
      <rc t="2" v="4498"/>
    </bk>
    <bk>
      <rc t="2" v="4499"/>
    </bk>
    <bk>
      <rc t="2" v="4500"/>
    </bk>
    <bk>
      <rc t="2" v="4501"/>
    </bk>
    <bk>
      <rc t="2" v="4502"/>
    </bk>
    <bk>
      <rc t="2" v="4503"/>
    </bk>
    <bk>
      <rc t="2" v="4504"/>
    </bk>
    <bk>
      <rc t="2" v="4505"/>
    </bk>
    <bk>
      <rc t="2" v="4506"/>
    </bk>
    <bk>
      <rc t="2" v="4507"/>
    </bk>
    <bk>
      <rc t="2" v="4508"/>
    </bk>
    <bk>
      <rc t="2" v="4509"/>
    </bk>
    <bk>
      <rc t="2" v="4510"/>
    </bk>
    <bk>
      <rc t="2" v="4511"/>
    </bk>
    <bk>
      <rc t="2" v="4512"/>
    </bk>
    <bk>
      <rc t="2" v="4513"/>
    </bk>
    <bk>
      <rc t="2" v="4514"/>
    </bk>
    <bk>
      <rc t="2" v="4515"/>
    </bk>
    <bk>
      <rc t="2" v="4516"/>
    </bk>
    <bk>
      <rc t="2" v="4517"/>
    </bk>
    <bk>
      <rc t="2" v="4518"/>
    </bk>
    <bk>
      <rc t="2" v="4519"/>
    </bk>
    <bk>
      <rc t="2" v="4520"/>
    </bk>
    <bk>
      <rc t="2" v="4521"/>
    </bk>
    <bk>
      <rc t="2" v="4522"/>
    </bk>
    <bk>
      <rc t="2" v="4523"/>
    </bk>
    <bk>
      <rc t="2" v="4524"/>
    </bk>
    <bk>
      <rc t="2" v="4525"/>
    </bk>
    <bk>
      <rc t="2" v="4526"/>
    </bk>
    <bk>
      <rc t="2" v="4527"/>
    </bk>
    <bk>
      <rc t="2" v="4528"/>
    </bk>
    <bk>
      <rc t="2" v="4529"/>
    </bk>
    <bk>
      <rc t="2" v="4530"/>
    </bk>
    <bk>
      <rc t="2" v="4531"/>
    </bk>
    <bk>
      <rc t="2" v="4532"/>
    </bk>
    <bk>
      <rc t="2" v="4533"/>
    </bk>
    <bk>
      <rc t="2" v="4534"/>
    </bk>
    <bk>
      <rc t="2" v="4535"/>
    </bk>
    <bk>
      <rc t="2" v="4536"/>
    </bk>
    <bk>
      <rc t="2" v="4537"/>
    </bk>
    <bk>
      <rc t="2" v="4538"/>
    </bk>
    <bk>
      <rc t="2" v="4539"/>
    </bk>
    <bk>
      <rc t="2" v="4540"/>
    </bk>
    <bk>
      <rc t="2" v="4541"/>
    </bk>
    <bk>
      <rc t="2" v="4542"/>
    </bk>
    <bk>
      <rc t="2" v="4543"/>
    </bk>
    <bk>
      <rc t="2" v="4544"/>
    </bk>
    <bk>
      <rc t="2" v="4545"/>
    </bk>
    <bk>
      <rc t="2" v="4546"/>
    </bk>
    <bk>
      <rc t="2" v="4547"/>
    </bk>
    <bk>
      <rc t="2" v="4548"/>
    </bk>
    <bk>
      <rc t="2" v="4549"/>
    </bk>
    <bk>
      <rc t="2" v="4550"/>
    </bk>
    <bk>
      <rc t="2" v="4551"/>
    </bk>
    <bk>
      <rc t="2" v="4552"/>
    </bk>
    <bk>
      <rc t="2" v="4553"/>
    </bk>
    <bk>
      <rc t="2" v="4554"/>
    </bk>
    <bk>
      <rc t="2" v="4555"/>
    </bk>
    <bk>
      <rc t="2" v="4556"/>
    </bk>
    <bk>
      <rc t="2" v="4557"/>
    </bk>
    <bk>
      <rc t="2" v="4558"/>
    </bk>
    <bk>
      <rc t="2" v="4559"/>
    </bk>
    <bk>
      <rc t="2" v="4560"/>
    </bk>
    <bk>
      <rc t="2" v="4561"/>
    </bk>
    <bk>
      <rc t="2" v="4562"/>
    </bk>
    <bk>
      <rc t="2" v="4563"/>
    </bk>
    <bk>
      <rc t="2" v="4564"/>
    </bk>
    <bk>
      <rc t="2" v="4565"/>
    </bk>
    <bk>
      <rc t="2" v="4566"/>
    </bk>
    <bk>
      <rc t="2" v="4567"/>
    </bk>
    <bk>
      <rc t="2" v="4568"/>
    </bk>
    <bk>
      <rc t="2" v="4569"/>
    </bk>
    <bk>
      <rc t="2" v="4570"/>
    </bk>
    <bk>
      <rc t="2" v="4571"/>
    </bk>
    <bk>
      <rc t="2" v="4572"/>
    </bk>
    <bk>
      <rc t="2" v="4573"/>
    </bk>
    <bk>
      <rc t="2" v="4574"/>
    </bk>
    <bk>
      <rc t="2" v="4575"/>
    </bk>
    <bk>
      <rc t="2" v="4576"/>
    </bk>
    <bk>
      <rc t="2" v="4577"/>
    </bk>
    <bk>
      <rc t="2" v="4578"/>
    </bk>
    <bk>
      <rc t="2" v="4579"/>
    </bk>
    <bk>
      <rc t="2" v="4580"/>
    </bk>
    <bk>
      <rc t="2" v="4581"/>
    </bk>
    <bk>
      <rc t="2" v="4582"/>
    </bk>
    <bk>
      <rc t="2" v="4583"/>
    </bk>
    <bk>
      <rc t="2" v="4584"/>
    </bk>
    <bk>
      <rc t="2" v="4585"/>
    </bk>
    <bk>
      <rc t="2" v="4586"/>
    </bk>
    <bk>
      <rc t="2" v="4587"/>
    </bk>
    <bk>
      <rc t="2" v="4588"/>
    </bk>
    <bk>
      <rc t="2" v="4589"/>
    </bk>
    <bk>
      <rc t="2" v="4590"/>
    </bk>
    <bk>
      <rc t="2" v="4591"/>
    </bk>
    <bk>
      <rc t="2" v="4592"/>
    </bk>
    <bk>
      <rc t="2" v="4593"/>
    </bk>
    <bk>
      <rc t="2" v="4594"/>
    </bk>
    <bk>
      <rc t="2" v="4595"/>
    </bk>
    <bk>
      <rc t="2" v="4596"/>
    </bk>
    <bk>
      <rc t="2" v="4597"/>
    </bk>
    <bk>
      <rc t="2" v="4598"/>
    </bk>
    <bk>
      <rc t="2" v="4599"/>
    </bk>
    <bk>
      <rc t="2" v="4600"/>
    </bk>
    <bk>
      <rc t="2" v="4601"/>
    </bk>
    <bk>
      <rc t="2" v="4602"/>
    </bk>
    <bk>
      <rc t="2" v="4603"/>
    </bk>
    <bk>
      <rc t="2" v="4604"/>
    </bk>
    <bk>
      <rc t="2" v="4605"/>
    </bk>
    <bk>
      <rc t="2" v="4606"/>
    </bk>
    <bk>
      <rc t="2" v="4607"/>
    </bk>
    <bk>
      <rc t="2" v="4608"/>
    </bk>
    <bk>
      <rc t="2" v="4609"/>
    </bk>
    <bk>
      <rc t="2" v="4610"/>
    </bk>
    <bk>
      <rc t="2" v="4611"/>
    </bk>
    <bk>
      <rc t="2" v="4612"/>
    </bk>
    <bk>
      <rc t="2" v="4613"/>
    </bk>
    <bk>
      <rc t="2" v="4614"/>
    </bk>
    <bk>
      <rc t="2" v="4615"/>
    </bk>
    <bk>
      <rc t="2" v="4616"/>
    </bk>
    <bk>
      <rc t="2" v="4617"/>
    </bk>
    <bk>
      <rc t="2" v="4618"/>
    </bk>
    <bk>
      <rc t="2" v="4619"/>
    </bk>
    <bk>
      <rc t="2" v="4620"/>
    </bk>
    <bk>
      <rc t="2" v="4621"/>
    </bk>
    <bk>
      <rc t="2" v="4622"/>
    </bk>
    <bk>
      <rc t="2" v="4623"/>
    </bk>
    <bk>
      <rc t="2" v="4624"/>
    </bk>
    <bk>
      <rc t="2" v="4625"/>
    </bk>
    <bk>
      <rc t="2" v="4626"/>
    </bk>
    <bk>
      <rc t="2" v="4627"/>
    </bk>
    <bk>
      <rc t="2" v="4628"/>
    </bk>
    <bk>
      <rc t="2" v="4629"/>
    </bk>
    <bk>
      <rc t="2" v="4630"/>
    </bk>
    <bk>
      <rc t="2" v="4631"/>
    </bk>
    <bk>
      <rc t="2" v="4632"/>
    </bk>
    <bk>
      <rc t="2" v="4633"/>
    </bk>
    <bk>
      <rc t="2" v="4634"/>
    </bk>
    <bk>
      <rc t="2" v="4635"/>
    </bk>
    <bk>
      <rc t="2" v="4636"/>
    </bk>
    <bk>
      <rc t="2" v="4637"/>
    </bk>
    <bk>
      <rc t="2" v="4638"/>
    </bk>
    <bk>
      <rc t="2" v="4639"/>
    </bk>
    <bk>
      <rc t="2" v="4640"/>
    </bk>
    <bk>
      <rc t="2" v="4641"/>
    </bk>
    <bk>
      <rc t="2" v="4642"/>
    </bk>
    <bk>
      <rc t="2" v="4643"/>
    </bk>
    <bk>
      <rc t="2" v="4644"/>
    </bk>
    <bk>
      <rc t="2" v="4645"/>
    </bk>
    <bk>
      <rc t="2" v="4646"/>
    </bk>
    <bk>
      <rc t="2" v="4647"/>
    </bk>
    <bk>
      <rc t="2" v="4648"/>
    </bk>
    <bk>
      <rc t="2" v="4649"/>
    </bk>
    <bk>
      <rc t="2" v="4650"/>
    </bk>
    <bk>
      <rc t="2" v="4651"/>
    </bk>
    <bk>
      <rc t="2" v="4652"/>
    </bk>
    <bk>
      <rc t="2" v="4653"/>
    </bk>
    <bk>
      <rc t="2" v="4654"/>
    </bk>
    <bk>
      <rc t="2" v="4655"/>
    </bk>
    <bk>
      <rc t="2" v="4656"/>
    </bk>
    <bk>
      <rc t="2" v="4657"/>
    </bk>
    <bk>
      <rc t="2" v="4658"/>
    </bk>
    <bk>
      <rc t="2" v="4659"/>
    </bk>
    <bk>
      <rc t="2" v="4660"/>
    </bk>
    <bk>
      <rc t="2" v="4661"/>
    </bk>
    <bk>
      <rc t="2" v="4662"/>
    </bk>
    <bk>
      <rc t="2" v="4663"/>
    </bk>
    <bk>
      <rc t="2" v="4664"/>
    </bk>
    <bk>
      <rc t="2" v="4665"/>
    </bk>
    <bk>
      <rc t="2" v="4666"/>
    </bk>
    <bk>
      <rc t="2" v="4667"/>
    </bk>
    <bk>
      <rc t="2" v="4668"/>
    </bk>
    <bk>
      <rc t="2" v="4669"/>
    </bk>
    <bk>
      <rc t="2" v="4670"/>
    </bk>
    <bk>
      <rc t="2" v="4671"/>
    </bk>
    <bk>
      <rc t="2" v="4672"/>
    </bk>
    <bk>
      <rc t="2" v="4673"/>
    </bk>
    <bk>
      <rc t="2" v="4674"/>
    </bk>
    <bk>
      <rc t="2" v="4675"/>
    </bk>
    <bk>
      <rc t="2" v="4676"/>
    </bk>
    <bk>
      <rc t="2" v="4677"/>
    </bk>
    <bk>
      <rc t="2" v="4678"/>
    </bk>
    <bk>
      <rc t="2" v="4679"/>
    </bk>
    <bk>
      <rc t="2" v="4680"/>
    </bk>
    <bk>
      <rc t="2" v="4681"/>
    </bk>
    <bk>
      <rc t="2" v="4682"/>
    </bk>
    <bk>
      <rc t="2" v="4683"/>
    </bk>
    <bk>
      <rc t="2" v="4684"/>
    </bk>
    <bk>
      <rc t="2" v="4685"/>
    </bk>
    <bk>
      <rc t="2" v="4686"/>
    </bk>
    <bk>
      <rc t="2" v="4687"/>
    </bk>
    <bk>
      <rc t="2" v="4688"/>
    </bk>
    <bk>
      <rc t="2" v="4689"/>
    </bk>
    <bk>
      <rc t="2" v="4690"/>
    </bk>
    <bk>
      <rc t="2" v="4691"/>
    </bk>
    <bk>
      <rc t="2" v="4692"/>
    </bk>
    <bk>
      <rc t="2" v="4693"/>
    </bk>
    <bk>
      <rc t="2" v="4694"/>
    </bk>
    <bk>
      <rc t="2" v="4695"/>
    </bk>
    <bk>
      <rc t="2" v="4696"/>
    </bk>
    <bk>
      <rc t="2" v="4697"/>
    </bk>
    <bk>
      <rc t="2" v="4698"/>
    </bk>
    <bk>
      <rc t="2" v="4699"/>
    </bk>
    <bk>
      <rc t="2" v="4700"/>
    </bk>
    <bk>
      <rc t="2" v="4701"/>
    </bk>
    <bk>
      <rc t="2" v="4702"/>
    </bk>
    <bk>
      <rc t="2" v="4703"/>
    </bk>
    <bk>
      <rc t="2" v="4704"/>
    </bk>
    <bk>
      <rc t="2" v="4705"/>
    </bk>
    <bk>
      <rc t="2" v="4706"/>
    </bk>
    <bk>
      <rc t="2" v="4707"/>
    </bk>
    <bk>
      <rc t="2" v="4708"/>
    </bk>
    <bk>
      <rc t="2" v="4709"/>
    </bk>
    <bk>
      <rc t="2" v="4710"/>
    </bk>
    <bk>
      <rc t="2" v="4711"/>
    </bk>
    <bk>
      <rc t="2" v="4712"/>
    </bk>
    <bk>
      <rc t="2" v="4713"/>
    </bk>
    <bk>
      <rc t="2" v="4714"/>
    </bk>
    <bk>
      <rc t="2" v="4715"/>
    </bk>
    <bk>
      <rc t="2" v="4716"/>
    </bk>
    <bk>
      <rc t="2" v="4717"/>
    </bk>
    <bk>
      <rc t="2" v="4718"/>
    </bk>
    <bk>
      <rc t="2" v="4719"/>
    </bk>
    <bk>
      <rc t="2" v="4720"/>
    </bk>
    <bk>
      <rc t="2" v="4721"/>
    </bk>
    <bk>
      <rc t="2" v="4722"/>
    </bk>
    <bk>
      <rc t="2" v="4723"/>
    </bk>
    <bk>
      <rc t="2" v="4724"/>
    </bk>
    <bk>
      <rc t="2" v="4725"/>
    </bk>
    <bk>
      <rc t="2" v="4726"/>
    </bk>
    <bk>
      <rc t="2" v="4727"/>
    </bk>
    <bk>
      <rc t="2" v="4728"/>
    </bk>
    <bk>
      <rc t="2" v="4729"/>
    </bk>
    <bk>
      <rc t="2" v="4730"/>
    </bk>
    <bk>
      <rc t="2" v="4731"/>
    </bk>
    <bk>
      <rc t="2" v="4732"/>
    </bk>
    <bk>
      <rc t="2" v="4733"/>
    </bk>
    <bk>
      <rc t="2" v="4734"/>
    </bk>
    <bk>
      <rc t="2" v="4735"/>
    </bk>
    <bk>
      <rc t="2" v="4736"/>
    </bk>
    <bk>
      <rc t="2" v="4737"/>
    </bk>
    <bk>
      <rc t="2" v="4738"/>
    </bk>
    <bk>
      <rc t="2" v="4739"/>
    </bk>
    <bk>
      <rc t="2" v="4740"/>
    </bk>
    <bk>
      <rc t="2" v="4741"/>
    </bk>
    <bk>
      <rc t="2" v="4742"/>
    </bk>
    <bk>
      <rc t="2" v="4743"/>
    </bk>
    <bk>
      <rc t="2" v="4744"/>
    </bk>
    <bk>
      <rc t="2" v="4745"/>
    </bk>
    <bk>
      <rc t="2" v="4746"/>
    </bk>
    <bk>
      <rc t="2" v="4747"/>
    </bk>
    <bk>
      <rc t="2" v="4748"/>
    </bk>
    <bk>
      <rc t="2" v="4749"/>
    </bk>
    <bk>
      <rc t="2" v="4750"/>
    </bk>
    <bk>
      <rc t="2" v="4751"/>
    </bk>
    <bk>
      <rc t="2" v="4752"/>
    </bk>
    <bk>
      <rc t="2" v="4753"/>
    </bk>
    <bk>
      <rc t="2" v="4754"/>
    </bk>
    <bk>
      <rc t="2" v="4755"/>
    </bk>
    <bk>
      <rc t="2" v="4756"/>
    </bk>
    <bk>
      <rc t="2" v="4757"/>
    </bk>
    <bk>
      <rc t="2" v="4758"/>
    </bk>
    <bk>
      <rc t="2" v="4759"/>
    </bk>
    <bk>
      <rc t="2" v="4760"/>
    </bk>
    <bk>
      <rc t="2" v="4761"/>
    </bk>
    <bk>
      <rc t="2" v="4762"/>
    </bk>
    <bk>
      <rc t="2" v="4763"/>
    </bk>
    <bk>
      <rc t="2" v="4764"/>
    </bk>
    <bk>
      <rc t="2" v="4765"/>
    </bk>
    <bk>
      <rc t="2" v="4766"/>
    </bk>
    <bk>
      <rc t="2" v="4767"/>
    </bk>
    <bk>
      <rc t="2" v="4768"/>
    </bk>
    <bk>
      <rc t="2" v="4769"/>
    </bk>
    <bk>
      <rc t="2" v="4770"/>
    </bk>
    <bk>
      <rc t="2" v="4771"/>
    </bk>
    <bk>
      <rc t="2" v="4772"/>
    </bk>
    <bk>
      <rc t="2" v="4773"/>
    </bk>
    <bk>
      <rc t="2" v="4774"/>
    </bk>
    <bk>
      <rc t="2" v="4775"/>
    </bk>
    <bk>
      <rc t="2" v="4776"/>
    </bk>
    <bk>
      <rc t="2" v="4777"/>
    </bk>
    <bk>
      <rc t="2" v="4778"/>
    </bk>
    <bk>
      <rc t="2" v="4779"/>
    </bk>
    <bk>
      <rc t="2" v="4780"/>
    </bk>
    <bk>
      <rc t="2" v="4781"/>
    </bk>
    <bk>
      <rc t="2" v="4782"/>
    </bk>
    <bk>
      <rc t="2" v="4783"/>
    </bk>
    <bk>
      <rc t="2" v="4784"/>
    </bk>
    <bk>
      <rc t="2" v="4785"/>
    </bk>
    <bk>
      <rc t="2" v="4786"/>
    </bk>
    <bk>
      <rc t="2" v="4787"/>
    </bk>
    <bk>
      <rc t="2" v="4788"/>
    </bk>
    <bk>
      <rc t="2" v="4789"/>
    </bk>
    <bk>
      <rc t="2" v="4790"/>
    </bk>
    <bk>
      <rc t="2" v="4791"/>
    </bk>
    <bk>
      <rc t="2" v="4792"/>
    </bk>
    <bk>
      <rc t="2" v="4793"/>
    </bk>
    <bk>
      <rc t="2" v="4794"/>
    </bk>
    <bk>
      <rc t="2" v="4795"/>
    </bk>
    <bk>
      <rc t="2" v="4796"/>
    </bk>
    <bk>
      <rc t="2" v="4797"/>
    </bk>
    <bk>
      <rc t="2" v="4798"/>
    </bk>
    <bk>
      <rc t="2" v="4799"/>
    </bk>
    <bk>
      <rc t="2" v="4800"/>
    </bk>
    <bk>
      <rc t="2" v="4801"/>
    </bk>
    <bk>
      <rc t="2" v="4802"/>
    </bk>
    <bk>
      <rc t="2" v="4803"/>
    </bk>
    <bk>
      <rc t="2" v="4804"/>
    </bk>
    <bk>
      <rc t="2" v="4805"/>
    </bk>
    <bk>
      <rc t="2" v="4806"/>
    </bk>
    <bk>
      <rc t="2" v="4807"/>
    </bk>
    <bk>
      <rc t="2" v="4808"/>
    </bk>
    <bk>
      <rc t="2" v="4809"/>
    </bk>
    <bk>
      <rc t="2" v="4810"/>
    </bk>
    <bk>
      <rc t="2" v="4811"/>
    </bk>
    <bk>
      <rc t="2" v="4812"/>
    </bk>
    <bk>
      <rc t="2" v="4813"/>
    </bk>
    <bk>
      <rc t="2" v="4814"/>
    </bk>
    <bk>
      <rc t="2" v="4815"/>
    </bk>
    <bk>
      <rc t="2" v="4816"/>
    </bk>
    <bk>
      <rc t="2" v="4817"/>
    </bk>
    <bk>
      <rc t="2" v="4818"/>
    </bk>
    <bk>
      <rc t="2" v="4819"/>
    </bk>
    <bk>
      <rc t="2" v="4820"/>
    </bk>
    <bk>
      <rc t="2" v="4821"/>
    </bk>
    <bk>
      <rc t="2" v="4822"/>
    </bk>
    <bk>
      <rc t="2" v="4823"/>
    </bk>
    <bk>
      <rc t="2" v="4824"/>
    </bk>
    <bk>
      <rc t="2" v="4825"/>
    </bk>
    <bk>
      <rc t="2" v="4826"/>
    </bk>
    <bk>
      <rc t="2" v="4827"/>
    </bk>
    <bk>
      <rc t="2" v="4828"/>
    </bk>
    <bk>
      <rc t="2" v="4829"/>
    </bk>
    <bk>
      <rc t="2" v="4830"/>
    </bk>
    <bk>
      <rc t="2" v="4831"/>
    </bk>
    <bk>
      <rc t="2" v="4832"/>
    </bk>
    <bk>
      <rc t="2" v="4833"/>
    </bk>
    <bk>
      <rc t="2" v="4834"/>
    </bk>
    <bk>
      <rc t="2" v="4835"/>
    </bk>
    <bk>
      <rc t="2" v="4836"/>
    </bk>
    <bk>
      <rc t="2" v="4837"/>
    </bk>
    <bk>
      <rc t="2" v="4838"/>
    </bk>
    <bk>
      <rc t="2" v="4839"/>
    </bk>
    <bk>
      <rc t="2" v="4840"/>
    </bk>
    <bk>
      <rc t="2" v="4841"/>
    </bk>
    <bk>
      <rc t="2" v="4842"/>
    </bk>
    <bk>
      <rc t="2" v="4843"/>
    </bk>
    <bk>
      <rc t="2" v="4844"/>
    </bk>
    <bk>
      <rc t="2" v="4845"/>
    </bk>
    <bk>
      <rc t="2" v="4846"/>
    </bk>
    <bk>
      <rc t="2" v="4847"/>
    </bk>
    <bk>
      <rc t="2" v="4848"/>
    </bk>
    <bk>
      <rc t="2" v="4849"/>
    </bk>
    <bk>
      <rc t="2" v="4850"/>
    </bk>
    <bk>
      <rc t="2" v="4851"/>
    </bk>
    <bk>
      <rc t="2" v="4852"/>
    </bk>
    <bk>
      <rc t="2" v="4853"/>
    </bk>
    <bk>
      <rc t="2" v="4854"/>
    </bk>
    <bk>
      <rc t="2" v="4855"/>
    </bk>
    <bk>
      <rc t="2" v="4856"/>
    </bk>
    <bk>
      <rc t="2" v="4857"/>
    </bk>
    <bk>
      <rc t="2" v="4858"/>
    </bk>
    <bk>
      <rc t="2" v="4859"/>
    </bk>
    <bk>
      <rc t="2" v="4860"/>
    </bk>
    <bk>
      <rc t="2" v="4861"/>
    </bk>
    <bk>
      <rc t="2" v="4862"/>
    </bk>
    <bk>
      <rc t="2" v="4863"/>
    </bk>
    <bk>
      <rc t="2" v="4864"/>
    </bk>
    <bk>
      <rc t="2" v="4865"/>
    </bk>
    <bk>
      <rc t="2" v="4866"/>
    </bk>
    <bk>
      <rc t="2" v="4867"/>
    </bk>
    <bk>
      <rc t="2" v="4868"/>
    </bk>
    <bk>
      <rc t="2" v="4869"/>
    </bk>
    <bk>
      <rc t="2" v="4870"/>
    </bk>
    <bk>
      <rc t="2" v="4871"/>
    </bk>
    <bk>
      <rc t="2" v="4872"/>
    </bk>
    <bk>
      <rc t="2" v="4873"/>
    </bk>
    <bk>
      <rc t="2" v="4874"/>
    </bk>
    <bk>
      <rc t="2" v="4875"/>
    </bk>
    <bk>
      <rc t="2" v="4876"/>
    </bk>
    <bk>
      <rc t="2" v="4877"/>
    </bk>
    <bk>
      <rc t="2" v="4878"/>
    </bk>
    <bk>
      <rc t="2" v="4879"/>
    </bk>
    <bk>
      <rc t="2" v="4880"/>
    </bk>
    <bk>
      <rc t="2" v="4881"/>
    </bk>
    <bk>
      <rc t="2" v="4882"/>
    </bk>
    <bk>
      <rc t="2" v="4883"/>
    </bk>
    <bk>
      <rc t="2" v="4884"/>
    </bk>
    <bk>
      <rc t="2" v="4885"/>
    </bk>
    <bk>
      <rc t="2" v="4886"/>
    </bk>
    <bk>
      <rc t="2" v="4887"/>
    </bk>
    <bk>
      <rc t="2" v="4888"/>
    </bk>
    <bk>
      <rc t="2" v="4889"/>
    </bk>
    <bk>
      <rc t="2" v="4890"/>
    </bk>
    <bk>
      <rc t="2" v="4891"/>
    </bk>
    <bk>
      <rc t="2" v="4892"/>
    </bk>
    <bk>
      <rc t="2" v="4893"/>
    </bk>
    <bk>
      <rc t="2" v="4894"/>
    </bk>
    <bk>
      <rc t="2" v="4895"/>
    </bk>
    <bk>
      <rc t="2" v="4896"/>
    </bk>
    <bk>
      <rc t="2" v="4897"/>
    </bk>
    <bk>
      <rc t="2" v="4898"/>
    </bk>
    <bk>
      <rc t="2" v="4899"/>
    </bk>
    <bk>
      <rc t="2" v="4900"/>
    </bk>
    <bk>
      <rc t="2" v="4901"/>
    </bk>
    <bk>
      <rc t="2" v="4902"/>
    </bk>
    <bk>
      <rc t="2" v="4903"/>
    </bk>
    <bk>
      <rc t="2" v="4904"/>
    </bk>
    <bk>
      <rc t="2" v="4905"/>
    </bk>
    <bk>
      <rc t="2" v="4906"/>
    </bk>
    <bk>
      <rc t="2" v="4907"/>
    </bk>
    <bk>
      <rc t="2" v="4908"/>
    </bk>
    <bk>
      <rc t="2" v="4909"/>
    </bk>
    <bk>
      <rc t="2" v="4910"/>
    </bk>
    <bk>
      <rc t="2" v="4911"/>
    </bk>
    <bk>
      <rc t="2" v="4912"/>
    </bk>
    <bk>
      <rc t="2" v="4913"/>
    </bk>
    <bk>
      <rc t="2" v="4914"/>
    </bk>
    <bk>
      <rc t="2" v="4915"/>
    </bk>
    <bk>
      <rc t="2" v="4916"/>
    </bk>
    <bk>
      <rc t="2" v="4917"/>
    </bk>
    <bk>
      <rc t="2" v="4918"/>
    </bk>
    <bk>
      <rc t="2" v="4919"/>
    </bk>
    <bk>
      <rc t="2" v="4920"/>
    </bk>
    <bk>
      <rc t="2" v="4921"/>
    </bk>
    <bk>
      <rc t="2" v="4922"/>
    </bk>
    <bk>
      <rc t="2" v="4923"/>
    </bk>
    <bk>
      <rc t="2" v="4924"/>
    </bk>
    <bk>
      <rc t="2" v="4925"/>
    </bk>
    <bk>
      <rc t="2" v="4926"/>
    </bk>
    <bk>
      <rc t="2" v="4927"/>
    </bk>
    <bk>
      <rc t="2" v="4928"/>
    </bk>
    <bk>
      <rc t="2" v="4929"/>
    </bk>
    <bk>
      <rc t="2" v="4930"/>
    </bk>
    <bk>
      <rc t="2" v="4931"/>
    </bk>
    <bk>
      <rc t="2" v="4932"/>
    </bk>
    <bk>
      <rc t="2" v="4933"/>
    </bk>
    <bk>
      <rc t="2" v="4934"/>
    </bk>
    <bk>
      <rc t="2" v="4935"/>
    </bk>
    <bk>
      <rc t="2" v="4936"/>
    </bk>
    <bk>
      <rc t="2" v="4937"/>
    </bk>
    <bk>
      <rc t="2" v="4938"/>
    </bk>
    <bk>
      <rc t="2" v="4939"/>
    </bk>
    <bk>
      <rc t="2" v="4940"/>
    </bk>
    <bk>
      <rc t="2" v="4941"/>
    </bk>
    <bk>
      <rc t="2" v="4942"/>
    </bk>
    <bk>
      <rc t="2" v="4943"/>
    </bk>
    <bk>
      <rc t="2" v="4944"/>
    </bk>
    <bk>
      <rc t="2" v="4945"/>
    </bk>
    <bk>
      <rc t="2" v="4946"/>
    </bk>
    <bk>
      <rc t="2" v="4947"/>
    </bk>
    <bk>
      <rc t="2" v="4948"/>
    </bk>
    <bk>
      <rc t="2" v="4949"/>
    </bk>
    <bk>
      <rc t="2" v="4950"/>
    </bk>
    <bk>
      <rc t="2" v="4951"/>
    </bk>
    <bk>
      <rc t="2" v="4952"/>
    </bk>
    <bk>
      <rc t="2" v="4953"/>
    </bk>
    <bk>
      <rc t="2" v="4954"/>
    </bk>
    <bk>
      <rc t="2" v="4955"/>
    </bk>
    <bk>
      <rc t="2" v="4956"/>
    </bk>
    <bk>
      <rc t="2" v="4957"/>
    </bk>
    <bk>
      <rc t="2" v="4958"/>
    </bk>
    <bk>
      <rc t="2" v="4959"/>
    </bk>
    <bk>
      <rc t="2" v="4960"/>
    </bk>
    <bk>
      <rc t="2" v="4961"/>
    </bk>
    <bk>
      <rc t="2" v="4962"/>
    </bk>
    <bk>
      <rc t="2" v="4963"/>
    </bk>
    <bk>
      <rc t="2" v="4964"/>
    </bk>
    <bk>
      <rc t="2" v="4965"/>
    </bk>
    <bk>
      <rc t="2" v="4966"/>
    </bk>
    <bk>
      <rc t="2" v="4967"/>
    </bk>
    <bk>
      <rc t="2" v="4968"/>
    </bk>
    <bk>
      <rc t="2" v="4969"/>
    </bk>
    <bk>
      <rc t="2" v="4970"/>
    </bk>
    <bk>
      <rc t="2" v="4971"/>
    </bk>
    <bk>
      <rc t="2" v="4972"/>
    </bk>
    <bk>
      <rc t="2" v="4973"/>
    </bk>
    <bk>
      <rc t="2" v="4974"/>
    </bk>
    <bk>
      <rc t="2" v="4975"/>
    </bk>
    <bk>
      <rc t="2" v="4976"/>
    </bk>
    <bk>
      <rc t="2" v="4977"/>
    </bk>
    <bk>
      <rc t="2" v="4978"/>
    </bk>
    <bk>
      <rc t="2" v="4979"/>
    </bk>
    <bk>
      <rc t="2" v="4980"/>
    </bk>
    <bk>
      <rc t="2" v="4981"/>
    </bk>
    <bk>
      <rc t="2" v="4982"/>
    </bk>
    <bk>
      <rc t="2" v="4983"/>
    </bk>
    <bk>
      <rc t="2" v="4984"/>
    </bk>
    <bk>
      <rc t="2" v="4985"/>
    </bk>
    <bk>
      <rc t="2" v="4986"/>
    </bk>
    <bk>
      <rc t="2" v="4987"/>
    </bk>
    <bk>
      <rc t="2" v="4988"/>
    </bk>
    <bk>
      <rc t="2" v="4989"/>
    </bk>
    <bk>
      <rc t="2" v="4990"/>
    </bk>
    <bk>
      <rc t="2" v="4991"/>
    </bk>
    <bk>
      <rc t="2" v="4992"/>
    </bk>
    <bk>
      <rc t="2" v="4993"/>
    </bk>
    <bk>
      <rc t="2" v="4994"/>
    </bk>
    <bk>
      <rc t="2" v="4995"/>
    </bk>
    <bk>
      <rc t="2" v="4996"/>
    </bk>
    <bk>
      <rc t="2" v="4997"/>
    </bk>
    <bk>
      <rc t="2" v="4998"/>
    </bk>
    <bk>
      <rc t="2" v="4999"/>
    </bk>
    <bk>
      <rc t="2" v="5000"/>
    </bk>
    <bk>
      <rc t="2" v="5001"/>
    </bk>
    <bk>
      <rc t="2" v="5002"/>
    </bk>
    <bk>
      <rc t="2" v="5003"/>
    </bk>
    <bk>
      <rc t="2" v="5004"/>
    </bk>
    <bk>
      <rc t="2" v="5005"/>
    </bk>
    <bk>
      <rc t="2" v="5006"/>
    </bk>
    <bk>
      <rc t="2" v="5007"/>
    </bk>
    <bk>
      <rc t="2" v="5008"/>
    </bk>
    <bk>
      <rc t="2" v="5009"/>
    </bk>
    <bk>
      <rc t="2" v="5010"/>
    </bk>
    <bk>
      <rc t="2" v="5011"/>
    </bk>
    <bk>
      <rc t="2" v="5012"/>
    </bk>
    <bk>
      <rc t="2" v="5013"/>
    </bk>
    <bk>
      <rc t="2" v="5014"/>
    </bk>
    <bk>
      <rc t="2" v="5015"/>
    </bk>
    <bk>
      <rc t="2" v="5016"/>
    </bk>
    <bk>
      <rc t="2" v="5017"/>
    </bk>
    <bk>
      <rc t="2" v="5018"/>
    </bk>
    <bk>
      <rc t="2" v="5019"/>
    </bk>
    <bk>
      <rc t="2" v="5020"/>
    </bk>
    <bk>
      <rc t="2" v="5021"/>
    </bk>
    <bk>
      <rc t="2" v="5022"/>
    </bk>
    <bk>
      <rc t="2" v="5023"/>
    </bk>
    <bk>
      <rc t="2" v="5024"/>
    </bk>
    <bk>
      <rc t="2" v="5025"/>
    </bk>
    <bk>
      <rc t="2" v="5026"/>
    </bk>
    <bk>
      <rc t="2" v="5027"/>
    </bk>
    <bk>
      <rc t="2" v="5028"/>
    </bk>
    <bk>
      <rc t="2" v="5029"/>
    </bk>
    <bk>
      <rc t="2" v="5030"/>
    </bk>
    <bk>
      <rc t="2" v="5031"/>
    </bk>
    <bk>
      <rc t="2" v="5032"/>
    </bk>
    <bk>
      <rc t="2" v="5033"/>
    </bk>
    <bk>
      <rc t="2" v="5034"/>
    </bk>
    <bk>
      <rc t="2" v="5035"/>
    </bk>
    <bk>
      <rc t="2" v="5036"/>
    </bk>
    <bk>
      <rc t="2" v="5037"/>
    </bk>
    <bk>
      <rc t="2" v="5038"/>
    </bk>
    <bk>
      <rc t="2" v="5039"/>
    </bk>
    <bk>
      <rc t="2" v="5040"/>
    </bk>
    <bk>
      <rc t="2" v="5041"/>
    </bk>
    <bk>
      <rc t="2" v="5042"/>
    </bk>
    <bk>
      <rc t="2" v="5043"/>
    </bk>
    <bk>
      <rc t="2" v="5044"/>
    </bk>
    <bk>
      <rc t="2" v="5045"/>
    </bk>
    <bk>
      <rc t="2" v="5046"/>
    </bk>
    <bk>
      <rc t="2" v="5047"/>
    </bk>
    <bk>
      <rc t="2" v="5048"/>
    </bk>
    <bk>
      <rc t="2" v="5049"/>
    </bk>
    <bk>
      <rc t="2" v="5050"/>
    </bk>
    <bk>
      <rc t="2" v="5051"/>
    </bk>
    <bk>
      <rc t="2" v="5052"/>
    </bk>
    <bk>
      <rc t="2" v="5053"/>
    </bk>
    <bk>
      <rc t="2" v="5054"/>
    </bk>
    <bk>
      <rc t="2" v="5055"/>
    </bk>
    <bk>
      <rc t="2" v="5056"/>
    </bk>
    <bk>
      <rc t="2" v="5057"/>
    </bk>
    <bk>
      <rc t="2" v="5058"/>
    </bk>
    <bk>
      <rc t="2" v="5059"/>
    </bk>
    <bk>
      <rc t="2" v="5060"/>
    </bk>
    <bk>
      <rc t="2" v="5061"/>
    </bk>
    <bk>
      <rc t="2" v="5062"/>
    </bk>
    <bk>
      <rc t="2" v="5063"/>
    </bk>
    <bk>
      <rc t="2" v="5064"/>
    </bk>
    <bk>
      <rc t="2" v="5065"/>
    </bk>
    <bk>
      <rc t="2" v="5066"/>
    </bk>
    <bk>
      <rc t="2" v="5067"/>
    </bk>
    <bk>
      <rc t="2" v="5068"/>
    </bk>
    <bk>
      <rc t="2" v="5069"/>
    </bk>
    <bk>
      <rc t="2" v="5070"/>
    </bk>
    <bk>
      <rc t="2" v="5071"/>
    </bk>
    <bk>
      <rc t="2" v="5072"/>
    </bk>
    <bk>
      <rc t="2" v="5073"/>
    </bk>
    <bk>
      <rc t="2" v="5074"/>
    </bk>
    <bk>
      <rc t="2" v="5075"/>
    </bk>
    <bk>
      <rc t="2" v="5076"/>
    </bk>
    <bk>
      <rc t="2" v="5077"/>
    </bk>
    <bk>
      <rc t="2" v="5078"/>
    </bk>
    <bk>
      <rc t="2" v="5079"/>
    </bk>
    <bk>
      <rc t="2" v="5080"/>
    </bk>
    <bk>
      <rc t="2" v="5081"/>
    </bk>
    <bk>
      <rc t="2" v="5082"/>
    </bk>
    <bk>
      <rc t="2" v="5083"/>
    </bk>
    <bk>
      <rc t="2" v="5084"/>
    </bk>
    <bk>
      <rc t="2" v="5085"/>
    </bk>
    <bk>
      <rc t="2" v="5086"/>
    </bk>
    <bk>
      <rc t="2" v="5087"/>
    </bk>
    <bk>
      <rc t="2" v="5088"/>
    </bk>
    <bk>
      <rc t="2" v="5089"/>
    </bk>
    <bk>
      <rc t="2" v="5090"/>
    </bk>
    <bk>
      <rc t="2" v="5091"/>
    </bk>
    <bk>
      <rc t="2" v="5092"/>
    </bk>
    <bk>
      <rc t="2" v="5093"/>
    </bk>
    <bk>
      <rc t="2" v="5094"/>
    </bk>
    <bk>
      <rc t="2" v="5095"/>
    </bk>
    <bk>
      <rc t="2" v="5096"/>
    </bk>
    <bk>
      <rc t="2" v="5097"/>
    </bk>
    <bk>
      <rc t="2" v="5098"/>
    </bk>
    <bk>
      <rc t="2" v="5099"/>
    </bk>
    <bk>
      <rc t="2" v="5100"/>
    </bk>
    <bk>
      <rc t="2" v="5101"/>
    </bk>
    <bk>
      <rc t="2" v="5102"/>
    </bk>
    <bk>
      <rc t="2" v="5103"/>
    </bk>
    <bk>
      <rc t="2" v="5104"/>
    </bk>
    <bk>
      <rc t="2" v="5105"/>
    </bk>
    <bk>
      <rc t="2" v="5106"/>
    </bk>
    <bk>
      <rc t="2" v="5107"/>
    </bk>
    <bk>
      <rc t="2" v="5108"/>
    </bk>
    <bk>
      <rc t="2" v="5109"/>
    </bk>
    <bk>
      <rc t="2" v="5110"/>
    </bk>
    <bk>
      <rc t="2" v="5111"/>
    </bk>
    <bk>
      <rc t="2" v="5112"/>
    </bk>
    <bk>
      <rc t="2" v="5113"/>
    </bk>
    <bk>
      <rc t="2" v="5114"/>
    </bk>
    <bk>
      <rc t="2" v="5115"/>
    </bk>
    <bk>
      <rc t="2" v="5116"/>
    </bk>
    <bk>
      <rc t="2" v="5117"/>
    </bk>
    <bk>
      <rc t="2" v="5118"/>
    </bk>
    <bk>
      <rc t="2" v="5119"/>
    </bk>
    <bk>
      <rc t="2" v="5120"/>
    </bk>
    <bk>
      <rc t="2" v="5121"/>
    </bk>
    <bk>
      <rc t="2" v="5122"/>
    </bk>
    <bk>
      <rc t="2" v="5123"/>
    </bk>
    <bk>
      <rc t="2" v="5124"/>
    </bk>
    <bk>
      <rc t="2" v="5125"/>
    </bk>
    <bk>
      <rc t="2" v="5126"/>
    </bk>
    <bk>
      <rc t="2" v="5127"/>
    </bk>
    <bk>
      <rc t="2" v="5128"/>
    </bk>
    <bk>
      <rc t="2" v="5129"/>
    </bk>
    <bk>
      <rc t="2" v="5130"/>
    </bk>
    <bk>
      <rc t="2" v="5131"/>
    </bk>
    <bk>
      <rc t="2" v="5132"/>
    </bk>
    <bk>
      <rc t="2" v="5133"/>
    </bk>
    <bk>
      <rc t="2" v="5134"/>
    </bk>
    <bk>
      <rc t="2" v="5135"/>
    </bk>
    <bk>
      <rc t="2" v="5136"/>
    </bk>
    <bk>
      <rc t="2" v="5137"/>
    </bk>
    <bk>
      <rc t="2" v="5138"/>
    </bk>
    <bk>
      <rc t="2" v="5139"/>
    </bk>
    <bk>
      <rc t="2" v="5140"/>
    </bk>
    <bk>
      <rc t="2" v="5141"/>
    </bk>
    <bk>
      <rc t="2" v="5142"/>
    </bk>
    <bk>
      <rc t="2" v="5143"/>
    </bk>
    <bk>
      <rc t="2" v="5144"/>
    </bk>
    <bk>
      <rc t="2" v="5145"/>
    </bk>
    <bk>
      <rc t="2" v="5146"/>
    </bk>
    <bk>
      <rc t="2" v="5147"/>
    </bk>
    <bk>
      <rc t="2" v="5148"/>
    </bk>
    <bk>
      <rc t="2" v="5149"/>
    </bk>
    <bk>
      <rc t="2" v="5150"/>
    </bk>
    <bk>
      <rc t="2" v="5151"/>
    </bk>
    <bk>
      <rc t="2" v="5152"/>
    </bk>
    <bk>
      <rc t="2" v="5153"/>
    </bk>
    <bk>
      <rc t="2" v="5154"/>
    </bk>
    <bk>
      <rc t="2" v="5155"/>
    </bk>
    <bk>
      <rc t="2" v="5156"/>
    </bk>
    <bk>
      <rc t="2" v="5157"/>
    </bk>
    <bk>
      <rc t="2" v="5158"/>
    </bk>
    <bk>
      <rc t="2" v="5159"/>
    </bk>
    <bk>
      <rc t="2" v="5160"/>
    </bk>
    <bk>
      <rc t="2" v="5161"/>
    </bk>
    <bk>
      <rc t="2" v="5162"/>
    </bk>
    <bk>
      <rc t="2" v="5163"/>
    </bk>
    <bk>
      <rc t="2" v="5164"/>
    </bk>
    <bk>
      <rc t="2" v="5165"/>
    </bk>
    <bk>
      <rc t="2" v="5166"/>
    </bk>
    <bk>
      <rc t="2" v="5167"/>
    </bk>
    <bk>
      <rc t="2" v="5168"/>
    </bk>
    <bk>
      <rc t="2" v="5169"/>
    </bk>
    <bk>
      <rc t="2" v="5170"/>
    </bk>
    <bk>
      <rc t="2" v="5171"/>
    </bk>
    <bk>
      <rc t="2" v="5172"/>
    </bk>
    <bk>
      <rc t="2" v="5173"/>
    </bk>
    <bk>
      <rc t="2" v="5174"/>
    </bk>
    <bk>
      <rc t="2" v="5175"/>
    </bk>
    <bk>
      <rc t="2" v="5176"/>
    </bk>
    <bk>
      <rc t="2" v="5177"/>
    </bk>
    <bk>
      <rc t="2" v="5178"/>
    </bk>
    <bk>
      <rc t="2" v="5179"/>
    </bk>
    <bk>
      <rc t="2" v="5180"/>
    </bk>
    <bk>
      <rc t="2" v="5181"/>
    </bk>
    <bk>
      <rc t="2" v="5182"/>
    </bk>
    <bk>
      <rc t="2" v="5183"/>
    </bk>
    <bk>
      <rc t="2" v="5184"/>
    </bk>
    <bk>
      <rc t="2" v="5185"/>
    </bk>
    <bk>
      <rc t="2" v="5186"/>
    </bk>
    <bk>
      <rc t="2" v="5187"/>
    </bk>
    <bk>
      <rc t="2" v="5188"/>
    </bk>
    <bk>
      <rc t="2" v="5189"/>
    </bk>
    <bk>
      <rc t="2" v="5190"/>
    </bk>
    <bk>
      <rc t="2" v="5191"/>
    </bk>
    <bk>
      <rc t="2" v="5192"/>
    </bk>
    <bk>
      <rc t="2" v="5193"/>
    </bk>
    <bk>
      <rc t="2" v="5194"/>
    </bk>
    <bk>
      <rc t="2" v="5195"/>
    </bk>
    <bk>
      <rc t="2" v="5196"/>
    </bk>
    <bk>
      <rc t="2" v="5197"/>
    </bk>
    <bk>
      <rc t="2" v="5198"/>
    </bk>
    <bk>
      <rc t="2" v="5199"/>
    </bk>
    <bk>
      <rc t="2" v="5200"/>
    </bk>
    <bk>
      <rc t="2" v="5201"/>
    </bk>
    <bk>
      <rc t="2" v="5202"/>
    </bk>
    <bk>
      <rc t="2" v="5203"/>
    </bk>
    <bk>
      <rc t="2" v="5204"/>
    </bk>
    <bk>
      <rc t="2" v="5205"/>
    </bk>
    <bk>
      <rc t="2" v="5206"/>
    </bk>
    <bk>
      <rc t="2" v="5207"/>
    </bk>
    <bk>
      <rc t="2" v="5208"/>
    </bk>
    <bk>
      <rc t="2" v="5209"/>
    </bk>
    <bk>
      <rc t="2" v="5210"/>
    </bk>
    <bk>
      <rc t="2" v="5211"/>
    </bk>
    <bk>
      <rc t="2" v="5212"/>
    </bk>
    <bk>
      <rc t="2" v="5213"/>
    </bk>
    <bk>
      <rc t="2" v="5214"/>
    </bk>
    <bk>
      <rc t="2" v="5215"/>
    </bk>
    <bk>
      <rc t="2" v="5216"/>
    </bk>
    <bk>
      <rc t="2" v="5217"/>
    </bk>
    <bk>
      <rc t="2" v="5218"/>
    </bk>
    <bk>
      <rc t="2" v="5219"/>
    </bk>
    <bk>
      <rc t="2" v="5220"/>
    </bk>
    <bk>
      <rc t="2" v="5221"/>
    </bk>
    <bk>
      <rc t="2" v="5222"/>
    </bk>
    <bk>
      <rc t="2" v="5223"/>
    </bk>
    <bk>
      <rc t="2" v="5224"/>
    </bk>
    <bk>
      <rc t="2" v="5225"/>
    </bk>
    <bk>
      <rc t="2" v="5226"/>
    </bk>
    <bk>
      <rc t="2" v="5227"/>
    </bk>
    <bk>
      <rc t="2" v="5228"/>
    </bk>
    <bk>
      <rc t="2" v="5229"/>
    </bk>
    <bk>
      <rc t="2" v="5230"/>
    </bk>
    <bk>
      <rc t="2" v="5231"/>
    </bk>
    <bk>
      <rc t="2" v="5232"/>
    </bk>
    <bk>
      <rc t="2" v="5233"/>
    </bk>
    <bk>
      <rc t="2" v="5234"/>
    </bk>
    <bk>
      <rc t="2" v="5235"/>
    </bk>
    <bk>
      <rc t="2" v="5236"/>
    </bk>
    <bk>
      <rc t="2" v="5237"/>
    </bk>
    <bk>
      <rc t="2" v="5238"/>
    </bk>
    <bk>
      <rc t="2" v="5239"/>
    </bk>
    <bk>
      <rc t="2" v="5240"/>
    </bk>
    <bk>
      <rc t="2" v="5241"/>
    </bk>
    <bk>
      <rc t="2" v="5242"/>
    </bk>
    <bk>
      <rc t="2" v="5243"/>
    </bk>
    <bk>
      <rc t="2" v="5244"/>
    </bk>
    <bk>
      <rc t="2" v="5245"/>
    </bk>
    <bk>
      <rc t="2" v="5246"/>
    </bk>
    <bk>
      <rc t="2" v="5247"/>
    </bk>
    <bk>
      <rc t="2" v="5248"/>
    </bk>
    <bk>
      <rc t="2" v="5249"/>
    </bk>
    <bk>
      <rc t="2" v="5250"/>
    </bk>
    <bk>
      <rc t="2" v="5251"/>
    </bk>
    <bk>
      <rc t="2" v="5252"/>
    </bk>
    <bk>
      <rc t="2" v="5253"/>
    </bk>
    <bk>
      <rc t="2" v="5254"/>
    </bk>
    <bk>
      <rc t="2" v="5255"/>
    </bk>
    <bk>
      <rc t="2" v="5256"/>
    </bk>
    <bk>
      <rc t="2" v="5257"/>
    </bk>
    <bk>
      <rc t="2" v="5258"/>
    </bk>
    <bk>
      <rc t="2" v="5259"/>
    </bk>
    <bk>
      <rc t="2" v="5260"/>
    </bk>
    <bk>
      <rc t="2" v="5261"/>
    </bk>
    <bk>
      <rc t="2" v="5262"/>
    </bk>
    <bk>
      <rc t="2" v="5263"/>
    </bk>
    <bk>
      <rc t="2" v="5264"/>
    </bk>
    <bk>
      <rc t="2" v="5265"/>
    </bk>
    <bk>
      <rc t="2" v="5266"/>
    </bk>
    <bk>
      <rc t="2" v="5267"/>
    </bk>
    <bk>
      <rc t="2" v="5268"/>
    </bk>
    <bk>
      <rc t="2" v="5269"/>
    </bk>
    <bk>
      <rc t="2" v="5270"/>
    </bk>
    <bk>
      <rc t="2" v="5271"/>
    </bk>
    <bk>
      <rc t="2" v="5272"/>
    </bk>
    <bk>
      <rc t="2" v="5273"/>
    </bk>
    <bk>
      <rc t="2" v="5274"/>
    </bk>
    <bk>
      <rc t="2" v="5275"/>
    </bk>
    <bk>
      <rc t="2" v="5276"/>
    </bk>
    <bk>
      <rc t="2" v="5277"/>
    </bk>
    <bk>
      <rc t="2" v="5278"/>
    </bk>
    <bk>
      <rc t="2" v="5279"/>
    </bk>
    <bk>
      <rc t="2" v="5280"/>
    </bk>
    <bk>
      <rc t="2" v="5281"/>
    </bk>
    <bk>
      <rc t="2" v="5282"/>
    </bk>
    <bk>
      <rc t="2" v="5283"/>
    </bk>
    <bk>
      <rc t="2" v="5284"/>
    </bk>
    <bk>
      <rc t="2" v="5285"/>
    </bk>
    <bk>
      <rc t="2" v="5286"/>
    </bk>
    <bk>
      <rc t="2" v="5287"/>
    </bk>
    <bk>
      <rc t="2" v="5288"/>
    </bk>
    <bk>
      <rc t="2" v="5289"/>
    </bk>
    <bk>
      <rc t="2" v="5290"/>
    </bk>
    <bk>
      <rc t="2" v="5291"/>
    </bk>
    <bk>
      <rc t="2" v="5292"/>
    </bk>
    <bk>
      <rc t="2" v="5293"/>
    </bk>
    <bk>
      <rc t="2" v="5294"/>
    </bk>
    <bk>
      <rc t="2" v="5295"/>
    </bk>
    <bk>
      <rc t="2" v="5296"/>
    </bk>
    <bk>
      <rc t="2" v="5297"/>
    </bk>
    <bk>
      <rc t="2" v="5298"/>
    </bk>
    <bk>
      <rc t="2" v="5299"/>
    </bk>
    <bk>
      <rc t="2" v="5300"/>
    </bk>
    <bk>
      <rc t="2" v="5301"/>
    </bk>
    <bk>
      <rc t="2" v="5302"/>
    </bk>
    <bk>
      <rc t="2" v="5303"/>
    </bk>
    <bk>
      <rc t="2" v="5304"/>
    </bk>
    <bk>
      <rc t="2" v="5305"/>
    </bk>
    <bk>
      <rc t="2" v="5306"/>
    </bk>
    <bk>
      <rc t="2" v="5307"/>
    </bk>
    <bk>
      <rc t="2" v="5308"/>
    </bk>
    <bk>
      <rc t="2" v="5309"/>
    </bk>
    <bk>
      <rc t="2" v="5310"/>
    </bk>
    <bk>
      <rc t="2" v="5311"/>
    </bk>
    <bk>
      <rc t="2" v="5312"/>
    </bk>
    <bk>
      <rc t="2" v="5313"/>
    </bk>
    <bk>
      <rc t="2" v="5314"/>
    </bk>
    <bk>
      <rc t="2" v="5315"/>
    </bk>
    <bk>
      <rc t="2" v="5316"/>
    </bk>
    <bk>
      <rc t="2" v="5317"/>
    </bk>
    <bk>
      <rc t="2" v="5318"/>
    </bk>
    <bk>
      <rc t="2" v="5319"/>
    </bk>
    <bk>
      <rc t="2" v="5320"/>
    </bk>
    <bk>
      <rc t="2" v="5321"/>
    </bk>
    <bk>
      <rc t="2" v="5322"/>
    </bk>
    <bk>
      <rc t="2" v="5323"/>
    </bk>
    <bk>
      <rc t="2" v="5324"/>
    </bk>
    <bk>
      <rc t="2" v="5325"/>
    </bk>
    <bk>
      <rc t="2" v="5326"/>
    </bk>
    <bk>
      <rc t="2" v="5327"/>
    </bk>
    <bk>
      <rc t="2" v="5328"/>
    </bk>
    <bk>
      <rc t="2" v="5329"/>
    </bk>
    <bk>
      <rc t="2" v="5330"/>
    </bk>
    <bk>
      <rc t="2" v="5331"/>
    </bk>
    <bk>
      <rc t="2" v="5332"/>
    </bk>
    <bk>
      <rc t="2" v="5333"/>
    </bk>
    <bk>
      <rc t="2" v="5334"/>
    </bk>
    <bk>
      <rc t="2" v="5335"/>
    </bk>
    <bk>
      <rc t="2" v="5336"/>
    </bk>
    <bk>
      <rc t="2" v="5337"/>
    </bk>
    <bk>
      <rc t="2" v="5338"/>
    </bk>
    <bk>
      <rc t="2" v="5339"/>
    </bk>
    <bk>
      <rc t="2" v="5340"/>
    </bk>
    <bk>
      <rc t="2" v="5341"/>
    </bk>
    <bk>
      <rc t="2" v="5342"/>
    </bk>
    <bk>
      <rc t="2" v="5343"/>
    </bk>
    <bk>
      <rc t="2" v="5344"/>
    </bk>
    <bk>
      <rc t="2" v="5345"/>
    </bk>
    <bk>
      <rc t="2" v="5346"/>
    </bk>
    <bk>
      <rc t="2" v="5347"/>
    </bk>
    <bk>
      <rc t="2" v="5348"/>
    </bk>
    <bk>
      <rc t="2" v="5349"/>
    </bk>
    <bk>
      <rc t="2" v="5350"/>
    </bk>
    <bk>
      <rc t="2" v="5351"/>
    </bk>
    <bk>
      <rc t="2" v="5352"/>
    </bk>
    <bk>
      <rc t="2" v="5353"/>
    </bk>
    <bk>
      <rc t="2" v="5354"/>
    </bk>
    <bk>
      <rc t="2" v="5355"/>
    </bk>
    <bk>
      <rc t="2" v="5356"/>
    </bk>
    <bk>
      <rc t="2" v="5357"/>
    </bk>
    <bk>
      <rc t="2" v="5358"/>
    </bk>
    <bk>
      <rc t="2" v="5359"/>
    </bk>
    <bk>
      <rc t="2" v="5360"/>
    </bk>
    <bk>
      <rc t="2" v="5361"/>
    </bk>
    <bk>
      <rc t="2" v="5362"/>
    </bk>
    <bk>
      <rc t="2" v="5363"/>
    </bk>
    <bk>
      <rc t="2" v="5364"/>
    </bk>
    <bk>
      <rc t="2" v="5365"/>
    </bk>
    <bk>
      <rc t="2" v="5366"/>
    </bk>
    <bk>
      <rc t="2" v="5367"/>
    </bk>
    <bk>
      <rc t="2" v="5368"/>
    </bk>
    <bk>
      <rc t="2" v="5369"/>
    </bk>
    <bk>
      <rc t="2" v="5370"/>
    </bk>
    <bk>
      <rc t="2" v="5371"/>
    </bk>
    <bk>
      <rc t="2" v="5372"/>
    </bk>
    <bk>
      <rc t="2" v="5373"/>
    </bk>
    <bk>
      <rc t="2" v="5374"/>
    </bk>
    <bk>
      <rc t="2" v="5375"/>
    </bk>
    <bk>
      <rc t="2" v="5376"/>
    </bk>
    <bk>
      <rc t="2" v="5377"/>
    </bk>
    <bk>
      <rc t="2" v="5378"/>
    </bk>
    <bk>
      <rc t="2" v="5379"/>
    </bk>
    <bk>
      <rc t="2" v="5380"/>
    </bk>
    <bk>
      <rc t="2" v="5381"/>
    </bk>
    <bk>
      <rc t="2" v="5382"/>
    </bk>
    <bk>
      <rc t="2" v="5383"/>
    </bk>
    <bk>
      <rc t="2" v="5384"/>
    </bk>
    <bk>
      <rc t="2" v="5385"/>
    </bk>
    <bk>
      <rc t="2" v="5386"/>
    </bk>
    <bk>
      <rc t="2" v="5387"/>
    </bk>
    <bk>
      <rc t="2" v="5388"/>
    </bk>
    <bk>
      <rc t="2" v="5389"/>
    </bk>
    <bk>
      <rc t="2" v="5390"/>
    </bk>
    <bk>
      <rc t="2" v="5391"/>
    </bk>
    <bk>
      <rc t="2" v="5392"/>
    </bk>
    <bk>
      <rc t="2" v="5393"/>
    </bk>
    <bk>
      <rc t="2" v="5394"/>
    </bk>
    <bk>
      <rc t="2" v="5395"/>
    </bk>
    <bk>
      <rc t="2" v="5396"/>
    </bk>
    <bk>
      <rc t="2" v="5397"/>
    </bk>
    <bk>
      <rc t="2" v="5398"/>
    </bk>
    <bk>
      <rc t="2" v="5399"/>
    </bk>
    <bk>
      <rc t="2" v="5400"/>
    </bk>
    <bk>
      <rc t="2" v="5401"/>
    </bk>
    <bk>
      <rc t="2" v="5402"/>
    </bk>
    <bk>
      <rc t="2" v="5403"/>
    </bk>
    <bk>
      <rc t="2" v="5404"/>
    </bk>
    <bk>
      <rc t="2" v="5405"/>
    </bk>
    <bk>
      <rc t="2" v="5406"/>
    </bk>
    <bk>
      <rc t="2" v="5407"/>
    </bk>
    <bk>
      <rc t="2" v="5408"/>
    </bk>
    <bk>
      <rc t="2" v="5409"/>
    </bk>
    <bk>
      <rc t="2" v="5410"/>
    </bk>
    <bk>
      <rc t="2" v="5411"/>
    </bk>
    <bk>
      <rc t="2" v="5412"/>
    </bk>
    <bk>
      <rc t="2" v="5413"/>
    </bk>
    <bk>
      <rc t="2" v="5414"/>
    </bk>
    <bk>
      <rc t="2" v="5415"/>
    </bk>
    <bk>
      <rc t="2" v="5416"/>
    </bk>
    <bk>
      <rc t="2" v="5417"/>
    </bk>
    <bk>
      <rc t="2" v="5418"/>
    </bk>
    <bk>
      <rc t="2" v="5419"/>
    </bk>
    <bk>
      <rc t="2" v="5420"/>
    </bk>
    <bk>
      <rc t="2" v="5421"/>
    </bk>
    <bk>
      <rc t="2" v="5422"/>
    </bk>
    <bk>
      <rc t="2" v="5423"/>
    </bk>
    <bk>
      <rc t="2" v="5424"/>
    </bk>
    <bk>
      <rc t="2" v="5425"/>
    </bk>
    <bk>
      <rc t="2" v="5426"/>
    </bk>
    <bk>
      <rc t="2" v="5427"/>
    </bk>
    <bk>
      <rc t="2" v="5428"/>
    </bk>
    <bk>
      <rc t="2" v="5429"/>
    </bk>
    <bk>
      <rc t="2" v="5430"/>
    </bk>
    <bk>
      <rc t="2" v="5431"/>
    </bk>
    <bk>
      <rc t="2" v="5432"/>
    </bk>
    <bk>
      <rc t="2" v="5433"/>
    </bk>
    <bk>
      <rc t="2" v="5434"/>
    </bk>
    <bk>
      <rc t="2" v="5435"/>
    </bk>
    <bk>
      <rc t="2" v="5436"/>
    </bk>
    <bk>
      <rc t="2" v="5437"/>
    </bk>
    <bk>
      <rc t="2" v="5438"/>
    </bk>
    <bk>
      <rc t="2" v="5439"/>
    </bk>
    <bk>
      <rc t="2" v="5440"/>
    </bk>
    <bk>
      <rc t="2" v="5441"/>
    </bk>
    <bk>
      <rc t="2" v="5442"/>
    </bk>
    <bk>
      <rc t="2" v="5443"/>
    </bk>
    <bk>
      <rc t="2" v="5444"/>
    </bk>
    <bk>
      <rc t="2" v="5445"/>
    </bk>
    <bk>
      <rc t="2" v="5446"/>
    </bk>
    <bk>
      <rc t="2" v="5447"/>
    </bk>
    <bk>
      <rc t="2" v="5448"/>
    </bk>
    <bk>
      <rc t="2" v="5449"/>
    </bk>
    <bk>
      <rc t="2" v="5450"/>
    </bk>
    <bk>
      <rc t="2" v="5451"/>
    </bk>
    <bk>
      <rc t="2" v="5452"/>
    </bk>
    <bk>
      <rc t="2" v="5453"/>
    </bk>
    <bk>
      <rc t="2" v="5454"/>
    </bk>
    <bk>
      <rc t="2" v="5455"/>
    </bk>
    <bk>
      <rc t="2" v="5456"/>
    </bk>
    <bk>
      <rc t="2" v="5457"/>
    </bk>
    <bk>
      <rc t="2" v="5458"/>
    </bk>
    <bk>
      <rc t="2" v="5459"/>
    </bk>
    <bk>
      <rc t="2" v="5460"/>
    </bk>
    <bk>
      <rc t="2" v="5461"/>
    </bk>
    <bk>
      <rc t="2" v="5462"/>
    </bk>
    <bk>
      <rc t="2" v="5463"/>
    </bk>
    <bk>
      <rc t="2" v="5464"/>
    </bk>
    <bk>
      <rc t="2" v="5465"/>
    </bk>
    <bk>
      <rc t="2" v="5466"/>
    </bk>
    <bk>
      <rc t="2" v="5467"/>
    </bk>
    <bk>
      <rc t="2" v="5468"/>
    </bk>
    <bk>
      <rc t="2" v="5469"/>
    </bk>
    <bk>
      <rc t="2" v="5470"/>
    </bk>
    <bk>
      <rc t="2" v="5471"/>
    </bk>
    <bk>
      <rc t="2" v="5472"/>
    </bk>
    <bk>
      <rc t="2" v="5473"/>
    </bk>
    <bk>
      <rc t="2" v="5474"/>
    </bk>
    <bk>
      <rc t="2" v="5475"/>
    </bk>
    <bk>
      <rc t="2" v="5476"/>
    </bk>
    <bk>
      <rc t="2" v="5477"/>
    </bk>
    <bk>
      <rc t="2" v="5478"/>
    </bk>
    <bk>
      <rc t="2" v="5479"/>
    </bk>
    <bk>
      <rc t="2" v="5480"/>
    </bk>
    <bk>
      <rc t="2" v="5481"/>
    </bk>
    <bk>
      <rc t="2" v="5482"/>
    </bk>
    <bk>
      <rc t="2" v="5483"/>
    </bk>
    <bk>
      <rc t="2" v="5484"/>
    </bk>
    <bk>
      <rc t="2" v="5485"/>
    </bk>
    <bk>
      <rc t="2" v="5486"/>
    </bk>
    <bk>
      <rc t="2" v="5487"/>
    </bk>
    <bk>
      <rc t="2" v="5488"/>
    </bk>
    <bk>
      <rc t="2" v="5489"/>
    </bk>
    <bk>
      <rc t="2" v="5490"/>
    </bk>
    <bk>
      <rc t="2" v="5491"/>
    </bk>
    <bk>
      <rc t="2" v="5492"/>
    </bk>
    <bk>
      <rc t="2" v="5493"/>
    </bk>
    <bk>
      <rc t="2" v="5494"/>
    </bk>
    <bk>
      <rc t="2" v="5495"/>
    </bk>
    <bk>
      <rc t="2" v="5496"/>
    </bk>
    <bk>
      <rc t="2" v="5497"/>
    </bk>
    <bk>
      <rc t="2" v="5498"/>
    </bk>
    <bk>
      <rc t="2" v="5499"/>
    </bk>
    <bk>
      <rc t="2" v="5500"/>
    </bk>
    <bk>
      <rc t="2" v="5501"/>
    </bk>
    <bk>
      <rc t="2" v="5502"/>
    </bk>
    <bk>
      <rc t="2" v="5503"/>
    </bk>
    <bk>
      <rc t="2" v="5504"/>
    </bk>
    <bk>
      <rc t="2" v="5505"/>
    </bk>
    <bk>
      <rc t="2" v="5506"/>
    </bk>
    <bk>
      <rc t="2" v="5507"/>
    </bk>
    <bk>
      <rc t="2" v="5508"/>
    </bk>
    <bk>
      <rc t="2" v="5509"/>
    </bk>
    <bk>
      <rc t="2" v="5510"/>
    </bk>
    <bk>
      <rc t="2" v="5511"/>
    </bk>
    <bk>
      <rc t="2" v="5512"/>
    </bk>
    <bk>
      <rc t="2" v="5513"/>
    </bk>
    <bk>
      <rc t="2" v="5514"/>
    </bk>
    <bk>
      <rc t="2" v="5515"/>
    </bk>
    <bk>
      <rc t="2" v="5516"/>
    </bk>
    <bk>
      <rc t="2" v="5517"/>
    </bk>
    <bk>
      <rc t="2" v="5518"/>
    </bk>
    <bk>
      <rc t="2" v="5519"/>
    </bk>
    <bk>
      <rc t="2" v="5520"/>
    </bk>
    <bk>
      <rc t="2" v="5521"/>
    </bk>
    <bk>
      <rc t="2" v="5522"/>
    </bk>
    <bk>
      <rc t="2" v="5523"/>
    </bk>
    <bk>
      <rc t="2" v="5524"/>
    </bk>
    <bk>
      <rc t="2" v="5525"/>
    </bk>
    <bk>
      <rc t="2" v="5526"/>
    </bk>
    <bk>
      <rc t="2" v="5527"/>
    </bk>
    <bk>
      <rc t="2" v="5528"/>
    </bk>
    <bk>
      <rc t="2" v="5529"/>
    </bk>
    <bk>
      <rc t="2" v="5530"/>
    </bk>
    <bk>
      <rc t="2" v="5531"/>
    </bk>
    <bk>
      <rc t="2" v="5532"/>
    </bk>
    <bk>
      <rc t="2" v="5533"/>
    </bk>
    <bk>
      <rc t="2" v="5534"/>
    </bk>
    <bk>
      <rc t="2" v="5535"/>
    </bk>
    <bk>
      <rc t="2" v="5536"/>
    </bk>
    <bk>
      <rc t="2" v="5537"/>
    </bk>
    <bk>
      <rc t="2" v="5538"/>
    </bk>
    <bk>
      <rc t="2" v="5539"/>
    </bk>
    <bk>
      <rc t="2" v="5540"/>
    </bk>
    <bk>
      <rc t="2" v="5541"/>
    </bk>
    <bk>
      <rc t="2" v="5542"/>
    </bk>
    <bk>
      <rc t="2" v="5543"/>
    </bk>
    <bk>
      <rc t="2" v="5544"/>
    </bk>
    <bk>
      <rc t="2" v="5545"/>
    </bk>
    <bk>
      <rc t="2" v="5546"/>
    </bk>
    <bk>
      <rc t="2" v="5547"/>
    </bk>
    <bk>
      <rc t="2" v="5548"/>
    </bk>
    <bk>
      <rc t="2" v="5549"/>
    </bk>
    <bk>
      <rc t="2" v="5550"/>
    </bk>
    <bk>
      <rc t="2" v="5551"/>
    </bk>
    <bk>
      <rc t="2" v="5552"/>
    </bk>
    <bk>
      <rc t="2" v="5553"/>
    </bk>
    <bk>
      <rc t="2" v="5554"/>
    </bk>
    <bk>
      <rc t="2" v="5555"/>
    </bk>
    <bk>
      <rc t="2" v="5556"/>
    </bk>
    <bk>
      <rc t="2" v="5557"/>
    </bk>
    <bk>
      <rc t="2" v="5558"/>
    </bk>
    <bk>
      <rc t="2" v="5559"/>
    </bk>
    <bk>
      <rc t="2" v="5560"/>
    </bk>
    <bk>
      <rc t="2" v="5561"/>
    </bk>
    <bk>
      <rc t="2" v="5562"/>
    </bk>
    <bk>
      <rc t="2" v="5563"/>
    </bk>
    <bk>
      <rc t="2" v="5564"/>
    </bk>
    <bk>
      <rc t="2" v="5565"/>
    </bk>
    <bk>
      <rc t="2" v="5566"/>
    </bk>
    <bk>
      <rc t="2" v="5567"/>
    </bk>
    <bk>
      <rc t="2" v="5568"/>
    </bk>
    <bk>
      <rc t="2" v="5569"/>
    </bk>
    <bk>
      <rc t="2" v="5570"/>
    </bk>
    <bk>
      <rc t="2" v="5571"/>
    </bk>
    <bk>
      <rc t="2" v="5572"/>
    </bk>
    <bk>
      <rc t="2" v="5573"/>
    </bk>
    <bk>
      <rc t="2" v="5574"/>
    </bk>
    <bk>
      <rc t="2" v="5575"/>
    </bk>
    <bk>
      <rc t="2" v="5576"/>
    </bk>
    <bk>
      <rc t="2" v="5577"/>
    </bk>
    <bk>
      <rc t="2" v="5578"/>
    </bk>
    <bk>
      <rc t="2" v="5579"/>
    </bk>
    <bk>
      <rc t="2" v="5580"/>
    </bk>
    <bk>
      <rc t="2" v="5581"/>
    </bk>
    <bk>
      <rc t="2" v="5582"/>
    </bk>
    <bk>
      <rc t="2" v="5583"/>
    </bk>
    <bk>
      <rc t="2" v="5584"/>
    </bk>
    <bk>
      <rc t="2" v="5585"/>
    </bk>
    <bk>
      <rc t="2" v="5586"/>
    </bk>
    <bk>
      <rc t="2" v="5587"/>
    </bk>
    <bk>
      <rc t="2" v="5588"/>
    </bk>
    <bk>
      <rc t="2" v="5589"/>
    </bk>
    <bk>
      <rc t="2" v="5590"/>
    </bk>
    <bk>
      <rc t="2" v="5591"/>
    </bk>
    <bk>
      <rc t="2" v="5592"/>
    </bk>
    <bk>
      <rc t="2" v="5593"/>
    </bk>
    <bk>
      <rc t="2" v="5594"/>
    </bk>
    <bk>
      <rc t="2" v="5595"/>
    </bk>
    <bk>
      <rc t="2" v="5596"/>
    </bk>
    <bk>
      <rc t="2" v="5597"/>
    </bk>
    <bk>
      <rc t="2" v="5598"/>
    </bk>
    <bk>
      <rc t="2" v="5599"/>
    </bk>
    <bk>
      <rc t="2" v="5600"/>
    </bk>
    <bk>
      <rc t="2" v="5601"/>
    </bk>
    <bk>
      <rc t="2" v="5602"/>
    </bk>
    <bk>
      <rc t="2" v="5603"/>
    </bk>
    <bk>
      <rc t="2" v="5604"/>
    </bk>
    <bk>
      <rc t="2" v="5605"/>
    </bk>
    <bk>
      <rc t="2" v="5606"/>
    </bk>
    <bk>
      <rc t="2" v="5607"/>
    </bk>
    <bk>
      <rc t="2" v="5608"/>
    </bk>
    <bk>
      <rc t="2" v="5609"/>
    </bk>
    <bk>
      <rc t="2" v="5610"/>
    </bk>
    <bk>
      <rc t="2" v="5611"/>
    </bk>
    <bk>
      <rc t="2" v="5612"/>
    </bk>
    <bk>
      <rc t="2" v="5613"/>
    </bk>
    <bk>
      <rc t="2" v="5614"/>
    </bk>
    <bk>
      <rc t="2" v="5615"/>
    </bk>
    <bk>
      <rc t="2" v="5616"/>
    </bk>
    <bk>
      <rc t="2" v="5617"/>
    </bk>
    <bk>
      <rc t="2" v="5618"/>
    </bk>
    <bk>
      <rc t="2" v="5619"/>
    </bk>
    <bk>
      <rc t="2" v="5620"/>
    </bk>
    <bk>
      <rc t="2" v="5621"/>
    </bk>
    <bk>
      <rc t="2" v="5622"/>
    </bk>
    <bk>
      <rc t="2" v="5623"/>
    </bk>
    <bk>
      <rc t="2" v="5624"/>
    </bk>
    <bk>
      <rc t="2" v="5625"/>
    </bk>
    <bk>
      <rc t="2" v="5626"/>
    </bk>
    <bk>
      <rc t="2" v="5627"/>
    </bk>
    <bk>
      <rc t="2" v="5628"/>
    </bk>
    <bk>
      <rc t="2" v="5629"/>
    </bk>
    <bk>
      <rc t="2" v="5630"/>
    </bk>
    <bk>
      <rc t="2" v="5631"/>
    </bk>
    <bk>
      <rc t="2" v="5632"/>
    </bk>
    <bk>
      <rc t="2" v="5633"/>
    </bk>
    <bk>
      <rc t="2" v="5634"/>
    </bk>
    <bk>
      <rc t="2" v="5635"/>
    </bk>
    <bk>
      <rc t="2" v="5636"/>
    </bk>
    <bk>
      <rc t="2" v="5637"/>
    </bk>
    <bk>
      <rc t="2" v="5638"/>
    </bk>
    <bk>
      <rc t="2" v="5639"/>
    </bk>
    <bk>
      <rc t="2" v="5640"/>
    </bk>
    <bk>
      <rc t="2" v="5641"/>
    </bk>
    <bk>
      <rc t="2" v="5642"/>
    </bk>
    <bk>
      <rc t="2" v="5643"/>
    </bk>
    <bk>
      <rc t="2" v="5644"/>
    </bk>
    <bk>
      <rc t="2" v="5645"/>
    </bk>
    <bk>
      <rc t="2" v="5646"/>
    </bk>
    <bk>
      <rc t="2" v="5647"/>
    </bk>
    <bk>
      <rc t="2" v="5648"/>
    </bk>
    <bk>
      <rc t="2" v="5649"/>
    </bk>
    <bk>
      <rc t="2" v="5650"/>
    </bk>
    <bk>
      <rc t="2" v="5651"/>
    </bk>
    <bk>
      <rc t="2" v="5652"/>
    </bk>
    <bk>
      <rc t="2" v="5653"/>
    </bk>
    <bk>
      <rc t="2" v="5654"/>
    </bk>
    <bk>
      <rc t="2" v="5655"/>
    </bk>
    <bk>
      <rc t="2" v="5656"/>
    </bk>
    <bk>
      <rc t="2" v="5657"/>
    </bk>
    <bk>
      <rc t="2" v="5658"/>
    </bk>
    <bk>
      <rc t="2" v="5659"/>
    </bk>
    <bk>
      <rc t="2" v="5660"/>
    </bk>
    <bk>
      <rc t="2" v="5661"/>
    </bk>
    <bk>
      <rc t="2" v="5662"/>
    </bk>
    <bk>
      <rc t="2" v="5663"/>
    </bk>
    <bk>
      <rc t="2" v="5664"/>
    </bk>
    <bk>
      <rc t="2" v="5665"/>
    </bk>
    <bk>
      <rc t="2" v="5666"/>
    </bk>
    <bk>
      <rc t="2" v="5667"/>
    </bk>
    <bk>
      <rc t="2" v="5668"/>
    </bk>
    <bk>
      <rc t="2" v="5669"/>
    </bk>
    <bk>
      <rc t="2" v="5670"/>
    </bk>
    <bk>
      <rc t="2" v="5671"/>
    </bk>
    <bk>
      <rc t="2" v="5672"/>
    </bk>
    <bk>
      <rc t="2" v="5673"/>
    </bk>
    <bk>
      <rc t="2" v="5674"/>
    </bk>
    <bk>
      <rc t="2" v="5675"/>
    </bk>
    <bk>
      <rc t="2" v="5676"/>
    </bk>
    <bk>
      <rc t="2" v="5677"/>
    </bk>
    <bk>
      <rc t="2" v="5678"/>
    </bk>
    <bk>
      <rc t="2" v="5679"/>
    </bk>
    <bk>
      <rc t="2" v="5680"/>
    </bk>
    <bk>
      <rc t="2" v="5681"/>
    </bk>
    <bk>
      <rc t="2" v="5682"/>
    </bk>
    <bk>
      <rc t="2" v="5683"/>
    </bk>
    <bk>
      <rc t="2" v="5684"/>
    </bk>
    <bk>
      <rc t="2" v="5685"/>
    </bk>
    <bk>
      <rc t="2" v="5686"/>
    </bk>
    <bk>
      <rc t="2" v="5687"/>
    </bk>
    <bk>
      <rc t="2" v="5688"/>
    </bk>
    <bk>
      <rc t="2" v="5689"/>
    </bk>
    <bk>
      <rc t="2" v="5690"/>
    </bk>
    <bk>
      <rc t="2" v="5691"/>
    </bk>
    <bk>
      <rc t="2" v="5692"/>
    </bk>
    <bk>
      <rc t="2" v="5693"/>
    </bk>
    <bk>
      <rc t="2" v="5694"/>
    </bk>
    <bk>
      <rc t="2" v="5695"/>
    </bk>
    <bk>
      <rc t="2" v="5696"/>
    </bk>
    <bk>
      <rc t="2" v="5697"/>
    </bk>
    <bk>
      <rc t="2" v="5698"/>
    </bk>
    <bk>
      <rc t="2" v="5699"/>
    </bk>
    <bk>
      <rc t="2" v="5700"/>
    </bk>
    <bk>
      <rc t="2" v="5701"/>
    </bk>
    <bk>
      <rc t="2" v="5702"/>
    </bk>
    <bk>
      <rc t="2" v="5703"/>
    </bk>
    <bk>
      <rc t="2" v="5704"/>
    </bk>
    <bk>
      <rc t="2" v="5705"/>
    </bk>
    <bk>
      <rc t="2" v="5706"/>
    </bk>
    <bk>
      <rc t="2" v="5707"/>
    </bk>
    <bk>
      <rc t="2" v="5708"/>
    </bk>
    <bk>
      <rc t="2" v="5709"/>
    </bk>
    <bk>
      <rc t="2" v="5710"/>
    </bk>
    <bk>
      <rc t="2" v="5711"/>
    </bk>
    <bk>
      <rc t="2" v="5712"/>
    </bk>
    <bk>
      <rc t="2" v="5713"/>
    </bk>
    <bk>
      <rc t="2" v="5714"/>
    </bk>
    <bk>
      <rc t="2" v="5715"/>
    </bk>
    <bk>
      <rc t="2" v="5716"/>
    </bk>
    <bk>
      <rc t="2" v="5717"/>
    </bk>
    <bk>
      <rc t="2" v="5718"/>
    </bk>
    <bk>
      <rc t="2" v="5719"/>
    </bk>
    <bk>
      <rc t="2" v="5720"/>
    </bk>
    <bk>
      <rc t="2" v="5721"/>
    </bk>
    <bk>
      <rc t="2" v="5722"/>
    </bk>
    <bk>
      <rc t="2" v="5723"/>
    </bk>
    <bk>
      <rc t="2" v="5724"/>
    </bk>
    <bk>
      <rc t="2" v="5725"/>
    </bk>
    <bk>
      <rc t="2" v="5726"/>
    </bk>
    <bk>
      <rc t="2" v="5727"/>
    </bk>
    <bk>
      <rc t="2" v="5728"/>
    </bk>
    <bk>
      <rc t="2" v="5729"/>
    </bk>
    <bk>
      <rc t="2" v="5730"/>
    </bk>
    <bk>
      <rc t="2" v="5731"/>
    </bk>
    <bk>
      <rc t="2" v="5732"/>
    </bk>
    <bk>
      <rc t="2" v="5733"/>
    </bk>
    <bk>
      <rc t="2" v="5734"/>
    </bk>
    <bk>
      <rc t="2" v="5735"/>
    </bk>
    <bk>
      <rc t="2" v="5736"/>
    </bk>
    <bk>
      <rc t="2" v="5737"/>
    </bk>
    <bk>
      <rc t="2" v="5738"/>
    </bk>
    <bk>
      <rc t="2" v="5739"/>
    </bk>
    <bk>
      <rc t="2" v="5740"/>
    </bk>
    <bk>
      <rc t="2" v="5741"/>
    </bk>
    <bk>
      <rc t="2" v="5742"/>
    </bk>
    <bk>
      <rc t="2" v="5743"/>
    </bk>
    <bk>
      <rc t="2" v="5744"/>
    </bk>
    <bk>
      <rc t="2" v="5745"/>
    </bk>
    <bk>
      <rc t="2" v="5746"/>
    </bk>
    <bk>
      <rc t="2" v="5747"/>
    </bk>
    <bk>
      <rc t="2" v="5748"/>
    </bk>
    <bk>
      <rc t="2" v="5749"/>
    </bk>
    <bk>
      <rc t="2" v="5750"/>
    </bk>
    <bk>
      <rc t="2" v="5751"/>
    </bk>
    <bk>
      <rc t="2" v="5752"/>
    </bk>
    <bk>
      <rc t="2" v="5753"/>
    </bk>
    <bk>
      <rc t="2" v="5754"/>
    </bk>
    <bk>
      <rc t="2" v="5755"/>
    </bk>
    <bk>
      <rc t="2" v="5756"/>
    </bk>
    <bk>
      <rc t="2" v="5757"/>
    </bk>
    <bk>
      <rc t="2" v="5758"/>
    </bk>
    <bk>
      <rc t="2" v="5759"/>
    </bk>
    <bk>
      <rc t="2" v="5760"/>
    </bk>
    <bk>
      <rc t="2" v="5761"/>
    </bk>
    <bk>
      <rc t="2" v="5762"/>
    </bk>
    <bk>
      <rc t="2" v="5763"/>
    </bk>
    <bk>
      <rc t="2" v="5764"/>
    </bk>
    <bk>
      <rc t="2" v="5765"/>
    </bk>
    <bk>
      <rc t="2" v="5766"/>
    </bk>
    <bk>
      <rc t="2" v="5767"/>
    </bk>
    <bk>
      <rc t="2" v="5768"/>
    </bk>
    <bk>
      <rc t="2" v="5769"/>
    </bk>
    <bk>
      <rc t="2" v="5770"/>
    </bk>
    <bk>
      <rc t="2" v="5771"/>
    </bk>
    <bk>
      <rc t="2" v="5772"/>
    </bk>
    <bk>
      <rc t="2" v="5773"/>
    </bk>
    <bk>
      <rc t="2" v="5774"/>
    </bk>
    <bk>
      <rc t="2" v="5775"/>
    </bk>
    <bk>
      <rc t="2" v="5776"/>
    </bk>
    <bk>
      <rc t="2" v="5777"/>
    </bk>
    <bk>
      <rc t="2" v="5778"/>
    </bk>
    <bk>
      <rc t="2" v="5779"/>
    </bk>
    <bk>
      <rc t="2" v="5780"/>
    </bk>
    <bk>
      <rc t="2" v="5781"/>
    </bk>
    <bk>
      <rc t="2" v="5782"/>
    </bk>
    <bk>
      <rc t="2" v="5783"/>
    </bk>
    <bk>
      <rc t="2" v="5784"/>
    </bk>
    <bk>
      <rc t="2" v="5785"/>
    </bk>
    <bk>
      <rc t="2" v="5786"/>
    </bk>
    <bk>
      <rc t="2" v="5787"/>
    </bk>
    <bk>
      <rc t="2" v="5788"/>
    </bk>
    <bk>
      <rc t="2" v="5789"/>
    </bk>
    <bk>
      <rc t="2" v="5790"/>
    </bk>
    <bk>
      <rc t="2" v="5791"/>
    </bk>
    <bk>
      <rc t="2" v="5792"/>
    </bk>
    <bk>
      <rc t="2" v="5793"/>
    </bk>
    <bk>
      <rc t="2" v="5794"/>
    </bk>
    <bk>
      <rc t="2" v="5795"/>
    </bk>
    <bk>
      <rc t="2" v="5796"/>
    </bk>
    <bk>
      <rc t="2" v="5797"/>
    </bk>
    <bk>
      <rc t="2" v="5798"/>
    </bk>
    <bk>
      <rc t="2" v="5799"/>
    </bk>
    <bk>
      <rc t="2" v="5800"/>
    </bk>
    <bk>
      <rc t="2" v="5801"/>
    </bk>
    <bk>
      <rc t="2" v="5802"/>
    </bk>
    <bk>
      <rc t="2" v="5803"/>
    </bk>
    <bk>
      <rc t="2" v="5804"/>
    </bk>
    <bk>
      <rc t="2" v="5805"/>
    </bk>
    <bk>
      <rc t="2" v="5806"/>
    </bk>
    <bk>
      <rc t="2" v="5807"/>
    </bk>
    <bk>
      <rc t="2" v="5808"/>
    </bk>
    <bk>
      <rc t="2" v="5809"/>
    </bk>
    <bk>
      <rc t="2" v="5810"/>
    </bk>
    <bk>
      <rc t="2" v="5811"/>
    </bk>
    <bk>
      <rc t="2" v="5812"/>
    </bk>
    <bk>
      <rc t="2" v="5813"/>
    </bk>
    <bk>
      <rc t="2" v="5814"/>
    </bk>
    <bk>
      <rc t="2" v="5815"/>
    </bk>
    <bk>
      <rc t="2" v="5816"/>
    </bk>
    <bk>
      <rc t="2" v="5817"/>
    </bk>
    <bk>
      <rc t="2" v="5818"/>
    </bk>
    <bk>
      <rc t="2" v="5819"/>
    </bk>
    <bk>
      <rc t="2" v="5820"/>
    </bk>
    <bk>
      <rc t="2" v="5821"/>
    </bk>
    <bk>
      <rc t="2" v="5822"/>
    </bk>
    <bk>
      <rc t="2" v="5823"/>
    </bk>
    <bk>
      <rc t="2" v="5824"/>
    </bk>
    <bk>
      <rc t="2" v="5825"/>
    </bk>
    <bk>
      <rc t="2" v="5826"/>
    </bk>
    <bk>
      <rc t="2" v="5827"/>
    </bk>
    <bk>
      <rc t="2" v="5828"/>
    </bk>
    <bk>
      <rc t="2" v="5829"/>
    </bk>
    <bk>
      <rc t="2" v="5830"/>
    </bk>
    <bk>
      <rc t="2" v="5831"/>
    </bk>
    <bk>
      <rc t="2" v="5832"/>
    </bk>
    <bk>
      <rc t="2" v="5833"/>
    </bk>
    <bk>
      <rc t="2" v="5834"/>
    </bk>
    <bk>
      <rc t="2" v="5835"/>
    </bk>
    <bk>
      <rc t="2" v="5836"/>
    </bk>
    <bk>
      <rc t="2" v="5837"/>
    </bk>
    <bk>
      <rc t="2" v="5838"/>
    </bk>
    <bk>
      <rc t="2" v="5839"/>
    </bk>
    <bk>
      <rc t="2" v="5840"/>
    </bk>
    <bk>
      <rc t="2" v="5841"/>
    </bk>
    <bk>
      <rc t="2" v="5842"/>
    </bk>
    <bk>
      <rc t="2" v="5843"/>
    </bk>
    <bk>
      <rc t="2" v="5844"/>
    </bk>
    <bk>
      <rc t="2" v="5845"/>
    </bk>
    <bk>
      <rc t="2" v="5846"/>
    </bk>
    <bk>
      <rc t="2" v="5847"/>
    </bk>
    <bk>
      <rc t="2" v="5848"/>
    </bk>
    <bk>
      <rc t="2" v="5849"/>
    </bk>
    <bk>
      <rc t="2" v="5850"/>
    </bk>
    <bk>
      <rc t="2" v="5851"/>
    </bk>
    <bk>
      <rc t="2" v="5852"/>
    </bk>
    <bk>
      <rc t="2" v="5853"/>
    </bk>
    <bk>
      <rc t="2" v="5854"/>
    </bk>
    <bk>
      <rc t="2" v="5855"/>
    </bk>
    <bk>
      <rc t="2" v="5856"/>
    </bk>
    <bk>
      <rc t="2" v="5857"/>
    </bk>
    <bk>
      <rc t="2" v="5858"/>
    </bk>
    <bk>
      <rc t="2" v="5859"/>
    </bk>
    <bk>
      <rc t="2" v="5860"/>
    </bk>
    <bk>
      <rc t="2" v="5861"/>
    </bk>
    <bk>
      <rc t="2" v="5862"/>
    </bk>
    <bk>
      <rc t="2" v="5863"/>
    </bk>
    <bk>
      <rc t="2" v="5864"/>
    </bk>
    <bk>
      <rc t="2" v="5865"/>
    </bk>
    <bk>
      <rc t="2" v="5866"/>
    </bk>
    <bk>
      <rc t="2" v="5867"/>
    </bk>
    <bk>
      <rc t="2" v="5868"/>
    </bk>
    <bk>
      <rc t="2" v="5869"/>
    </bk>
    <bk>
      <rc t="2" v="5870"/>
    </bk>
    <bk>
      <rc t="2" v="5871"/>
    </bk>
    <bk>
      <rc t="2" v="5872"/>
    </bk>
    <bk>
      <rc t="2" v="5873"/>
    </bk>
    <bk>
      <rc t="2" v="5874"/>
    </bk>
    <bk>
      <rc t="2" v="5875"/>
    </bk>
    <bk>
      <rc t="2" v="5876"/>
    </bk>
    <bk>
      <rc t="2" v="5877"/>
    </bk>
    <bk>
      <rc t="2" v="5878"/>
    </bk>
    <bk>
      <rc t="2" v="5879"/>
    </bk>
    <bk>
      <rc t="2" v="5880"/>
    </bk>
    <bk>
      <rc t="2" v="5881"/>
    </bk>
    <bk>
      <rc t="2" v="5882"/>
    </bk>
    <bk>
      <rc t="2" v="5883"/>
    </bk>
    <bk>
      <rc t="2" v="5884"/>
    </bk>
    <bk>
      <rc t="2" v="5885"/>
    </bk>
    <bk>
      <rc t="2" v="5886"/>
    </bk>
    <bk>
      <rc t="2" v="5887"/>
    </bk>
    <bk>
      <rc t="2" v="5888"/>
    </bk>
    <bk>
      <rc t="2" v="5889"/>
    </bk>
    <bk>
      <rc t="2" v="5890"/>
    </bk>
    <bk>
      <rc t="2" v="5891"/>
    </bk>
    <bk>
      <rc t="2" v="5892"/>
    </bk>
    <bk>
      <rc t="2" v="5893"/>
    </bk>
    <bk>
      <rc t="2" v="5894"/>
    </bk>
    <bk>
      <rc t="2" v="5895"/>
    </bk>
    <bk>
      <rc t="2" v="5896"/>
    </bk>
    <bk>
      <rc t="2" v="5897"/>
    </bk>
    <bk>
      <rc t="2" v="5898"/>
    </bk>
    <bk>
      <rc t="2" v="5899"/>
    </bk>
    <bk>
      <rc t="2" v="5900"/>
    </bk>
    <bk>
      <rc t="2" v="5901"/>
    </bk>
    <bk>
      <rc t="2" v="5902"/>
    </bk>
    <bk>
      <rc t="2" v="5903"/>
    </bk>
    <bk>
      <rc t="2" v="5904"/>
    </bk>
    <bk>
      <rc t="2" v="5905"/>
    </bk>
    <bk>
      <rc t="2" v="5906"/>
    </bk>
    <bk>
      <rc t="2" v="5907"/>
    </bk>
    <bk>
      <rc t="2" v="5908"/>
    </bk>
    <bk>
      <rc t="2" v="5909"/>
    </bk>
    <bk>
      <rc t="2" v="5910"/>
    </bk>
    <bk>
      <rc t="2" v="5911"/>
    </bk>
    <bk>
      <rc t="2" v="5912"/>
    </bk>
    <bk>
      <rc t="2" v="5913"/>
    </bk>
    <bk>
      <rc t="2" v="5914"/>
    </bk>
    <bk>
      <rc t="2" v="5915"/>
    </bk>
    <bk>
      <rc t="2" v="5916"/>
    </bk>
    <bk>
      <rc t="2" v="5917"/>
    </bk>
    <bk>
      <rc t="2" v="5918"/>
    </bk>
    <bk>
      <rc t="2" v="5919"/>
    </bk>
    <bk>
      <rc t="2" v="5920"/>
    </bk>
    <bk>
      <rc t="2" v="5921"/>
    </bk>
    <bk>
      <rc t="2" v="5922"/>
    </bk>
    <bk>
      <rc t="2" v="5923"/>
    </bk>
    <bk>
      <rc t="2" v="5924"/>
    </bk>
    <bk>
      <rc t="2" v="5925"/>
    </bk>
    <bk>
      <rc t="2" v="5926"/>
    </bk>
    <bk>
      <rc t="2" v="5927"/>
    </bk>
    <bk>
      <rc t="2" v="5928"/>
    </bk>
    <bk>
      <rc t="2" v="5929"/>
    </bk>
    <bk>
      <rc t="2" v="5930"/>
    </bk>
    <bk>
      <rc t="2" v="5931"/>
    </bk>
    <bk>
      <rc t="2" v="5932"/>
    </bk>
    <bk>
      <rc t="2" v="5933"/>
    </bk>
    <bk>
      <rc t="2" v="5934"/>
    </bk>
    <bk>
      <rc t="2" v="5935"/>
    </bk>
    <bk>
      <rc t="2" v="5936"/>
    </bk>
    <bk>
      <rc t="2" v="5937"/>
    </bk>
    <bk>
      <rc t="2" v="5938"/>
    </bk>
    <bk>
      <rc t="2" v="5939"/>
    </bk>
    <bk>
      <rc t="2" v="5940"/>
    </bk>
    <bk>
      <rc t="2" v="5941"/>
    </bk>
    <bk>
      <rc t="2" v="5942"/>
    </bk>
    <bk>
      <rc t="2" v="5943"/>
    </bk>
    <bk>
      <rc t="2" v="5944"/>
    </bk>
    <bk>
      <rc t="2" v="5945"/>
    </bk>
    <bk>
      <rc t="2" v="5946"/>
    </bk>
    <bk>
      <rc t="2" v="5947"/>
    </bk>
    <bk>
      <rc t="2" v="5948"/>
    </bk>
    <bk>
      <rc t="2" v="5949"/>
    </bk>
    <bk>
      <rc t="2" v="5950"/>
    </bk>
    <bk>
      <rc t="2" v="5951"/>
    </bk>
    <bk>
      <rc t="2" v="5952"/>
    </bk>
    <bk>
      <rc t="2" v="5953"/>
    </bk>
    <bk>
      <rc t="2" v="5954"/>
    </bk>
    <bk>
      <rc t="2" v="5955"/>
    </bk>
    <bk>
      <rc t="2" v="5956"/>
    </bk>
    <bk>
      <rc t="2" v="5957"/>
    </bk>
    <bk>
      <rc t="2" v="5958"/>
    </bk>
    <bk>
      <rc t="2" v="5959"/>
    </bk>
    <bk>
      <rc t="2" v="5960"/>
    </bk>
    <bk>
      <rc t="2" v="5961"/>
    </bk>
    <bk>
      <rc t="2" v="5962"/>
    </bk>
    <bk>
      <rc t="2" v="5963"/>
    </bk>
    <bk>
      <rc t="2" v="5964"/>
    </bk>
    <bk>
      <rc t="2" v="5965"/>
    </bk>
    <bk>
      <rc t="2" v="5966"/>
    </bk>
    <bk>
      <rc t="2" v="5967"/>
    </bk>
    <bk>
      <rc t="2" v="5968"/>
    </bk>
    <bk>
      <rc t="2" v="5969"/>
    </bk>
    <bk>
      <rc t="2" v="5970"/>
    </bk>
    <bk>
      <rc t="2" v="5971"/>
    </bk>
    <bk>
      <rc t="2" v="5972"/>
    </bk>
    <bk>
      <rc t="2" v="5973"/>
    </bk>
    <bk>
      <rc t="2" v="5974"/>
    </bk>
    <bk>
      <rc t="2" v="5975"/>
    </bk>
    <bk>
      <rc t="2" v="5976"/>
    </bk>
    <bk>
      <rc t="2" v="5977"/>
    </bk>
    <bk>
      <rc t="2" v="5978"/>
    </bk>
    <bk>
      <rc t="2" v="5979"/>
    </bk>
    <bk>
      <rc t="2" v="5980"/>
    </bk>
    <bk>
      <rc t="2" v="5981"/>
    </bk>
    <bk>
      <rc t="2" v="5982"/>
    </bk>
    <bk>
      <rc t="2" v="5983"/>
    </bk>
    <bk>
      <rc t="2" v="5984"/>
    </bk>
    <bk>
      <rc t="2" v="5985"/>
    </bk>
    <bk>
      <rc t="2" v="5986"/>
    </bk>
    <bk>
      <rc t="2" v="5987"/>
    </bk>
    <bk>
      <rc t="2" v="5988"/>
    </bk>
    <bk>
      <rc t="2" v="5989"/>
    </bk>
    <bk>
      <rc t="2" v="5990"/>
    </bk>
    <bk>
      <rc t="2" v="5991"/>
    </bk>
    <bk>
      <rc t="2" v="5992"/>
    </bk>
    <bk>
      <rc t="2" v="5993"/>
    </bk>
    <bk>
      <rc t="2" v="5994"/>
    </bk>
    <bk>
      <rc t="2" v="5995"/>
    </bk>
    <bk>
      <rc t="2" v="5996"/>
    </bk>
    <bk>
      <rc t="2" v="5997"/>
    </bk>
    <bk>
      <rc t="2" v="5998"/>
    </bk>
    <bk>
      <rc t="2" v="5999"/>
    </bk>
    <bk>
      <rc t="2" v="6000"/>
    </bk>
    <bk>
      <rc t="2" v="6001"/>
    </bk>
    <bk>
      <rc t="2" v="6002"/>
    </bk>
    <bk>
      <rc t="2" v="6003"/>
    </bk>
    <bk>
      <rc t="2" v="6004"/>
    </bk>
    <bk>
      <rc t="2" v="6005"/>
    </bk>
    <bk>
      <rc t="2" v="6006"/>
    </bk>
    <bk>
      <rc t="2" v="6007"/>
    </bk>
    <bk>
      <rc t="2" v="6008"/>
    </bk>
    <bk>
      <rc t="2" v="6009"/>
    </bk>
    <bk>
      <rc t="2" v="6010"/>
    </bk>
    <bk>
      <rc t="2" v="6011"/>
    </bk>
    <bk>
      <rc t="2" v="6012"/>
    </bk>
    <bk>
      <rc t="2" v="6013"/>
    </bk>
    <bk>
      <rc t="2" v="6014"/>
    </bk>
    <bk>
      <rc t="2" v="6015"/>
    </bk>
    <bk>
      <rc t="2" v="6016"/>
    </bk>
    <bk>
      <rc t="2" v="6017"/>
    </bk>
    <bk>
      <rc t="2" v="6018"/>
    </bk>
    <bk>
      <rc t="2" v="6019"/>
    </bk>
    <bk>
      <rc t="2" v="6020"/>
    </bk>
    <bk>
      <rc t="2" v="6021"/>
    </bk>
    <bk>
      <rc t="2" v="6022"/>
    </bk>
    <bk>
      <rc t="2" v="6023"/>
    </bk>
    <bk>
      <rc t="2" v="6024"/>
    </bk>
    <bk>
      <rc t="2" v="6025"/>
    </bk>
    <bk>
      <rc t="2" v="6026"/>
    </bk>
    <bk>
      <rc t="2" v="6027"/>
    </bk>
    <bk>
      <rc t="2" v="6028"/>
    </bk>
    <bk>
      <rc t="2" v="6029"/>
    </bk>
    <bk>
      <rc t="2" v="6030"/>
    </bk>
    <bk>
      <rc t="2" v="6031"/>
    </bk>
    <bk>
      <rc t="2" v="6032"/>
    </bk>
    <bk>
      <rc t="2" v="6033"/>
    </bk>
    <bk>
      <rc t="2" v="6034"/>
    </bk>
    <bk>
      <rc t="2" v="6035"/>
    </bk>
    <bk>
      <rc t="2" v="6036"/>
    </bk>
    <bk>
      <rc t="2" v="6037"/>
    </bk>
    <bk>
      <rc t="2" v="6038"/>
    </bk>
    <bk>
      <rc t="2" v="6039"/>
    </bk>
    <bk>
      <rc t="2" v="6040"/>
    </bk>
    <bk>
      <rc t="2" v="6041"/>
    </bk>
    <bk>
      <rc t="2" v="6042"/>
    </bk>
    <bk>
      <rc t="2" v="6043"/>
    </bk>
    <bk>
      <rc t="2" v="6044"/>
    </bk>
    <bk>
      <rc t="2" v="6045"/>
    </bk>
    <bk>
      <rc t="2" v="6046"/>
    </bk>
    <bk>
      <rc t="2" v="6047"/>
    </bk>
    <bk>
      <rc t="2" v="6048"/>
    </bk>
    <bk>
      <rc t="2" v="6049"/>
    </bk>
    <bk>
      <rc t="2" v="6050"/>
    </bk>
    <bk>
      <rc t="2" v="6051"/>
    </bk>
    <bk>
      <rc t="2" v="6052"/>
    </bk>
    <bk>
      <rc t="2" v="6053"/>
    </bk>
    <bk>
      <rc t="2" v="6054"/>
    </bk>
    <bk>
      <rc t="2" v="6055"/>
    </bk>
    <bk>
      <rc t="2" v="6056"/>
    </bk>
    <bk>
      <rc t="2" v="6057"/>
    </bk>
    <bk>
      <rc t="2" v="6058"/>
    </bk>
    <bk>
      <rc t="2" v="6059"/>
    </bk>
    <bk>
      <rc t="2" v="6060"/>
    </bk>
    <bk>
      <rc t="2" v="6061"/>
    </bk>
    <bk>
      <rc t="2" v="6062"/>
    </bk>
    <bk>
      <rc t="2" v="6063"/>
    </bk>
    <bk>
      <rc t="2" v="6064"/>
    </bk>
    <bk>
      <rc t="2" v="6065"/>
    </bk>
    <bk>
      <rc t="2" v="6066"/>
    </bk>
    <bk>
      <rc t="2" v="6067"/>
    </bk>
    <bk>
      <rc t="2" v="6068"/>
    </bk>
    <bk>
      <rc t="2" v="6069"/>
    </bk>
    <bk>
      <rc t="2" v="6070"/>
    </bk>
    <bk>
      <rc t="2" v="6071"/>
    </bk>
    <bk>
      <rc t="2" v="6072"/>
    </bk>
    <bk>
      <rc t="2" v="6073"/>
    </bk>
    <bk>
      <rc t="2" v="6074"/>
    </bk>
    <bk>
      <rc t="2" v="6075"/>
    </bk>
    <bk>
      <rc t="2" v="6076"/>
    </bk>
    <bk>
      <rc t="2" v="6077"/>
    </bk>
    <bk>
      <rc t="2" v="6078"/>
    </bk>
    <bk>
      <rc t="2" v="6079"/>
    </bk>
    <bk>
      <rc t="2" v="6080"/>
    </bk>
    <bk>
      <rc t="2" v="6081"/>
    </bk>
    <bk>
      <rc t="2" v="6082"/>
    </bk>
    <bk>
      <rc t="2" v="6083"/>
    </bk>
    <bk>
      <rc t="2" v="6084"/>
    </bk>
    <bk>
      <rc t="2" v="6085"/>
    </bk>
    <bk>
      <rc t="2" v="6086"/>
    </bk>
    <bk>
      <rc t="2" v="6087"/>
    </bk>
    <bk>
      <rc t="2" v="6088"/>
    </bk>
    <bk>
      <rc t="2" v="6089"/>
    </bk>
    <bk>
      <rc t="2" v="6090"/>
    </bk>
    <bk>
      <rc t="2" v="6091"/>
    </bk>
    <bk>
      <rc t="2" v="6092"/>
    </bk>
    <bk>
      <rc t="2" v="6093"/>
    </bk>
    <bk>
      <rc t="2" v="6094"/>
    </bk>
    <bk>
      <rc t="2" v="6095"/>
    </bk>
    <bk>
      <rc t="2" v="6096"/>
    </bk>
    <bk>
      <rc t="2" v="6097"/>
    </bk>
    <bk>
      <rc t="2" v="6098"/>
    </bk>
    <bk>
      <rc t="2" v="6099"/>
    </bk>
    <bk>
      <rc t="2" v="6100"/>
    </bk>
    <bk>
      <rc t="2" v="6101"/>
    </bk>
    <bk>
      <rc t="2" v="6102"/>
    </bk>
    <bk>
      <rc t="2" v="6103"/>
    </bk>
    <bk>
      <rc t="2" v="6104"/>
    </bk>
    <bk>
      <rc t="2" v="6105"/>
    </bk>
    <bk>
      <rc t="2" v="6106"/>
    </bk>
    <bk>
      <rc t="2" v="6107"/>
    </bk>
    <bk>
      <rc t="2" v="6108"/>
    </bk>
    <bk>
      <rc t="2" v="6109"/>
    </bk>
    <bk>
      <rc t="2" v="6110"/>
    </bk>
    <bk>
      <rc t="2" v="6111"/>
    </bk>
    <bk>
      <rc t="2" v="6112"/>
    </bk>
    <bk>
      <rc t="2" v="6113"/>
    </bk>
    <bk>
      <rc t="2" v="6114"/>
    </bk>
    <bk>
      <rc t="2" v="6115"/>
    </bk>
    <bk>
      <rc t="2" v="6116"/>
    </bk>
    <bk>
      <rc t="2" v="6117"/>
    </bk>
    <bk>
      <rc t="2" v="6118"/>
    </bk>
    <bk>
      <rc t="2" v="6119"/>
    </bk>
    <bk>
      <rc t="2" v="6120"/>
    </bk>
    <bk>
      <rc t="2" v="6121"/>
    </bk>
    <bk>
      <rc t="2" v="6122"/>
    </bk>
    <bk>
      <rc t="2" v="6123"/>
    </bk>
    <bk>
      <rc t="2" v="6124"/>
    </bk>
    <bk>
      <rc t="2" v="6125"/>
    </bk>
    <bk>
      <rc t="2" v="6126"/>
    </bk>
    <bk>
      <rc t="2" v="6127"/>
    </bk>
    <bk>
      <rc t="2" v="6128"/>
    </bk>
    <bk>
      <rc t="2" v="6129"/>
    </bk>
    <bk>
      <rc t="2" v="6130"/>
    </bk>
    <bk>
      <rc t="2" v="6131"/>
    </bk>
    <bk>
      <rc t="2" v="6132"/>
    </bk>
    <bk>
      <rc t="2" v="6133"/>
    </bk>
    <bk>
      <rc t="2" v="6134"/>
    </bk>
    <bk>
      <rc t="2" v="6135"/>
    </bk>
    <bk>
      <rc t="2" v="6136"/>
    </bk>
    <bk>
      <rc t="2" v="6137"/>
    </bk>
    <bk>
      <rc t="2" v="6138"/>
    </bk>
    <bk>
      <rc t="2" v="6139"/>
    </bk>
    <bk>
      <rc t="2" v="6140"/>
    </bk>
    <bk>
      <rc t="2" v="6141"/>
    </bk>
    <bk>
      <rc t="2" v="6142"/>
    </bk>
    <bk>
      <rc t="2" v="6143"/>
    </bk>
    <bk>
      <rc t="2" v="6144"/>
    </bk>
    <bk>
      <rc t="2" v="6145"/>
    </bk>
    <bk>
      <rc t="2" v="6146"/>
    </bk>
    <bk>
      <rc t="2" v="6147"/>
    </bk>
    <bk>
      <rc t="2" v="6148"/>
    </bk>
    <bk>
      <rc t="2" v="6149"/>
    </bk>
    <bk>
      <rc t="2" v="6150"/>
    </bk>
    <bk>
      <rc t="2" v="6151"/>
    </bk>
    <bk>
      <rc t="2" v="6152"/>
    </bk>
    <bk>
      <rc t="2" v="6153"/>
    </bk>
    <bk>
      <rc t="2" v="6154"/>
    </bk>
    <bk>
      <rc t="2" v="6155"/>
    </bk>
    <bk>
      <rc t="2" v="6156"/>
    </bk>
    <bk>
      <rc t="2" v="6157"/>
    </bk>
    <bk>
      <rc t="2" v="6158"/>
    </bk>
    <bk>
      <rc t="2" v="6159"/>
    </bk>
    <bk>
      <rc t="2" v="6160"/>
    </bk>
    <bk>
      <rc t="2" v="6161"/>
    </bk>
    <bk>
      <rc t="2" v="6162"/>
    </bk>
    <bk>
      <rc t="2" v="6163"/>
    </bk>
    <bk>
      <rc t="2" v="6164"/>
    </bk>
    <bk>
      <rc t="2" v="6165"/>
    </bk>
    <bk>
      <rc t="2" v="6166"/>
    </bk>
    <bk>
      <rc t="2" v="6167"/>
    </bk>
    <bk>
      <rc t="2" v="6168"/>
    </bk>
    <bk>
      <rc t="2" v="6169"/>
    </bk>
    <bk>
      <rc t="2" v="6170"/>
    </bk>
    <bk>
      <rc t="2" v="6171"/>
    </bk>
    <bk>
      <rc t="2" v="6172"/>
    </bk>
    <bk>
      <rc t="2" v="6173"/>
    </bk>
    <bk>
      <rc t="2" v="6174"/>
    </bk>
    <bk>
      <rc t="2" v="6175"/>
    </bk>
    <bk>
      <rc t="2" v="6176"/>
    </bk>
    <bk>
      <rc t="2" v="6177"/>
    </bk>
    <bk>
      <rc t="2" v="6178"/>
    </bk>
    <bk>
      <rc t="2" v="6179"/>
    </bk>
    <bk>
      <rc t="2" v="6180"/>
    </bk>
    <bk>
      <rc t="2" v="6181"/>
    </bk>
    <bk>
      <rc t="2" v="6182"/>
    </bk>
    <bk>
      <rc t="2" v="6183"/>
    </bk>
    <bk>
      <rc t="2" v="6184"/>
    </bk>
    <bk>
      <rc t="2" v="6185"/>
    </bk>
    <bk>
      <rc t="2" v="6186"/>
    </bk>
    <bk>
      <rc t="2" v="6187"/>
    </bk>
    <bk>
      <rc t="2" v="6188"/>
    </bk>
    <bk>
      <rc t="2" v="6189"/>
    </bk>
    <bk>
      <rc t="2" v="6190"/>
    </bk>
    <bk>
      <rc t="2" v="6191"/>
    </bk>
    <bk>
      <rc t="2" v="6192"/>
    </bk>
    <bk>
      <rc t="2" v="6193"/>
    </bk>
    <bk>
      <rc t="2" v="6194"/>
    </bk>
    <bk>
      <rc t="2" v="6195"/>
    </bk>
    <bk>
      <rc t="2" v="6196"/>
    </bk>
    <bk>
      <rc t="2" v="6197"/>
    </bk>
    <bk>
      <rc t="2" v="6198"/>
    </bk>
    <bk>
      <rc t="2" v="6199"/>
    </bk>
    <bk>
      <rc t="2" v="6200"/>
    </bk>
    <bk>
      <rc t="2" v="6201"/>
    </bk>
    <bk>
      <rc t="2" v="6202"/>
    </bk>
    <bk>
      <rc t="2" v="6203"/>
    </bk>
    <bk>
      <rc t="2" v="6204"/>
    </bk>
    <bk>
      <rc t="2" v="6205"/>
    </bk>
    <bk>
      <rc t="2" v="6206"/>
    </bk>
    <bk>
      <rc t="2" v="6207"/>
    </bk>
    <bk>
      <rc t="2" v="6208"/>
    </bk>
    <bk>
      <rc t="2" v="6209"/>
    </bk>
    <bk>
      <rc t="2" v="6210"/>
    </bk>
    <bk>
      <rc t="2" v="6211"/>
    </bk>
    <bk>
      <rc t="2" v="6212"/>
    </bk>
    <bk>
      <rc t="2" v="6213"/>
    </bk>
    <bk>
      <rc t="2" v="6214"/>
    </bk>
    <bk>
      <rc t="2" v="6215"/>
    </bk>
    <bk>
      <rc t="2" v="6216"/>
    </bk>
    <bk>
      <rc t="2" v="6217"/>
    </bk>
    <bk>
      <rc t="2" v="6218"/>
    </bk>
    <bk>
      <rc t="2" v="6219"/>
    </bk>
    <bk>
      <rc t="2" v="6220"/>
    </bk>
    <bk>
      <rc t="2" v="6221"/>
    </bk>
    <bk>
      <rc t="2" v="6222"/>
    </bk>
    <bk>
      <rc t="2" v="6223"/>
    </bk>
    <bk>
      <rc t="2" v="6224"/>
    </bk>
    <bk>
      <rc t="2" v="6225"/>
    </bk>
    <bk>
      <rc t="2" v="6226"/>
    </bk>
    <bk>
      <rc t="2" v="6227"/>
    </bk>
    <bk>
      <rc t="2" v="6228"/>
    </bk>
    <bk>
      <rc t="2" v="6229"/>
    </bk>
    <bk>
      <rc t="2" v="6230"/>
    </bk>
    <bk>
      <rc t="2" v="6231"/>
    </bk>
    <bk>
      <rc t="2" v="6232"/>
    </bk>
    <bk>
      <rc t="2" v="6233"/>
    </bk>
    <bk>
      <rc t="2" v="6234"/>
    </bk>
    <bk>
      <rc t="2" v="6235"/>
    </bk>
    <bk>
      <rc t="2" v="6236"/>
    </bk>
    <bk>
      <rc t="2" v="6237"/>
    </bk>
    <bk>
      <rc t="2" v="6238"/>
    </bk>
    <bk>
      <rc t="2" v="6239"/>
    </bk>
    <bk>
      <rc t="2" v="6240"/>
    </bk>
    <bk>
      <rc t="2" v="6241"/>
    </bk>
    <bk>
      <rc t="2" v="6242"/>
    </bk>
    <bk>
      <rc t="2" v="6243"/>
    </bk>
    <bk>
      <rc t="2" v="6244"/>
    </bk>
    <bk>
      <rc t="2" v="6245"/>
    </bk>
    <bk>
      <rc t="2" v="6246"/>
    </bk>
    <bk>
      <rc t="2" v="6247"/>
    </bk>
    <bk>
      <rc t="2" v="6248"/>
    </bk>
    <bk>
      <rc t="2" v="6249"/>
    </bk>
    <bk>
      <rc t="2" v="6250"/>
    </bk>
    <bk>
      <rc t="2" v="6251"/>
    </bk>
    <bk>
      <rc t="2" v="6252"/>
    </bk>
    <bk>
      <rc t="2" v="6253"/>
    </bk>
    <bk>
      <rc t="2" v="6254"/>
    </bk>
    <bk>
      <rc t="2" v="6255"/>
    </bk>
    <bk>
      <rc t="2" v="6256"/>
    </bk>
    <bk>
      <rc t="2" v="6257"/>
    </bk>
    <bk>
      <rc t="2" v="6258"/>
    </bk>
    <bk>
      <rc t="2" v="6259"/>
    </bk>
    <bk>
      <rc t="2" v="6260"/>
    </bk>
    <bk>
      <rc t="2" v="6261"/>
    </bk>
    <bk>
      <rc t="2" v="6262"/>
    </bk>
    <bk>
      <rc t="2" v="6263"/>
    </bk>
    <bk>
      <rc t="2" v="6264"/>
    </bk>
    <bk>
      <rc t="2" v="6265"/>
    </bk>
    <bk>
      <rc t="2" v="6266"/>
    </bk>
    <bk>
      <rc t="2" v="6267"/>
    </bk>
    <bk>
      <rc t="2" v="6268"/>
    </bk>
    <bk>
      <rc t="2" v="6269"/>
    </bk>
    <bk>
      <rc t="2" v="6270"/>
    </bk>
    <bk>
      <rc t="2" v="6271"/>
    </bk>
    <bk>
      <rc t="2" v="6272"/>
    </bk>
    <bk>
      <rc t="2" v="6273"/>
    </bk>
    <bk>
      <rc t="2" v="6274"/>
    </bk>
    <bk>
      <rc t="2" v="6275"/>
    </bk>
    <bk>
      <rc t="2" v="6276"/>
    </bk>
    <bk>
      <rc t="2" v="6277"/>
    </bk>
    <bk>
      <rc t="2" v="6278"/>
    </bk>
    <bk>
      <rc t="2" v="6279"/>
    </bk>
    <bk>
      <rc t="2" v="6280"/>
    </bk>
    <bk>
      <rc t="2" v="6281"/>
    </bk>
    <bk>
      <rc t="2" v="6282"/>
    </bk>
    <bk>
      <rc t="2" v="6283"/>
    </bk>
    <bk>
      <rc t="2" v="6284"/>
    </bk>
    <bk>
      <rc t="2" v="6285"/>
    </bk>
    <bk>
      <rc t="2" v="6286"/>
    </bk>
    <bk>
      <rc t="2" v="6287"/>
    </bk>
    <bk>
      <rc t="2" v="6288"/>
    </bk>
    <bk>
      <rc t="2" v="6289"/>
    </bk>
    <bk>
      <rc t="2" v="6290"/>
    </bk>
    <bk>
      <rc t="2" v="6291"/>
    </bk>
    <bk>
      <rc t="2" v="6292"/>
    </bk>
    <bk>
      <rc t="2" v="6293"/>
    </bk>
    <bk>
      <rc t="2" v="6294"/>
    </bk>
    <bk>
      <rc t="2" v="6295"/>
    </bk>
    <bk>
      <rc t="2" v="6296"/>
    </bk>
    <bk>
      <rc t="2" v="6297"/>
    </bk>
    <bk>
      <rc t="2" v="6298"/>
    </bk>
    <bk>
      <rc t="2" v="6299"/>
    </bk>
    <bk>
      <rc t="2" v="6300"/>
    </bk>
    <bk>
      <rc t="2" v="6301"/>
    </bk>
    <bk>
      <rc t="2" v="6302"/>
    </bk>
    <bk>
      <rc t="2" v="6303"/>
    </bk>
    <bk>
      <rc t="2" v="6304"/>
    </bk>
    <bk>
      <rc t="2" v="6305"/>
    </bk>
    <bk>
      <rc t="2" v="6306"/>
    </bk>
    <bk>
      <rc t="2" v="6307"/>
    </bk>
    <bk>
      <rc t="2" v="6308"/>
    </bk>
    <bk>
      <rc t="2" v="6309"/>
    </bk>
    <bk>
      <rc t="2" v="6310"/>
    </bk>
    <bk>
      <rc t="2" v="6311"/>
    </bk>
    <bk>
      <rc t="2" v="6312"/>
    </bk>
    <bk>
      <rc t="2" v="6313"/>
    </bk>
    <bk>
      <rc t="2" v="6314"/>
    </bk>
    <bk>
      <rc t="2" v="6315"/>
    </bk>
    <bk>
      <rc t="2" v="6316"/>
    </bk>
    <bk>
      <rc t="2" v="6317"/>
    </bk>
    <bk>
      <rc t="2" v="6318"/>
    </bk>
    <bk>
      <rc t="2" v="6319"/>
    </bk>
    <bk>
      <rc t="2" v="6320"/>
    </bk>
    <bk>
      <rc t="2" v="6321"/>
    </bk>
    <bk>
      <rc t="2" v="6322"/>
    </bk>
    <bk>
      <rc t="2" v="6323"/>
    </bk>
    <bk>
      <rc t="2" v="6324"/>
    </bk>
    <bk>
      <rc t="2" v="6325"/>
    </bk>
    <bk>
      <rc t="2" v="6326"/>
    </bk>
    <bk>
      <rc t="2" v="6327"/>
    </bk>
    <bk>
      <rc t="2" v="6328"/>
    </bk>
    <bk>
      <rc t="2" v="6329"/>
    </bk>
    <bk>
      <rc t="2" v="6330"/>
    </bk>
    <bk>
      <rc t="2" v="6331"/>
    </bk>
    <bk>
      <rc t="2" v="6332"/>
    </bk>
    <bk>
      <rc t="2" v="6333"/>
    </bk>
    <bk>
      <rc t="2" v="6334"/>
    </bk>
    <bk>
      <rc t="2" v="6335"/>
    </bk>
    <bk>
      <rc t="2" v="6336"/>
    </bk>
    <bk>
      <rc t="2" v="6337"/>
    </bk>
    <bk>
      <rc t="2" v="6338"/>
    </bk>
    <bk>
      <rc t="2" v="6339"/>
    </bk>
    <bk>
      <rc t="2" v="6340"/>
    </bk>
    <bk>
      <rc t="2" v="6341"/>
    </bk>
    <bk>
      <rc t="2" v="6342"/>
    </bk>
    <bk>
      <rc t="2" v="6343"/>
    </bk>
    <bk>
      <rc t="2" v="6344"/>
    </bk>
    <bk>
      <rc t="2" v="6345"/>
    </bk>
    <bk>
      <rc t="2" v="6346"/>
    </bk>
    <bk>
      <rc t="2" v="6347"/>
    </bk>
    <bk>
      <rc t="2" v="6348"/>
    </bk>
    <bk>
      <rc t="2" v="6349"/>
    </bk>
    <bk>
      <rc t="2" v="6350"/>
    </bk>
    <bk>
      <rc t="2" v="6351"/>
    </bk>
    <bk>
      <rc t="2" v="6352"/>
    </bk>
    <bk>
      <rc t="2" v="6353"/>
    </bk>
    <bk>
      <rc t="2" v="6354"/>
    </bk>
    <bk>
      <rc t="2" v="6355"/>
    </bk>
    <bk>
      <rc t="2" v="6356"/>
    </bk>
    <bk>
      <rc t="2" v="6357"/>
    </bk>
    <bk>
      <rc t="2" v="6358"/>
    </bk>
    <bk>
      <rc t="2" v="6359"/>
    </bk>
    <bk>
      <rc t="2" v="6360"/>
    </bk>
    <bk>
      <rc t="2" v="6361"/>
    </bk>
    <bk>
      <rc t="2" v="6362"/>
    </bk>
    <bk>
      <rc t="2" v="6363"/>
    </bk>
    <bk>
      <rc t="2" v="6364"/>
    </bk>
    <bk>
      <rc t="2" v="6365"/>
    </bk>
    <bk>
      <rc t="2" v="6366"/>
    </bk>
    <bk>
      <rc t="2" v="6367"/>
    </bk>
    <bk>
      <rc t="2" v="6368"/>
    </bk>
    <bk>
      <rc t="2" v="6369"/>
    </bk>
    <bk>
      <rc t="2" v="6370"/>
    </bk>
    <bk>
      <rc t="2" v="6371"/>
    </bk>
    <bk>
      <rc t="2" v="6372"/>
    </bk>
    <bk>
      <rc t="2" v="6373"/>
    </bk>
    <bk>
      <rc t="2" v="6374"/>
    </bk>
    <bk>
      <rc t="2" v="6375"/>
    </bk>
    <bk>
      <rc t="2" v="6376"/>
    </bk>
    <bk>
      <rc t="2" v="6377"/>
    </bk>
    <bk>
      <rc t="2" v="6378"/>
    </bk>
    <bk>
      <rc t="2" v="6379"/>
    </bk>
    <bk>
      <rc t="2" v="6380"/>
    </bk>
    <bk>
      <rc t="2" v="6381"/>
    </bk>
    <bk>
      <rc t="2" v="6382"/>
    </bk>
    <bk>
      <rc t="2" v="6383"/>
    </bk>
    <bk>
      <rc t="2" v="6384"/>
    </bk>
    <bk>
      <rc t="2" v="6385"/>
    </bk>
    <bk>
      <rc t="2" v="6386"/>
    </bk>
    <bk>
      <rc t="2" v="6387"/>
    </bk>
    <bk>
      <rc t="2" v="6388"/>
    </bk>
    <bk>
      <rc t="2" v="6389"/>
    </bk>
    <bk>
      <rc t="2" v="6390"/>
    </bk>
    <bk>
      <rc t="2" v="6391"/>
    </bk>
    <bk>
      <rc t="2" v="6392"/>
    </bk>
    <bk>
      <rc t="2" v="6393"/>
    </bk>
    <bk>
      <rc t="2" v="6394"/>
    </bk>
    <bk>
      <rc t="2" v="6395"/>
    </bk>
    <bk>
      <rc t="2" v="6396"/>
    </bk>
    <bk>
      <rc t="2" v="6397"/>
    </bk>
    <bk>
      <rc t="2" v="6398"/>
    </bk>
    <bk>
      <rc t="2" v="6399"/>
    </bk>
    <bk>
      <rc t="2" v="6400"/>
    </bk>
    <bk>
      <rc t="2" v="6401"/>
    </bk>
    <bk>
      <rc t="2" v="6402"/>
    </bk>
    <bk>
      <rc t="2" v="6403"/>
    </bk>
    <bk>
      <rc t="2" v="6404"/>
    </bk>
    <bk>
      <rc t="2" v="6405"/>
    </bk>
    <bk>
      <rc t="2" v="6406"/>
    </bk>
    <bk>
      <rc t="2" v="6407"/>
    </bk>
    <bk>
      <rc t="2" v="6408"/>
    </bk>
    <bk>
      <rc t="2" v="6409"/>
    </bk>
    <bk>
      <rc t="2" v="6410"/>
    </bk>
    <bk>
      <rc t="2" v="6411"/>
    </bk>
    <bk>
      <rc t="2" v="6412"/>
    </bk>
    <bk>
      <rc t="2" v="6413"/>
    </bk>
    <bk>
      <rc t="2" v="6414"/>
    </bk>
    <bk>
      <rc t="2" v="6415"/>
    </bk>
    <bk>
      <rc t="2" v="6416"/>
    </bk>
    <bk>
      <rc t="2" v="6417"/>
    </bk>
    <bk>
      <rc t="2" v="6418"/>
    </bk>
    <bk>
      <rc t="2" v="6419"/>
    </bk>
    <bk>
      <rc t="2" v="6420"/>
    </bk>
    <bk>
      <rc t="2" v="6421"/>
    </bk>
    <bk>
      <rc t="2" v="6422"/>
    </bk>
    <bk>
      <rc t="2" v="6423"/>
    </bk>
    <bk>
      <rc t="2" v="6424"/>
    </bk>
    <bk>
      <rc t="2" v="6425"/>
    </bk>
    <bk>
      <rc t="2" v="6426"/>
    </bk>
    <bk>
      <rc t="2" v="6427"/>
    </bk>
    <bk>
      <rc t="2" v="6428"/>
    </bk>
    <bk>
      <rc t="2" v="6429"/>
    </bk>
    <bk>
      <rc t="2" v="6430"/>
    </bk>
    <bk>
      <rc t="2" v="6431"/>
    </bk>
    <bk>
      <rc t="2" v="6432"/>
    </bk>
    <bk>
      <rc t="2" v="6433"/>
    </bk>
    <bk>
      <rc t="2" v="6434"/>
    </bk>
    <bk>
      <rc t="2" v="6435"/>
    </bk>
    <bk>
      <rc t="2" v="6436"/>
    </bk>
    <bk>
      <rc t="2" v="6437"/>
    </bk>
    <bk>
      <rc t="2" v="6438"/>
    </bk>
    <bk>
      <rc t="2" v="6439"/>
    </bk>
    <bk>
      <rc t="2" v="6440"/>
    </bk>
    <bk>
      <rc t="2" v="6441"/>
    </bk>
    <bk>
      <rc t="2" v="6442"/>
    </bk>
    <bk>
      <rc t="2" v="6443"/>
    </bk>
    <bk>
      <rc t="2" v="6444"/>
    </bk>
    <bk>
      <rc t="2" v="6445"/>
    </bk>
    <bk>
      <rc t="2" v="6446"/>
    </bk>
    <bk>
      <rc t="2" v="6447"/>
    </bk>
    <bk>
      <rc t="2" v="6448"/>
    </bk>
    <bk>
      <rc t="2" v="6449"/>
    </bk>
    <bk>
      <rc t="2" v="6450"/>
    </bk>
    <bk>
      <rc t="2" v="6451"/>
    </bk>
    <bk>
      <rc t="2" v="6452"/>
    </bk>
    <bk>
      <rc t="2" v="6453"/>
    </bk>
    <bk>
      <rc t="2" v="6454"/>
    </bk>
    <bk>
      <rc t="2" v="6455"/>
    </bk>
    <bk>
      <rc t="2" v="6456"/>
    </bk>
    <bk>
      <rc t="2" v="6457"/>
    </bk>
    <bk>
      <rc t="2" v="6458"/>
    </bk>
    <bk>
      <rc t="2" v="6459"/>
    </bk>
    <bk>
      <rc t="2" v="6460"/>
    </bk>
    <bk>
      <rc t="2" v="6461"/>
    </bk>
    <bk>
      <rc t="2" v="6462"/>
    </bk>
    <bk>
      <rc t="2" v="6463"/>
    </bk>
    <bk>
      <rc t="2" v="6464"/>
    </bk>
    <bk>
      <rc t="2" v="6465"/>
    </bk>
    <bk>
      <rc t="2" v="6466"/>
    </bk>
    <bk>
      <rc t="2" v="6467"/>
    </bk>
    <bk>
      <rc t="2" v="6468"/>
    </bk>
    <bk>
      <rc t="2" v="6469"/>
    </bk>
    <bk>
      <rc t="2" v="6470"/>
    </bk>
    <bk>
      <rc t="2" v="6471"/>
    </bk>
    <bk>
      <rc t="2" v="6472"/>
    </bk>
    <bk>
      <rc t="2" v="6473"/>
    </bk>
    <bk>
      <rc t="2" v="6474"/>
    </bk>
    <bk>
      <rc t="2" v="6475"/>
    </bk>
    <bk>
      <rc t="2" v="6476"/>
    </bk>
    <bk>
      <rc t="2" v="6477"/>
    </bk>
    <bk>
      <rc t="2" v="6478"/>
    </bk>
    <bk>
      <rc t="2" v="6479"/>
    </bk>
    <bk>
      <rc t="2" v="6480"/>
    </bk>
    <bk>
      <rc t="2" v="6481"/>
    </bk>
    <bk>
      <rc t="2" v="6482"/>
    </bk>
    <bk>
      <rc t="2" v="6483"/>
    </bk>
    <bk>
      <rc t="2" v="6484"/>
    </bk>
    <bk>
      <rc t="2" v="6485"/>
    </bk>
    <bk>
      <rc t="2" v="6486"/>
    </bk>
    <bk>
      <rc t="2" v="6487"/>
    </bk>
    <bk>
      <rc t="2" v="6488"/>
    </bk>
    <bk>
      <rc t="2" v="6489"/>
    </bk>
    <bk>
      <rc t="2" v="6490"/>
    </bk>
    <bk>
      <rc t="2" v="6491"/>
    </bk>
    <bk>
      <rc t="2" v="6492"/>
    </bk>
    <bk>
      <rc t="2" v="6493"/>
    </bk>
    <bk>
      <rc t="2" v="6494"/>
    </bk>
    <bk>
      <rc t="2" v="6495"/>
    </bk>
    <bk>
      <rc t="2" v="6496"/>
    </bk>
    <bk>
      <rc t="2" v="6497"/>
    </bk>
    <bk>
      <rc t="2" v="6498"/>
    </bk>
    <bk>
      <rc t="2" v="6499"/>
    </bk>
    <bk>
      <rc t="2" v="6500"/>
    </bk>
    <bk>
      <rc t="2" v="6501"/>
    </bk>
    <bk>
      <rc t="2" v="6502"/>
    </bk>
    <bk>
      <rc t="2" v="6503"/>
    </bk>
    <bk>
      <rc t="2" v="6504"/>
    </bk>
    <bk>
      <rc t="2" v="6505"/>
    </bk>
    <bk>
      <rc t="2" v="6506"/>
    </bk>
    <bk>
      <rc t="2" v="6507"/>
    </bk>
    <bk>
      <rc t="2" v="6508"/>
    </bk>
    <bk>
      <rc t="2" v="6509"/>
    </bk>
    <bk>
      <rc t="2" v="6510"/>
    </bk>
    <bk>
      <rc t="2" v="6511"/>
    </bk>
    <bk>
      <rc t="2" v="6512"/>
    </bk>
    <bk>
      <rc t="2" v="6513"/>
    </bk>
    <bk>
      <rc t="2" v="6514"/>
    </bk>
    <bk>
      <rc t="2" v="6515"/>
    </bk>
    <bk>
      <rc t="2" v="6516"/>
    </bk>
    <bk>
      <rc t="2" v="6517"/>
    </bk>
    <bk>
      <rc t="2" v="6518"/>
    </bk>
    <bk>
      <rc t="2" v="6519"/>
    </bk>
    <bk>
      <rc t="2" v="6520"/>
    </bk>
    <bk>
      <rc t="2" v="6521"/>
    </bk>
    <bk>
      <rc t="2" v="6522"/>
    </bk>
    <bk>
      <rc t="2" v="6523"/>
    </bk>
    <bk>
      <rc t="2" v="6524"/>
    </bk>
    <bk>
      <rc t="2" v="6525"/>
    </bk>
    <bk>
      <rc t="2" v="6526"/>
    </bk>
    <bk>
      <rc t="2" v="6527"/>
    </bk>
    <bk>
      <rc t="2" v="6528"/>
    </bk>
    <bk>
      <rc t="2" v="6529"/>
    </bk>
    <bk>
      <rc t="2" v="6530"/>
    </bk>
    <bk>
      <rc t="2" v="6531"/>
    </bk>
    <bk>
      <rc t="2" v="6532"/>
    </bk>
    <bk>
      <rc t="2" v="6533"/>
    </bk>
    <bk>
      <rc t="2" v="6534"/>
    </bk>
    <bk>
      <rc t="2" v="6535"/>
    </bk>
    <bk>
      <rc t="2" v="6536"/>
    </bk>
    <bk>
      <rc t="2" v="6537"/>
    </bk>
    <bk>
      <rc t="2" v="6538"/>
    </bk>
    <bk>
      <rc t="2" v="6539"/>
    </bk>
    <bk>
      <rc t="2" v="6540"/>
    </bk>
    <bk>
      <rc t="2" v="6541"/>
    </bk>
    <bk>
      <rc t="2" v="6542"/>
    </bk>
    <bk>
      <rc t="2" v="6543"/>
    </bk>
    <bk>
      <rc t="2" v="6544"/>
    </bk>
    <bk>
      <rc t="2" v="6545"/>
    </bk>
    <bk>
      <rc t="2" v="6546"/>
    </bk>
    <bk>
      <rc t="2" v="6547"/>
    </bk>
    <bk>
      <rc t="2" v="6548"/>
    </bk>
    <bk>
      <rc t="2" v="6549"/>
    </bk>
    <bk>
      <rc t="2" v="6550"/>
    </bk>
    <bk>
      <rc t="2" v="6551"/>
    </bk>
    <bk>
      <rc t="2" v="6552"/>
    </bk>
    <bk>
      <rc t="2" v="6553"/>
    </bk>
    <bk>
      <rc t="2" v="6554"/>
    </bk>
    <bk>
      <rc t="2" v="6555"/>
    </bk>
    <bk>
      <rc t="2" v="6556"/>
    </bk>
    <bk>
      <rc t="2" v="6557"/>
    </bk>
    <bk>
      <rc t="2" v="6558"/>
    </bk>
    <bk>
      <rc t="2" v="6559"/>
    </bk>
    <bk>
      <rc t="2" v="6560"/>
    </bk>
    <bk>
      <rc t="2" v="6561"/>
    </bk>
    <bk>
      <rc t="2" v="6562"/>
    </bk>
    <bk>
      <rc t="2" v="6563"/>
    </bk>
    <bk>
      <rc t="2" v="6564"/>
    </bk>
    <bk>
      <rc t="2" v="6565"/>
    </bk>
    <bk>
      <rc t="2" v="6566"/>
    </bk>
    <bk>
      <rc t="2" v="6567"/>
    </bk>
    <bk>
      <rc t="2" v="6568"/>
    </bk>
    <bk>
      <rc t="2" v="6569"/>
    </bk>
    <bk>
      <rc t="2" v="6570"/>
    </bk>
    <bk>
      <rc t="2" v="6571"/>
    </bk>
    <bk>
      <rc t="2" v="6572"/>
    </bk>
    <bk>
      <rc t="2" v="6573"/>
    </bk>
    <bk>
      <rc t="2" v="6574"/>
    </bk>
    <bk>
      <rc t="2" v="6575"/>
    </bk>
    <bk>
      <rc t="2" v="6576"/>
    </bk>
    <bk>
      <rc t="2" v="6577"/>
    </bk>
    <bk>
      <rc t="2" v="6578"/>
    </bk>
    <bk>
      <rc t="2" v="6579"/>
    </bk>
    <bk>
      <rc t="2" v="6580"/>
    </bk>
    <bk>
      <rc t="2" v="6581"/>
    </bk>
    <bk>
      <rc t="2" v="6582"/>
    </bk>
    <bk>
      <rc t="2" v="6583"/>
    </bk>
    <bk>
      <rc t="2" v="6584"/>
    </bk>
    <bk>
      <rc t="2" v="6585"/>
    </bk>
    <bk>
      <rc t="2" v="6586"/>
    </bk>
    <bk>
      <rc t="2" v="6587"/>
    </bk>
    <bk>
      <rc t="2" v="6588"/>
    </bk>
    <bk>
      <rc t="2" v="6589"/>
    </bk>
    <bk>
      <rc t="2" v="6590"/>
    </bk>
    <bk>
      <rc t="2" v="6591"/>
    </bk>
    <bk>
      <rc t="2" v="6592"/>
    </bk>
    <bk>
      <rc t="2" v="6593"/>
    </bk>
    <bk>
      <rc t="2" v="6594"/>
    </bk>
    <bk>
      <rc t="2" v="6595"/>
    </bk>
    <bk>
      <rc t="2" v="6596"/>
    </bk>
    <bk>
      <rc t="2" v="6597"/>
    </bk>
    <bk>
      <rc t="2" v="6598"/>
    </bk>
    <bk>
      <rc t="2" v="6599"/>
    </bk>
    <bk>
      <rc t="2" v="6600"/>
    </bk>
    <bk>
      <rc t="2" v="6601"/>
    </bk>
    <bk>
      <rc t="2" v="6602"/>
    </bk>
    <bk>
      <rc t="2" v="6603"/>
    </bk>
    <bk>
      <rc t="2" v="6604"/>
    </bk>
    <bk>
      <rc t="2" v="6605"/>
    </bk>
    <bk>
      <rc t="2" v="6606"/>
    </bk>
    <bk>
      <rc t="2" v="6607"/>
    </bk>
    <bk>
      <rc t="2" v="6608"/>
    </bk>
    <bk>
      <rc t="2" v="6609"/>
    </bk>
    <bk>
      <rc t="2" v="6610"/>
    </bk>
    <bk>
      <rc t="2" v="6611"/>
    </bk>
    <bk>
      <rc t="2" v="6612"/>
    </bk>
    <bk>
      <rc t="2" v="6613"/>
    </bk>
    <bk>
      <rc t="2" v="6614"/>
    </bk>
    <bk>
      <rc t="2" v="6615"/>
    </bk>
    <bk>
      <rc t="2" v="6616"/>
    </bk>
    <bk>
      <rc t="2" v="6617"/>
    </bk>
    <bk>
      <rc t="2" v="6618"/>
    </bk>
    <bk>
      <rc t="2" v="6619"/>
    </bk>
    <bk>
      <rc t="2" v="6620"/>
    </bk>
    <bk>
      <rc t="2" v="6621"/>
    </bk>
    <bk>
      <rc t="2" v="6622"/>
    </bk>
    <bk>
      <rc t="2" v="6623"/>
    </bk>
    <bk>
      <rc t="2" v="6624"/>
    </bk>
    <bk>
      <rc t="2" v="6625"/>
    </bk>
    <bk>
      <rc t="2" v="6626"/>
    </bk>
    <bk>
      <rc t="2" v="6627"/>
    </bk>
    <bk>
      <rc t="2" v="6628"/>
    </bk>
    <bk>
      <rc t="2" v="6629"/>
    </bk>
    <bk>
      <rc t="2" v="6630"/>
    </bk>
    <bk>
      <rc t="2" v="6631"/>
    </bk>
    <bk>
      <rc t="2" v="6632"/>
    </bk>
    <bk>
      <rc t="2" v="6633"/>
    </bk>
    <bk>
      <rc t="2" v="6634"/>
    </bk>
    <bk>
      <rc t="2" v="6635"/>
    </bk>
    <bk>
      <rc t="2" v="6636"/>
    </bk>
    <bk>
      <rc t="2" v="6637"/>
    </bk>
    <bk>
      <rc t="2" v="6638"/>
    </bk>
    <bk>
      <rc t="2" v="6639"/>
    </bk>
    <bk>
      <rc t="2" v="6640"/>
    </bk>
    <bk>
      <rc t="2" v="6641"/>
    </bk>
    <bk>
      <rc t="2" v="6642"/>
    </bk>
    <bk>
      <rc t="2" v="6643"/>
    </bk>
    <bk>
      <rc t="2" v="6644"/>
    </bk>
    <bk>
      <rc t="2" v="6645"/>
    </bk>
    <bk>
      <rc t="2" v="6646"/>
    </bk>
    <bk>
      <rc t="2" v="6647"/>
    </bk>
    <bk>
      <rc t="2" v="6648"/>
    </bk>
    <bk>
      <rc t="2" v="6649"/>
    </bk>
    <bk>
      <rc t="2" v="6650"/>
    </bk>
    <bk>
      <rc t="2" v="6651"/>
    </bk>
    <bk>
      <rc t="2" v="6652"/>
    </bk>
    <bk>
      <rc t="2" v="6653"/>
    </bk>
    <bk>
      <rc t="2" v="6654"/>
    </bk>
    <bk>
      <rc t="2" v="6655"/>
    </bk>
    <bk>
      <rc t="2" v="6656"/>
    </bk>
    <bk>
      <rc t="2" v="6657"/>
    </bk>
    <bk>
      <rc t="2" v="6658"/>
    </bk>
    <bk>
      <rc t="2" v="6659"/>
    </bk>
    <bk>
      <rc t="2" v="6660"/>
    </bk>
    <bk>
      <rc t="2" v="6661"/>
    </bk>
    <bk>
      <rc t="2" v="6662"/>
    </bk>
    <bk>
      <rc t="2" v="6663"/>
    </bk>
    <bk>
      <rc t="2" v="6664"/>
    </bk>
    <bk>
      <rc t="2" v="6665"/>
    </bk>
    <bk>
      <rc t="2" v="6666"/>
    </bk>
    <bk>
      <rc t="2" v="6667"/>
    </bk>
    <bk>
      <rc t="2" v="6668"/>
    </bk>
    <bk>
      <rc t="2" v="6669"/>
    </bk>
    <bk>
      <rc t="2" v="6670"/>
    </bk>
    <bk>
      <rc t="2" v="6671"/>
    </bk>
    <bk>
      <rc t="2" v="6672"/>
    </bk>
    <bk>
      <rc t="2" v="6673"/>
    </bk>
    <bk>
      <rc t="2" v="6674"/>
    </bk>
    <bk>
      <rc t="2" v="6675"/>
    </bk>
    <bk>
      <rc t="2" v="6676"/>
    </bk>
    <bk>
      <rc t="2" v="6677"/>
    </bk>
    <bk>
      <rc t="2" v="6678"/>
    </bk>
    <bk>
      <rc t="2" v="6679"/>
    </bk>
    <bk>
      <rc t="2" v="6680"/>
    </bk>
    <bk>
      <rc t="2" v="6681"/>
    </bk>
    <bk>
      <rc t="2" v="6682"/>
    </bk>
    <bk>
      <rc t="2" v="6683"/>
    </bk>
    <bk>
      <rc t="2" v="6684"/>
    </bk>
    <bk>
      <rc t="2" v="6685"/>
    </bk>
    <bk>
      <rc t="2" v="6686"/>
    </bk>
    <bk>
      <rc t="2" v="6687"/>
    </bk>
    <bk>
      <rc t="2" v="6688"/>
    </bk>
    <bk>
      <rc t="2" v="6689"/>
    </bk>
    <bk>
      <rc t="2" v="6690"/>
    </bk>
    <bk>
      <rc t="2" v="6691"/>
    </bk>
    <bk>
      <rc t="2" v="6692"/>
    </bk>
    <bk>
      <rc t="2" v="6693"/>
    </bk>
    <bk>
      <rc t="2" v="6694"/>
    </bk>
    <bk>
      <rc t="2" v="6695"/>
    </bk>
    <bk>
      <rc t="2" v="6696"/>
    </bk>
    <bk>
      <rc t="2" v="6697"/>
    </bk>
    <bk>
      <rc t="2" v="6698"/>
    </bk>
    <bk>
      <rc t="2" v="6699"/>
    </bk>
    <bk>
      <rc t="2" v="6700"/>
    </bk>
    <bk>
      <rc t="2" v="6701"/>
    </bk>
    <bk>
      <rc t="2" v="6702"/>
    </bk>
    <bk>
      <rc t="2" v="6703"/>
    </bk>
    <bk>
      <rc t="2" v="6704"/>
    </bk>
    <bk>
      <rc t="2" v="6705"/>
    </bk>
    <bk>
      <rc t="2" v="6706"/>
    </bk>
    <bk>
      <rc t="2" v="6707"/>
    </bk>
    <bk>
      <rc t="2" v="6708"/>
    </bk>
    <bk>
      <rc t="2" v="6709"/>
    </bk>
    <bk>
      <rc t="2" v="6710"/>
    </bk>
    <bk>
      <rc t="2" v="6711"/>
    </bk>
    <bk>
      <rc t="2" v="6712"/>
    </bk>
    <bk>
      <rc t="2" v="6713"/>
    </bk>
    <bk>
      <rc t="2" v="6714"/>
    </bk>
    <bk>
      <rc t="2" v="6715"/>
    </bk>
    <bk>
      <rc t="2" v="6716"/>
    </bk>
    <bk>
      <rc t="2" v="6717"/>
    </bk>
    <bk>
      <rc t="2" v="6718"/>
    </bk>
    <bk>
      <rc t="2" v="6719"/>
    </bk>
    <bk>
      <rc t="2" v="6720"/>
    </bk>
    <bk>
      <rc t="2" v="6721"/>
    </bk>
    <bk>
      <rc t="2" v="6722"/>
    </bk>
    <bk>
      <rc t="2" v="6723"/>
    </bk>
    <bk>
      <rc t="2" v="6724"/>
    </bk>
    <bk>
      <rc t="2" v="6725"/>
    </bk>
    <bk>
      <rc t="2" v="6726"/>
    </bk>
    <bk>
      <rc t="2" v="6727"/>
    </bk>
    <bk>
      <rc t="2" v="6728"/>
    </bk>
    <bk>
      <rc t="2" v="6729"/>
    </bk>
    <bk>
      <rc t="2" v="6730"/>
    </bk>
    <bk>
      <rc t="2" v="6731"/>
    </bk>
    <bk>
      <rc t="2" v="6732"/>
    </bk>
    <bk>
      <rc t="2" v="6733"/>
    </bk>
    <bk>
      <rc t="2" v="6734"/>
    </bk>
    <bk>
      <rc t="2" v="6735"/>
    </bk>
    <bk>
      <rc t="2" v="6736"/>
    </bk>
    <bk>
      <rc t="2" v="6737"/>
    </bk>
    <bk>
      <rc t="2" v="6738"/>
    </bk>
    <bk>
      <rc t="2" v="6739"/>
    </bk>
    <bk>
      <rc t="2" v="6740"/>
    </bk>
    <bk>
      <rc t="2" v="6741"/>
    </bk>
    <bk>
      <rc t="2" v="6742"/>
    </bk>
    <bk>
      <rc t="2" v="6743"/>
    </bk>
    <bk>
      <rc t="2" v="6744"/>
    </bk>
    <bk>
      <rc t="2" v="6745"/>
    </bk>
    <bk>
      <rc t="2" v="6746"/>
    </bk>
    <bk>
      <rc t="2" v="6747"/>
    </bk>
    <bk>
      <rc t="2" v="6748"/>
    </bk>
    <bk>
      <rc t="2" v="6749"/>
    </bk>
    <bk>
      <rc t="2" v="6750"/>
    </bk>
    <bk>
      <rc t="2" v="6751"/>
    </bk>
    <bk>
      <rc t="2" v="6752"/>
    </bk>
    <bk>
      <rc t="2" v="6753"/>
    </bk>
    <bk>
      <rc t="2" v="6754"/>
    </bk>
    <bk>
      <rc t="2" v="6755"/>
    </bk>
    <bk>
      <rc t="2" v="6756"/>
    </bk>
    <bk>
      <rc t="2" v="6757"/>
    </bk>
    <bk>
      <rc t="2" v="6758"/>
    </bk>
    <bk>
      <rc t="2" v="6759"/>
    </bk>
    <bk>
      <rc t="2" v="6760"/>
    </bk>
    <bk>
      <rc t="2" v="6761"/>
    </bk>
    <bk>
      <rc t="2" v="6762"/>
    </bk>
    <bk>
      <rc t="2" v="6763"/>
    </bk>
    <bk>
      <rc t="2" v="6764"/>
    </bk>
    <bk>
      <rc t="2" v="6765"/>
    </bk>
    <bk>
      <rc t="2" v="6766"/>
    </bk>
    <bk>
      <rc t="2" v="6767"/>
    </bk>
    <bk>
      <rc t="2" v="6768"/>
    </bk>
    <bk>
      <rc t="2" v="6769"/>
    </bk>
    <bk>
      <rc t="2" v="6770"/>
    </bk>
    <bk>
      <rc t="2" v="6771"/>
    </bk>
    <bk>
      <rc t="2" v="6772"/>
    </bk>
    <bk>
      <rc t="2" v="6773"/>
    </bk>
    <bk>
      <rc t="2" v="6774"/>
    </bk>
    <bk>
      <rc t="2" v="6775"/>
    </bk>
    <bk>
      <rc t="2" v="6776"/>
    </bk>
    <bk>
      <rc t="2" v="6777"/>
    </bk>
    <bk>
      <rc t="2" v="6778"/>
    </bk>
    <bk>
      <rc t="2" v="6779"/>
    </bk>
    <bk>
      <rc t="2" v="6780"/>
    </bk>
    <bk>
      <rc t="2" v="6781"/>
    </bk>
    <bk>
      <rc t="2" v="6782"/>
    </bk>
    <bk>
      <rc t="2" v="6783"/>
    </bk>
    <bk>
      <rc t="2" v="6784"/>
    </bk>
    <bk>
      <rc t="2" v="6785"/>
    </bk>
    <bk>
      <rc t="2" v="6786"/>
    </bk>
    <bk>
      <rc t="2" v="6787"/>
    </bk>
    <bk>
      <rc t="2" v="6788"/>
    </bk>
    <bk>
      <rc t="2" v="6789"/>
    </bk>
    <bk>
      <rc t="2" v="6790"/>
    </bk>
    <bk>
      <rc t="2" v="6791"/>
    </bk>
    <bk>
      <rc t="2" v="6792"/>
    </bk>
    <bk>
      <rc t="2" v="6793"/>
    </bk>
    <bk>
      <rc t="2" v="6794"/>
    </bk>
    <bk>
      <rc t="2" v="6795"/>
    </bk>
    <bk>
      <rc t="2" v="6796"/>
    </bk>
    <bk>
      <rc t="2" v="6797"/>
    </bk>
    <bk>
      <rc t="2" v="6798"/>
    </bk>
    <bk>
      <rc t="2" v="6799"/>
    </bk>
    <bk>
      <rc t="2" v="6800"/>
    </bk>
    <bk>
      <rc t="2" v="6801"/>
    </bk>
    <bk>
      <rc t="2" v="6802"/>
    </bk>
    <bk>
      <rc t="2" v="6803"/>
    </bk>
    <bk>
      <rc t="2" v="6804"/>
    </bk>
    <bk>
      <rc t="2" v="6805"/>
    </bk>
    <bk>
      <rc t="2" v="6806"/>
    </bk>
    <bk>
      <rc t="2" v="6807"/>
    </bk>
    <bk>
      <rc t="2" v="6808"/>
    </bk>
    <bk>
      <rc t="2" v="6809"/>
    </bk>
    <bk>
      <rc t="2" v="6810"/>
    </bk>
    <bk>
      <rc t="2" v="6811"/>
    </bk>
    <bk>
      <rc t="2" v="6812"/>
    </bk>
    <bk>
      <rc t="2" v="6813"/>
    </bk>
    <bk>
      <rc t="2" v="6814"/>
    </bk>
    <bk>
      <rc t="2" v="6815"/>
    </bk>
    <bk>
      <rc t="2" v="6816"/>
    </bk>
    <bk>
      <rc t="2" v="6817"/>
    </bk>
    <bk>
      <rc t="2" v="6818"/>
    </bk>
    <bk>
      <rc t="2" v="6819"/>
    </bk>
    <bk>
      <rc t="2" v="6820"/>
    </bk>
    <bk>
      <rc t="2" v="6821"/>
    </bk>
    <bk>
      <rc t="2" v="6822"/>
    </bk>
    <bk>
      <rc t="2" v="6823"/>
    </bk>
    <bk>
      <rc t="2" v="6824"/>
    </bk>
    <bk>
      <rc t="2" v="6825"/>
    </bk>
    <bk>
      <rc t="2" v="6826"/>
    </bk>
    <bk>
      <rc t="2" v="6827"/>
    </bk>
    <bk>
      <rc t="2" v="6828"/>
    </bk>
    <bk>
      <rc t="2" v="6829"/>
    </bk>
    <bk>
      <rc t="2" v="6830"/>
    </bk>
    <bk>
      <rc t="2" v="6831"/>
    </bk>
    <bk>
      <rc t="2" v="6832"/>
    </bk>
    <bk>
      <rc t="2" v="6833"/>
    </bk>
    <bk>
      <rc t="2" v="6834"/>
    </bk>
    <bk>
      <rc t="2" v="6835"/>
    </bk>
    <bk>
      <rc t="2" v="6836"/>
    </bk>
    <bk>
      <rc t="2" v="6837"/>
    </bk>
    <bk>
      <rc t="2" v="6838"/>
    </bk>
    <bk>
      <rc t="2" v="6839"/>
    </bk>
    <bk>
      <rc t="2" v="6840"/>
    </bk>
    <bk>
      <rc t="2" v="6841"/>
    </bk>
    <bk>
      <rc t="2" v="6842"/>
    </bk>
    <bk>
      <rc t="2" v="6843"/>
    </bk>
    <bk>
      <rc t="2" v="6844"/>
    </bk>
    <bk>
      <rc t="2" v="6845"/>
    </bk>
    <bk>
      <rc t="2" v="6846"/>
    </bk>
    <bk>
      <rc t="2" v="6847"/>
    </bk>
    <bk>
      <rc t="2" v="6848"/>
    </bk>
    <bk>
      <rc t="2" v="6849"/>
    </bk>
    <bk>
      <rc t="2" v="6850"/>
    </bk>
    <bk>
      <rc t="2" v="6851"/>
    </bk>
    <bk>
      <rc t="2" v="6852"/>
    </bk>
    <bk>
      <rc t="2" v="6853"/>
    </bk>
    <bk>
      <rc t="2" v="6854"/>
    </bk>
    <bk>
      <rc t="2" v="6855"/>
    </bk>
    <bk>
      <rc t="2" v="6856"/>
    </bk>
    <bk>
      <rc t="2" v="6857"/>
    </bk>
    <bk>
      <rc t="2" v="6858"/>
    </bk>
    <bk>
      <rc t="2" v="6859"/>
    </bk>
    <bk>
      <rc t="2" v="6860"/>
    </bk>
    <bk>
      <rc t="2" v="6861"/>
    </bk>
    <bk>
      <rc t="2" v="6862"/>
    </bk>
    <bk>
      <rc t="2" v="6863"/>
    </bk>
    <bk>
      <rc t="2" v="6864"/>
    </bk>
    <bk>
      <rc t="2" v="6865"/>
    </bk>
    <bk>
      <rc t="2" v="6866"/>
    </bk>
    <bk>
      <rc t="2" v="6867"/>
    </bk>
    <bk>
      <rc t="2" v="6868"/>
    </bk>
    <bk>
      <rc t="2" v="6869"/>
    </bk>
    <bk>
      <rc t="2" v="6870"/>
    </bk>
    <bk>
      <rc t="2" v="6871"/>
    </bk>
    <bk>
      <rc t="2" v="6872"/>
    </bk>
    <bk>
      <rc t="2" v="6873"/>
    </bk>
    <bk>
      <rc t="2" v="6874"/>
    </bk>
    <bk>
      <rc t="2" v="6875"/>
    </bk>
    <bk>
      <rc t="2" v="6876"/>
    </bk>
    <bk>
      <rc t="2" v="6877"/>
    </bk>
    <bk>
      <rc t="2" v="6878"/>
    </bk>
    <bk>
      <rc t="2" v="6879"/>
    </bk>
    <bk>
      <rc t="2" v="6880"/>
    </bk>
    <bk>
      <rc t="2" v="6881"/>
    </bk>
    <bk>
      <rc t="2" v="6882"/>
    </bk>
    <bk>
      <rc t="2" v="6883"/>
    </bk>
    <bk>
      <rc t="2" v="6884"/>
    </bk>
    <bk>
      <rc t="2" v="6885"/>
    </bk>
    <bk>
      <rc t="2" v="6886"/>
    </bk>
    <bk>
      <rc t="2" v="6887"/>
    </bk>
    <bk>
      <rc t="2" v="6888"/>
    </bk>
    <bk>
      <rc t="2" v="6889"/>
    </bk>
    <bk>
      <rc t="2" v="6890"/>
    </bk>
    <bk>
      <rc t="2" v="6891"/>
    </bk>
    <bk>
      <rc t="2" v="6892"/>
    </bk>
    <bk>
      <rc t="2" v="6893"/>
    </bk>
    <bk>
      <rc t="2" v="6894"/>
    </bk>
    <bk>
      <rc t="2" v="6895"/>
    </bk>
    <bk>
      <rc t="2" v="6896"/>
    </bk>
    <bk>
      <rc t="2" v="6897"/>
    </bk>
    <bk>
      <rc t="2" v="6898"/>
    </bk>
    <bk>
      <rc t="2" v="6899"/>
    </bk>
    <bk>
      <rc t="2" v="6900"/>
    </bk>
    <bk>
      <rc t="2" v="6901"/>
    </bk>
    <bk>
      <rc t="2" v="6902"/>
    </bk>
    <bk>
      <rc t="2" v="6903"/>
    </bk>
    <bk>
      <rc t="2" v="6904"/>
    </bk>
    <bk>
      <rc t="2" v="6905"/>
    </bk>
    <bk>
      <rc t="2" v="6906"/>
    </bk>
    <bk>
      <rc t="2" v="6907"/>
    </bk>
    <bk>
      <rc t="2" v="6908"/>
    </bk>
    <bk>
      <rc t="2" v="6909"/>
    </bk>
    <bk>
      <rc t="2" v="6910"/>
    </bk>
    <bk>
      <rc t="2" v="6911"/>
    </bk>
    <bk>
      <rc t="2" v="6912"/>
    </bk>
    <bk>
      <rc t="2" v="6913"/>
    </bk>
    <bk>
      <rc t="2" v="6914"/>
    </bk>
    <bk>
      <rc t="2" v="6915"/>
    </bk>
    <bk>
      <rc t="2" v="6916"/>
    </bk>
    <bk>
      <rc t="2" v="6917"/>
    </bk>
    <bk>
      <rc t="2" v="6918"/>
    </bk>
    <bk>
      <rc t="2" v="6919"/>
    </bk>
    <bk>
      <rc t="2" v="6920"/>
    </bk>
    <bk>
      <rc t="2" v="6921"/>
    </bk>
    <bk>
      <rc t="2" v="6922"/>
    </bk>
    <bk>
      <rc t="2" v="6923"/>
    </bk>
    <bk>
      <rc t="2" v="6924"/>
    </bk>
    <bk>
      <rc t="2" v="6925"/>
    </bk>
    <bk>
      <rc t="2" v="6926"/>
    </bk>
    <bk>
      <rc t="2" v="6927"/>
    </bk>
    <bk>
      <rc t="2" v="6928"/>
    </bk>
    <bk>
      <rc t="2" v="6929"/>
    </bk>
    <bk>
      <rc t="2" v="6930"/>
    </bk>
    <bk>
      <rc t="2" v="6931"/>
    </bk>
    <bk>
      <rc t="2" v="6932"/>
    </bk>
    <bk>
      <rc t="2" v="6933"/>
    </bk>
    <bk>
      <rc t="2" v="6934"/>
    </bk>
    <bk>
      <rc t="2" v="6935"/>
    </bk>
    <bk>
      <rc t="2" v="6936"/>
    </bk>
    <bk>
      <rc t="2" v="6937"/>
    </bk>
    <bk>
      <rc t="2" v="6938"/>
    </bk>
    <bk>
      <rc t="2" v="6939"/>
    </bk>
    <bk>
      <rc t="2" v="6940"/>
    </bk>
    <bk>
      <rc t="2" v="6941"/>
    </bk>
    <bk>
      <rc t="2" v="6942"/>
    </bk>
    <bk>
      <rc t="2" v="6943"/>
    </bk>
    <bk>
      <rc t="2" v="6944"/>
    </bk>
    <bk>
      <rc t="2" v="6945"/>
    </bk>
    <bk>
      <rc t="2" v="6946"/>
    </bk>
    <bk>
      <rc t="2" v="6947"/>
    </bk>
    <bk>
      <rc t="2" v="6948"/>
    </bk>
    <bk>
      <rc t="2" v="6949"/>
    </bk>
    <bk>
      <rc t="2" v="6950"/>
    </bk>
    <bk>
      <rc t="2" v="6951"/>
    </bk>
    <bk>
      <rc t="2" v="6952"/>
    </bk>
    <bk>
      <rc t="2" v="6953"/>
    </bk>
    <bk>
      <rc t="2" v="6954"/>
    </bk>
    <bk>
      <rc t="2" v="6955"/>
    </bk>
    <bk>
      <rc t="2" v="6956"/>
    </bk>
    <bk>
      <rc t="2" v="6957"/>
    </bk>
    <bk>
      <rc t="2" v="6958"/>
    </bk>
    <bk>
      <rc t="2" v="6959"/>
    </bk>
    <bk>
      <rc t="2" v="6960"/>
    </bk>
    <bk>
      <rc t="2" v="6961"/>
    </bk>
    <bk>
      <rc t="2" v="6962"/>
    </bk>
    <bk>
      <rc t="2" v="6963"/>
    </bk>
    <bk>
      <rc t="2" v="6964"/>
    </bk>
    <bk>
      <rc t="2" v="6965"/>
    </bk>
    <bk>
      <rc t="2" v="6966"/>
    </bk>
    <bk>
      <rc t="2" v="6967"/>
    </bk>
    <bk>
      <rc t="2" v="6968"/>
    </bk>
    <bk>
      <rc t="2" v="6969"/>
    </bk>
    <bk>
      <rc t="2" v="6970"/>
    </bk>
    <bk>
      <rc t="2" v="6971"/>
    </bk>
    <bk>
      <rc t="2" v="6972"/>
    </bk>
    <bk>
      <rc t="2" v="6973"/>
    </bk>
    <bk>
      <rc t="2" v="6974"/>
    </bk>
    <bk>
      <rc t="2" v="6975"/>
    </bk>
    <bk>
      <rc t="2" v="6976"/>
    </bk>
    <bk>
      <rc t="2" v="6977"/>
    </bk>
    <bk>
      <rc t="2" v="6978"/>
    </bk>
    <bk>
      <rc t="2" v="6979"/>
    </bk>
    <bk>
      <rc t="2" v="6980"/>
    </bk>
    <bk>
      <rc t="2" v="6981"/>
    </bk>
    <bk>
      <rc t="2" v="6982"/>
    </bk>
    <bk>
      <rc t="2" v="6983"/>
    </bk>
    <bk>
      <rc t="2" v="6984"/>
    </bk>
    <bk>
      <rc t="2" v="6985"/>
    </bk>
    <bk>
      <rc t="2" v="6986"/>
    </bk>
    <bk>
      <rc t="2" v="6987"/>
    </bk>
    <bk>
      <rc t="2" v="6988"/>
    </bk>
    <bk>
      <rc t="2" v="6989"/>
    </bk>
    <bk>
      <rc t="2" v="6990"/>
    </bk>
    <bk>
      <rc t="2" v="6991"/>
    </bk>
    <bk>
      <rc t="2" v="6992"/>
    </bk>
    <bk>
      <rc t="2" v="6993"/>
    </bk>
    <bk>
      <rc t="2" v="6994"/>
    </bk>
    <bk>
      <rc t="2" v="6995"/>
    </bk>
    <bk>
      <rc t="2" v="6996"/>
    </bk>
    <bk>
      <rc t="2" v="6997"/>
    </bk>
    <bk>
      <rc t="2" v="6998"/>
    </bk>
    <bk>
      <rc t="2" v="6999"/>
    </bk>
    <bk>
      <rc t="2" v="7000"/>
    </bk>
    <bk>
      <rc t="2" v="7001"/>
    </bk>
    <bk>
      <rc t="2" v="7002"/>
    </bk>
    <bk>
      <rc t="2" v="7003"/>
    </bk>
    <bk>
      <rc t="2" v="7004"/>
    </bk>
    <bk>
      <rc t="2" v="7005"/>
    </bk>
    <bk>
      <rc t="2" v="7006"/>
    </bk>
    <bk>
      <rc t="2" v="7007"/>
    </bk>
    <bk>
      <rc t="2" v="7008"/>
    </bk>
    <bk>
      <rc t="2" v="7009"/>
    </bk>
    <bk>
      <rc t="2" v="7010"/>
    </bk>
    <bk>
      <rc t="2" v="7011"/>
    </bk>
    <bk>
      <rc t="2" v="7012"/>
    </bk>
    <bk>
      <rc t="2" v="7013"/>
    </bk>
    <bk>
      <rc t="2" v="7014"/>
    </bk>
    <bk>
      <rc t="2" v="7015"/>
    </bk>
    <bk>
      <rc t="2" v="7016"/>
    </bk>
    <bk>
      <rc t="2" v="7017"/>
    </bk>
    <bk>
      <rc t="2" v="7018"/>
    </bk>
    <bk>
      <rc t="2" v="7019"/>
    </bk>
    <bk>
      <rc t="2" v="7020"/>
    </bk>
    <bk>
      <rc t="2" v="7021"/>
    </bk>
    <bk>
      <rc t="2" v="7022"/>
    </bk>
    <bk>
      <rc t="2" v="7023"/>
    </bk>
    <bk>
      <rc t="2" v="7024"/>
    </bk>
    <bk>
      <rc t="2" v="7025"/>
    </bk>
    <bk>
      <rc t="2" v="7026"/>
    </bk>
  </valueMetadata>
</metadata>
</file>

<file path=xl/sharedStrings.xml><?xml version="1.0" encoding="utf-8"?>
<sst xmlns="http://schemas.openxmlformats.org/spreadsheetml/2006/main" count="47" uniqueCount="34">
  <si>
    <t>Markowitz Optimization Model</t>
  </si>
  <si>
    <t>Start Date</t>
  </si>
  <si>
    <t>End Date</t>
  </si>
  <si>
    <t>Stock List</t>
  </si>
  <si>
    <t>Adj Close</t>
  </si>
  <si>
    <t>Final Value</t>
  </si>
  <si>
    <t>Annualized Return</t>
  </si>
  <si>
    <t>Risk</t>
  </si>
  <si>
    <t>Markowitz Portfolio Optimizer</t>
  </si>
  <si>
    <t>Stocks</t>
  </si>
  <si>
    <t>Weights</t>
  </si>
  <si>
    <t>Returns</t>
  </si>
  <si>
    <t>Portfolio Performance</t>
  </si>
  <si>
    <t>Expected Return</t>
  </si>
  <si>
    <t>Portfolio Risk</t>
  </si>
  <si>
    <t>Portfolio</t>
  </si>
  <si>
    <t>Correlation Matrix</t>
  </si>
  <si>
    <t>W(a)*Cov(a,b)</t>
  </si>
  <si>
    <t>*W(b)</t>
  </si>
  <si>
    <t>Sum of all</t>
  </si>
  <si>
    <t>Sqrt</t>
  </si>
  <si>
    <t>Sharpe Ratio</t>
  </si>
  <si>
    <t>Riskfree Rate</t>
  </si>
  <si>
    <t>Target Risk</t>
  </si>
  <si>
    <t>Portfolio Return</t>
  </si>
  <si>
    <t>Lowest Risk</t>
  </si>
  <si>
    <t>Highest Risk</t>
  </si>
  <si>
    <t>Min/Max Portfolios</t>
  </si>
  <si>
    <t>Optimized Portfolios</t>
  </si>
  <si>
    <t>Return</t>
  </si>
  <si>
    <t>Risks</t>
  </si>
  <si>
    <t>Capital Market Line</t>
  </si>
  <si>
    <t>Cash</t>
  </si>
  <si>
    <t>Mkt Portfolio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</si>
</sst>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
    <numFmt numFmtId="165" formatCode="0.000%"/>
  </numFmts>
  <fonts count="6"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1"/>
      <color theme="1"/>
      <name val="Aptos Narrow"/>
      <family val="2"/>
      <scheme val="minor"/>
    </font>
    <font>
      <sz val="11"/>
      <color rgb="FF000000"/>
      <name val="Aptos Narrow"/>
      <family val="2"/>
    </font>
  </fonts>
  <fills count="10">
    <fill>
      <patternFill patternType="none"/>
    </fill>
    <fill>
      <patternFill patternType="gray125"/>
    </fill>
    <fill>
      <patternFill patternType="solid">
        <fgColor theme="1"/>
        <bgColor indexed="64"/>
      </patternFill>
    </fill>
    <fill>
      <patternFill patternType="solid">
        <fgColor theme="5"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0"/>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4" tint="0.79998168889431442"/>
        <bgColor indexed="64"/>
      </patternFill>
    </fill>
  </fills>
  <borders count="15">
    <border>
      <left/>
      <right/>
      <top/>
      <bottom/>
      <diagonal/>
    </border>
    <border>
      <left/>
      <right/>
      <top style="thin">
        <color indexed="64"/>
      </top>
      <bottom/>
      <diagonal/>
    </border>
    <border>
      <left/>
      <right/>
      <top/>
      <bottom style="thick">
        <color theme="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2" applyNumberFormat="0" applyFill="0" applyAlignment="0" applyProtection="0"/>
    <xf numFmtId="43" fontId="1" fillId="0" borderId="0" applyFont="0" applyFill="0" applyBorder="0" applyAlignment="0" applyProtection="0"/>
  </cellStyleXfs>
  <cellXfs count="62">
    <xf numFmtId="0" fontId="0" fillId="0" borderId="0" xfId="0"/>
    <xf numFmtId="14" fontId="0" fillId="0" borderId="0" xfId="0" applyNumberFormat="1"/>
    <xf numFmtId="0" fontId="0" fillId="0" borderId="0" xfId="0" applyAlignment="1">
      <alignment horizontal="right"/>
    </xf>
    <xf numFmtId="1" fontId="0" fillId="0" borderId="0" xfId="0" applyNumberFormat="1"/>
    <xf numFmtId="164" fontId="0" fillId="0" borderId="0" xfId="1" applyNumberFormat="1" applyFont="1"/>
    <xf numFmtId="0" fontId="2" fillId="0" borderId="0" xfId="2"/>
    <xf numFmtId="164" fontId="0" fillId="0" borderId="1" xfId="0" applyNumberFormat="1" applyBorder="1"/>
    <xf numFmtId="0" fontId="3" fillId="0" borderId="2" xfId="3"/>
    <xf numFmtId="0" fontId="0" fillId="2" borderId="3" xfId="0" applyFill="1" applyBorder="1"/>
    <xf numFmtId="0" fontId="0" fillId="0" borderId="4" xfId="0" applyBorder="1" applyAlignment="1">
      <alignment horizontal="right"/>
    </xf>
    <xf numFmtId="0" fontId="0" fillId="0" borderId="5" xfId="0" applyBorder="1" applyAlignment="1">
      <alignment horizontal="right"/>
    </xf>
    <xf numFmtId="0" fontId="0" fillId="0" borderId="6" xfId="0" applyBorder="1"/>
    <xf numFmtId="164" fontId="0" fillId="0" borderId="0" xfId="1" applyNumberFormat="1" applyFont="1" applyBorder="1"/>
    <xf numFmtId="164" fontId="0" fillId="0" borderId="7" xfId="1" applyNumberFormat="1" applyFont="1" applyBorder="1"/>
    <xf numFmtId="0" fontId="0" fillId="0" borderId="8" xfId="0" applyBorder="1"/>
    <xf numFmtId="164" fontId="0" fillId="0" borderId="9" xfId="1" applyNumberFormat="1" applyFont="1" applyBorder="1"/>
    <xf numFmtId="164" fontId="0" fillId="0" borderId="10" xfId="1" applyNumberFormat="1" applyFont="1" applyBorder="1"/>
    <xf numFmtId="0" fontId="3" fillId="0" borderId="11" xfId="3" applyBorder="1"/>
    <xf numFmtId="0" fontId="0" fillId="0" borderId="12" xfId="0" applyBorder="1"/>
    <xf numFmtId="0" fontId="0" fillId="0" borderId="13" xfId="0" applyBorder="1"/>
    <xf numFmtId="165" fontId="0" fillId="0" borderId="0" xfId="1" applyNumberFormat="1" applyFont="1" applyBorder="1"/>
    <xf numFmtId="10" fontId="0" fillId="0" borderId="0" xfId="1" applyNumberFormat="1" applyFont="1"/>
    <xf numFmtId="165" fontId="0" fillId="0" borderId="0" xfId="1" applyNumberFormat="1" applyFont="1"/>
    <xf numFmtId="165" fontId="0" fillId="0" borderId="0" xfId="0" applyNumberFormat="1" applyAlignment="1">
      <alignment horizontal="right"/>
    </xf>
    <xf numFmtId="9" fontId="0" fillId="0" borderId="0" xfId="1" applyFont="1"/>
    <xf numFmtId="43" fontId="0" fillId="0" borderId="0" xfId="4" applyFont="1"/>
    <xf numFmtId="10" fontId="0" fillId="0" borderId="0" xfId="0" applyNumberFormat="1"/>
    <xf numFmtId="0" fontId="0" fillId="0" borderId="0" xfId="0" applyAlignment="1">
      <alignment vertical="center"/>
    </xf>
    <xf numFmtId="9" fontId="0" fillId="0" borderId="0" xfId="0" applyNumberFormat="1"/>
    <xf numFmtId="10" fontId="4" fillId="5" borderId="14" xfId="0" applyNumberFormat="1" applyFont="1" applyFill="1" applyBorder="1"/>
    <xf numFmtId="164" fontId="0" fillId="5" borderId="0" xfId="1" applyNumberFormat="1" applyFont="1" applyFill="1"/>
    <xf numFmtId="164" fontId="0" fillId="6" borderId="0" xfId="1" applyNumberFormat="1" applyFont="1" applyFill="1"/>
    <xf numFmtId="0" fontId="0" fillId="6" borderId="0" xfId="0" applyFill="1"/>
    <xf numFmtId="164" fontId="0" fillId="9" borderId="0" xfId="1" applyNumberFormat="1" applyFont="1" applyFill="1"/>
    <xf numFmtId="164" fontId="0" fillId="7" borderId="6" xfId="1" applyNumberFormat="1" applyFont="1" applyFill="1" applyBorder="1"/>
    <xf numFmtId="164" fontId="0" fillId="7" borderId="0" xfId="1" applyNumberFormat="1" applyFont="1" applyFill="1" applyBorder="1"/>
    <xf numFmtId="164" fontId="0" fillId="3" borderId="0" xfId="1" applyNumberFormat="1" applyFont="1" applyFill="1" applyBorder="1"/>
    <xf numFmtId="164" fontId="0" fillId="3" borderId="7" xfId="1" applyNumberFormat="1" applyFont="1" applyFill="1" applyBorder="1"/>
    <xf numFmtId="164" fontId="0" fillId="8" borderId="6" xfId="1" applyNumberFormat="1" applyFont="1" applyFill="1" applyBorder="1"/>
    <xf numFmtId="164" fontId="0" fillId="8" borderId="0" xfId="1" applyNumberFormat="1" applyFont="1" applyFill="1" applyBorder="1"/>
    <xf numFmtId="164" fontId="0" fillId="4" borderId="0" xfId="1" applyNumberFormat="1" applyFont="1" applyFill="1" applyBorder="1"/>
    <xf numFmtId="164" fontId="0" fillId="4" borderId="7" xfId="1" applyNumberFormat="1" applyFont="1" applyFill="1" applyBorder="1"/>
    <xf numFmtId="0" fontId="0" fillId="0" borderId="7" xfId="0" applyBorder="1"/>
    <xf numFmtId="164" fontId="0" fillId="5" borderId="6" xfId="1" applyNumberFormat="1" applyFont="1" applyFill="1" applyBorder="1"/>
    <xf numFmtId="164" fontId="0" fillId="5" borderId="0" xfId="1" applyNumberFormat="1" applyFont="1" applyFill="1" applyBorder="1"/>
    <xf numFmtId="164" fontId="0" fillId="5" borderId="7" xfId="1" applyNumberFormat="1" applyFont="1" applyFill="1" applyBorder="1"/>
    <xf numFmtId="164" fontId="0" fillId="5" borderId="8" xfId="1" applyNumberFormat="1" applyFont="1" applyFill="1" applyBorder="1"/>
    <xf numFmtId="164" fontId="0" fillId="5" borderId="9" xfId="1" applyNumberFormat="1" applyFont="1" applyFill="1" applyBorder="1"/>
    <xf numFmtId="164" fontId="0" fillId="5" borderId="10" xfId="1" applyNumberFormat="1" applyFont="1" applyFill="1" applyBorder="1"/>
    <xf numFmtId="0" fontId="0" fillId="0" borderId="3" xfId="0" applyBorder="1" applyAlignment="1">
      <alignment horizontal="right"/>
    </xf>
    <xf numFmtId="0" fontId="0" fillId="2" borderId="4" xfId="0" applyFill="1" applyBorder="1"/>
    <xf numFmtId="164" fontId="0" fillId="0" borderId="6" xfId="1" applyNumberFormat="1" applyFont="1" applyBorder="1"/>
    <xf numFmtId="165" fontId="0" fillId="0" borderId="7" xfId="1" applyNumberFormat="1" applyFont="1" applyBorder="1"/>
    <xf numFmtId="164" fontId="0" fillId="0" borderId="8" xfId="1" applyNumberFormat="1" applyFont="1" applyBorder="1"/>
    <xf numFmtId="0" fontId="0" fillId="0" borderId="9" xfId="0" applyBorder="1"/>
    <xf numFmtId="165" fontId="0" fillId="0" borderId="9" xfId="1" applyNumberFormat="1" applyFont="1" applyBorder="1"/>
    <xf numFmtId="165" fontId="0" fillId="0" borderId="10" xfId="1" applyNumberFormat="1" applyFont="1" applyBorder="1"/>
    <xf numFmtId="164" fontId="0" fillId="6" borderId="0" xfId="1" applyNumberFormat="1" applyFont="1" applyFill="1" applyBorder="1"/>
    <xf numFmtId="164" fontId="0" fillId="0" borderId="0" xfId="1" applyNumberFormat="1" applyFont="1" applyAlignment="1">
      <alignment horizontal="right"/>
    </xf>
    <xf numFmtId="0" fontId="4" fillId="0" borderId="3"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cellXfs>
  <cellStyles count="5">
    <cellStyle name="Comma" xfId="4" builtinId="3"/>
    <cellStyle name="Heading 1" xfId="3" builtinId="16"/>
    <cellStyle name="Normal" xfId="0" builtinId="0"/>
    <cellStyle name="Percent" xfId="1" builtinId="5"/>
    <cellStyle name="Title" xfId="2" builtinId="15"/>
  </cellStyles>
  <dxfs count="2">
    <dxf>
      <font>
        <color rgb="FF006100"/>
      </font>
      <fill>
        <patternFill>
          <bgColor rgb="FFC6EFCE"/>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Array" Target="richData/rdarray.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theme" Target="theme/theme1.xml"/><Relationship Id="rId12" Type="http://schemas.microsoft.com/office/2017/06/relationships/rdRichValueStructure" Target="richData/rdrichvaluestructure.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SupportingPropertyBag" Target="richData/rdsupportingpropertybag.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06/relationships/rdRichValue" Target="richData/rdrichvalue.xml"/><Relationship Id="rId5" Type="http://schemas.openxmlformats.org/officeDocument/2006/relationships/worksheet" Target="worksheets/sheet5.xml"/><Relationship Id="rId15" Type="http://schemas.microsoft.com/office/2017/06/relationships/rdSupportingPropertyBagStructure" Target="richData/rdsupportingpropertybagstructure.xml"/><Relationship Id="rId10" Type="http://schemas.openxmlformats.org/officeDocument/2006/relationships/sheetMetadata" Target="metadata.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ichStyles" Target="richData/richStyles.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Optimized Portfolios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'CAPM Graph'!$F$3:$F$18</c:f>
              <c:numCache>
                <c:formatCode>0.0%</c:formatCode>
                <c:ptCount val="16"/>
                <c:pt idx="0">
                  <c:v>0.20499979193248413</c:v>
                </c:pt>
                <c:pt idx="1">
                  <c:v>0.2000006028478111</c:v>
                </c:pt>
                <c:pt idx="2">
                  <c:v>0.19299978518289135</c:v>
                </c:pt>
                <c:pt idx="3">
                  <c:v>0.17000021572751831</c:v>
                </c:pt>
                <c:pt idx="4">
                  <c:v>0.15000009896409078</c:v>
                </c:pt>
                <c:pt idx="5">
                  <c:v>0.13000095899599756</c:v>
                </c:pt>
                <c:pt idx="6">
                  <c:v>0.10999950507473696</c:v>
                </c:pt>
                <c:pt idx="7">
                  <c:v>9.750099865658296E-2</c:v>
                </c:pt>
                <c:pt idx="8">
                  <c:v>9.7500943708693708E-2</c:v>
                </c:pt>
                <c:pt idx="9">
                  <c:v>0.1100008520415371</c:v>
                </c:pt>
                <c:pt idx="10">
                  <c:v>0.13000099711241178</c:v>
                </c:pt>
                <c:pt idx="11">
                  <c:v>0.15000076576012294</c:v>
                </c:pt>
                <c:pt idx="12">
                  <c:v>0.17000020962026566</c:v>
                </c:pt>
                <c:pt idx="13">
                  <c:v>0.1929998917221615</c:v>
                </c:pt>
                <c:pt idx="14">
                  <c:v>0.1999994008676364</c:v>
                </c:pt>
                <c:pt idx="15">
                  <c:v>0.20499941192068444</c:v>
                </c:pt>
              </c:numCache>
            </c:numRef>
          </c:xVal>
          <c:yVal>
            <c:numRef>
              <c:f>'CAPM Graph'!$G$3:$G$18</c:f>
              <c:numCache>
                <c:formatCode>0.0%</c:formatCode>
                <c:ptCount val="16"/>
                <c:pt idx="0">
                  <c:v>0.55866305679244432</c:v>
                </c:pt>
                <c:pt idx="1">
                  <c:v>0.36437880788222993</c:v>
                </c:pt>
                <c:pt idx="2">
                  <c:v>0.50623131116322129</c:v>
                </c:pt>
                <c:pt idx="3">
                  <c:v>0.21588035050706991</c:v>
                </c:pt>
                <c:pt idx="4">
                  <c:v>0.16726130107720488</c:v>
                </c:pt>
                <c:pt idx="5">
                  <c:v>0.10341859407081176</c:v>
                </c:pt>
                <c:pt idx="6">
                  <c:v>9.4133950527936494E-2</c:v>
                </c:pt>
                <c:pt idx="7">
                  <c:v>0.1375130319001904</c:v>
                </c:pt>
                <c:pt idx="8">
                  <c:v>0.18140918947458687</c:v>
                </c:pt>
                <c:pt idx="9">
                  <c:v>0.29564418146544003</c:v>
                </c:pt>
                <c:pt idx="10">
                  <c:v>0.39543177240566818</c:v>
                </c:pt>
                <c:pt idx="11">
                  <c:v>0.46818768645868825</c:v>
                </c:pt>
                <c:pt idx="12">
                  <c:v>0.52559841111635974</c:v>
                </c:pt>
                <c:pt idx="13">
                  <c:v>0.58158788959688879</c:v>
                </c:pt>
                <c:pt idx="14">
                  <c:v>0.59145102676470618</c:v>
                </c:pt>
                <c:pt idx="15">
                  <c:v>0.58850105912205908</c:v>
                </c:pt>
              </c:numCache>
            </c:numRef>
          </c:yVal>
          <c:smooth val="1"/>
          <c:extLst>
            <c:ext xmlns:c16="http://schemas.microsoft.com/office/drawing/2014/chart" uri="{C3380CC4-5D6E-409C-BE32-E72D297353CC}">
              <c16:uniqueId val="{00000000-BC05-47E0-8EA6-B6A2DD306792}"/>
            </c:ext>
          </c:extLst>
        </c:ser>
        <c:ser>
          <c:idx val="1"/>
          <c:order val="1"/>
          <c:tx>
            <c:v>CML</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'CAPM Graph'!$J$3:$J$12</c:f>
              <c:numCache>
                <c:formatCode>0.0%</c:formatCode>
                <c:ptCount val="10"/>
                <c:pt idx="0">
                  <c:v>0</c:v>
                </c:pt>
                <c:pt idx="1">
                  <c:v>3.4000041924053134E-2</c:v>
                </c:pt>
                <c:pt idx="2">
                  <c:v>6.8000083848106269E-2</c:v>
                </c:pt>
                <c:pt idx="3">
                  <c:v>0.1020001257721594</c:v>
                </c:pt>
                <c:pt idx="4">
                  <c:v>0.13600016769621254</c:v>
                </c:pt>
                <c:pt idx="5">
                  <c:v>0.17000020962026566</c:v>
                </c:pt>
                <c:pt idx="6">
                  <c:v>0.20400025154431878</c:v>
                </c:pt>
                <c:pt idx="7">
                  <c:v>0.2380002934683719</c:v>
                </c:pt>
                <c:pt idx="8">
                  <c:v>0.27200033539242502</c:v>
                </c:pt>
                <c:pt idx="9">
                  <c:v>0.30600037731647817</c:v>
                </c:pt>
              </c:numCache>
            </c:numRef>
          </c:xVal>
          <c:yVal>
            <c:numRef>
              <c:f>'CAPM Graph'!$K$3:$K$12</c:f>
              <c:numCache>
                <c:formatCode>0.0%</c:formatCode>
                <c:ptCount val="10"/>
                <c:pt idx="0">
                  <c:v>0.05</c:v>
                </c:pt>
                <c:pt idx="1">
                  <c:v>0.15511968222327194</c:v>
                </c:pt>
                <c:pt idx="2">
                  <c:v>0.26023936444654389</c:v>
                </c:pt>
                <c:pt idx="3">
                  <c:v>0.36535904666981589</c:v>
                </c:pt>
                <c:pt idx="4">
                  <c:v>0.47047872889308778</c:v>
                </c:pt>
                <c:pt idx="5">
                  <c:v>0.57559841111635979</c:v>
                </c:pt>
                <c:pt idx="6">
                  <c:v>0.68071809333963174</c:v>
                </c:pt>
                <c:pt idx="7">
                  <c:v>0.78583777556290368</c:v>
                </c:pt>
                <c:pt idx="8">
                  <c:v>0.89095745778617552</c:v>
                </c:pt>
                <c:pt idx="9">
                  <c:v>0.99607714000944747</c:v>
                </c:pt>
              </c:numCache>
            </c:numRef>
          </c:yVal>
          <c:smooth val="1"/>
          <c:extLst>
            <c:ext xmlns:c16="http://schemas.microsoft.com/office/drawing/2014/chart" uri="{C3380CC4-5D6E-409C-BE32-E72D297353CC}">
              <c16:uniqueId val="{00000001-BC05-47E0-8EA6-B6A2DD306792}"/>
            </c:ext>
          </c:extLst>
        </c:ser>
        <c:dLbls>
          <c:showLegendKey val="0"/>
          <c:showVal val="0"/>
          <c:showCatName val="0"/>
          <c:showSerName val="0"/>
          <c:showPercent val="0"/>
          <c:showBubbleSize val="0"/>
        </c:dLbls>
        <c:axId val="628503616"/>
        <c:axId val="628504576"/>
      </c:scatterChart>
      <c:valAx>
        <c:axId val="6285036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Risk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504576"/>
        <c:crosses val="autoZero"/>
        <c:crossBetween val="midCat"/>
      </c:valAx>
      <c:valAx>
        <c:axId val="6285045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Return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85036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1933575</xdr:colOff>
          <xdr:row>43</xdr:row>
          <xdr:rowOff>142875</xdr:rowOff>
        </xdr:from>
        <xdr:to>
          <xdr:col>5</xdr:col>
          <xdr:colOff>2714625</xdr:colOff>
          <xdr:row>46</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Copy it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26193</xdr:colOff>
      <xdr:row>1</xdr:row>
      <xdr:rowOff>2380</xdr:rowOff>
    </xdr:from>
    <xdr:to>
      <xdr:col>19</xdr:col>
      <xdr:colOff>61912</xdr:colOff>
      <xdr:row>18</xdr:row>
      <xdr:rowOff>0</xdr:rowOff>
    </xdr:to>
    <xdr:graphicFrame macro="">
      <xdr:nvGraphicFramePr>
        <xdr:cNvPr id="3" name="Chart 2">
          <a:extLst>
            <a:ext uri="{FF2B5EF4-FFF2-40B4-BE49-F238E27FC236}">
              <a16:creationId xmlns:a16="http://schemas.microsoft.com/office/drawing/2014/main" id="{39558E3F-7914-E2F2-89AE-201CF9883A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16">
  <a r="1" c="502">
    <v t="i">2</v>
    <v t="i">3</v>
    <v t="i">4</v>
    <v t="i">5</v>
    <v t="i">8</v>
    <v t="i">9</v>
    <v t="i">10</v>
    <v t="i">11</v>
    <v t="i">12</v>
    <v t="i">16</v>
    <v t="i">17</v>
    <v t="i">18</v>
    <v t="i">19</v>
    <v t="i">22</v>
    <v t="i">23</v>
    <v t="i">24</v>
    <v t="i">25</v>
    <v t="i">26</v>
    <v t="i">29</v>
    <v t="i">30</v>
    <v t="i">31</v>
    <v t="i">32</v>
    <v t="i">33</v>
    <v t="i">36</v>
    <v t="i">37</v>
    <v t="i">38</v>
    <v t="i">39</v>
    <v t="i">40</v>
    <v t="i">43</v>
    <v t="i">44</v>
    <v t="i">45</v>
    <v t="i">46</v>
    <v t="i">47</v>
    <v t="i">51</v>
    <v t="i">52</v>
    <v t="i">53</v>
    <v t="i">54</v>
    <v t="i">57</v>
    <v t="i">58</v>
    <v t="i">59</v>
    <v t="i">60</v>
    <v t="i">61</v>
    <v t="i">64</v>
    <v t="i">65</v>
    <v t="i">66</v>
    <v t="i">67</v>
    <v t="i">68</v>
    <v t="i">71</v>
    <v t="i">72</v>
    <v t="i">73</v>
    <v t="i">74</v>
    <v t="i">75</v>
    <v t="i">78</v>
    <v t="i">79</v>
    <v t="i">80</v>
    <v t="i">81</v>
    <v t="i">82</v>
    <v t="i">85</v>
    <v t="i">86</v>
    <v t="i">87</v>
    <v t="i">88</v>
    <v t="i">89</v>
    <v t="i">92</v>
    <v t="i">93</v>
    <v t="i">94</v>
    <v t="i">95</v>
    <v t="i">99</v>
    <v t="i">100</v>
    <v t="i">101</v>
    <v t="i">102</v>
    <v t="i">103</v>
    <v t="i">106</v>
    <v t="i">107</v>
    <v t="i">108</v>
    <v t="i">109</v>
    <v t="i">110</v>
    <v t="i">113</v>
    <v t="i">114</v>
    <v t="i">115</v>
    <v t="i">116</v>
    <v t="i">117</v>
    <v t="i">120</v>
    <v t="i">121</v>
    <v t="i">122</v>
    <v t="i">123</v>
    <v t="i">124</v>
    <v t="i">127</v>
    <v t="i">128</v>
    <v t="i">129</v>
    <v t="i">130</v>
    <v t="i">131</v>
    <v t="i">134</v>
    <v t="i">135</v>
    <v t="i">136</v>
    <v t="i">137</v>
    <v t="i">138</v>
    <v t="i">141</v>
    <v t="i">142</v>
    <v t="i">143</v>
    <v t="i">144</v>
    <v t="i">145</v>
    <v t="i">149</v>
    <v t="i">150</v>
    <v t="i">151</v>
    <v t="i">152</v>
    <v t="i">155</v>
    <v t="i">156</v>
    <v t="i">157</v>
    <v t="i">158</v>
    <v t="i">159</v>
    <v t="i">162</v>
    <v t="i">163</v>
    <v t="i">164</v>
    <v t="i">165</v>
    <v t="i">166</v>
    <v t="i">170</v>
    <v t="i">171</v>
    <v t="i">172</v>
    <v t="i">173</v>
    <v t="i">176</v>
    <v t="i">177</v>
    <v t="i">178</v>
    <v t="i">179</v>
    <v t="i">180</v>
    <v t="i">183</v>
    <v t="i">185</v>
    <v t="i">186</v>
    <v t="i">187</v>
    <v t="i">190</v>
    <v t="i">191</v>
    <v t="i">192</v>
    <v t="i">193</v>
    <v t="i">194</v>
    <v t="i">197</v>
    <v t="i">198</v>
    <v t="i">199</v>
    <v t="i">200</v>
    <v t="i">201</v>
    <v t="i">204</v>
    <v t="i">205</v>
    <v t="i">206</v>
    <v t="i">207</v>
    <v t="i">208</v>
    <v t="i">211</v>
    <v t="i">212</v>
    <v t="i">213</v>
    <v t="i">214</v>
    <v t="i">215</v>
    <v t="i">218</v>
    <v t="i">219</v>
    <v t="i">220</v>
    <v t="i">221</v>
    <v t="i">222</v>
    <v t="i">225</v>
    <v t="i">226</v>
    <v t="i">227</v>
    <v t="i">228</v>
    <v t="i">229</v>
    <v t="i">232</v>
    <v t="i">233</v>
    <v t="i">234</v>
    <v t="i">235</v>
    <v t="i">236</v>
    <v t="i">239</v>
    <v t="i">240</v>
    <v t="i">241</v>
    <v t="i">242</v>
    <v t="i">243</v>
    <v t="i">247</v>
    <v t="i">248</v>
    <v t="i">249</v>
    <v t="i">250</v>
    <v t="i">253</v>
    <v t="i">254</v>
    <v t="i">255</v>
    <v t="i">256</v>
    <v t="i">257</v>
    <v t="i">260</v>
    <v t="i">261</v>
    <v t="i">262</v>
    <v t="i">263</v>
    <v t="i">264</v>
    <v t="i">267</v>
    <v t="i">268</v>
    <v t="i">269</v>
    <v t="i">270</v>
    <v t="i">271</v>
    <v t="i">274</v>
    <v t="i">275</v>
    <v t="i">276</v>
    <v t="i">277</v>
    <v t="i">278</v>
    <v t="i">281</v>
    <v t="i">282</v>
    <v t="i">283</v>
    <v t="i">284</v>
    <v t="i">285</v>
    <v t="i">288</v>
    <v t="i">289</v>
    <v t="i">290</v>
    <v t="i">291</v>
    <v t="i">292</v>
    <v t="i">295</v>
    <v t="i">296</v>
    <v t="i">297</v>
    <v t="i">298</v>
    <v t="i">299</v>
    <v t="i">302</v>
    <v t="i">303</v>
    <v t="i">304</v>
    <v t="i">305</v>
    <v t="i">306</v>
    <v t="i">309</v>
    <v t="i">310</v>
    <v t="i">311</v>
    <v t="i">312</v>
    <v t="i">313</v>
    <v t="i">316</v>
    <v t="i">317</v>
    <v t="i">318</v>
    <v t="i">319</v>
    <v t="i">320</v>
    <v t="i">323</v>
    <v t="i">324</v>
    <v t="i">325</v>
    <v t="i">327</v>
    <v t="i">330</v>
    <v t="i">331</v>
    <v t="i">332</v>
    <v t="i">333</v>
    <v t="i">334</v>
    <v t="i">337</v>
    <v t="i">338</v>
    <v t="i">339</v>
    <v t="i">340</v>
    <v t="i">341</v>
    <v t="i">344</v>
    <v t="i">345</v>
    <v t="i">346</v>
    <v t="i">347</v>
    <v t="i">348</v>
    <v t="i">351</v>
    <v t="i">352</v>
    <v t="i">353</v>
    <v t="i">354</v>
    <v t="i">355</v>
    <v t="i">359</v>
    <v t="i">360</v>
    <v t="i">361</v>
    <v t="i">362</v>
    <v t="i">366</v>
    <v t="i">367</v>
    <v t="i">368</v>
    <v t="i">369</v>
    <v t="i">372</v>
    <v t="i">373</v>
    <v t="i">374</v>
    <v t="i">375</v>
    <v t="i">376</v>
    <v t="i">380</v>
    <v t="i">381</v>
    <v t="i">382</v>
    <v t="i">383</v>
    <v t="i">386</v>
    <v t="i">387</v>
    <v t="i">388</v>
    <v t="i">389</v>
    <v t="i">390</v>
    <v t="i">393</v>
    <v t="i">394</v>
    <v t="i">395</v>
    <v t="i">396</v>
    <v t="i">397</v>
    <v t="i">400</v>
    <v t="i">401</v>
    <v t="i">402</v>
    <v t="i">403</v>
    <v t="i">404</v>
    <v t="i">407</v>
    <v t="i">408</v>
    <v t="i">409</v>
    <v t="i">410</v>
    <v t="i">411</v>
    <v t="i">415</v>
    <v t="i">416</v>
    <v t="i">417</v>
    <v t="i">418</v>
    <v t="i">421</v>
    <v t="i">422</v>
    <v t="i">423</v>
    <v t="i">424</v>
    <v t="i">425</v>
    <v t="i">428</v>
    <v t="i">429</v>
    <v t="i">430</v>
    <v t="i">431</v>
    <v t="i">432</v>
    <v t="i">435</v>
    <v t="i">436</v>
    <v t="i">437</v>
    <v t="i">438</v>
    <v t="i">439</v>
    <v t="i">442</v>
    <v t="i">443</v>
    <v t="i">444</v>
    <v t="i">445</v>
    <v t="i">446</v>
    <v t="i">449</v>
    <v t="i">450</v>
    <v t="i">451</v>
    <v t="i">452</v>
    <v t="i">456</v>
    <v t="i">457</v>
    <v t="i">458</v>
    <v t="i">459</v>
    <v t="i">460</v>
    <v t="i">463</v>
    <v t="i">464</v>
    <v t="i">465</v>
    <v t="i">466</v>
    <v t="i">467</v>
    <v t="i">470</v>
    <v t="i">471</v>
    <v t="i">472</v>
    <v t="i">473</v>
    <v t="i">474</v>
    <v t="i">477</v>
    <v t="i">478</v>
    <v t="i">479</v>
    <v t="i">480</v>
    <v t="i">481</v>
    <v t="i">484</v>
    <v t="i">485</v>
    <v t="i">486</v>
    <v t="i">487</v>
    <v t="i">488</v>
    <v t="i">491</v>
    <v t="i">492</v>
    <v t="i">493</v>
    <v t="i">494</v>
    <v t="i">495</v>
    <v t="i">498</v>
    <v t="i">499</v>
    <v t="i">500</v>
    <v t="i">501</v>
    <v t="i">502</v>
    <v t="i">505</v>
    <v t="i">506</v>
    <v t="i">507</v>
    <v t="i">508</v>
    <v t="i">509</v>
    <v t="i">513</v>
    <v t="i">514</v>
    <v t="i">515</v>
    <v t="i">516</v>
    <v t="i">519</v>
    <v t="i">520</v>
    <v t="i">521</v>
    <v t="i">522</v>
    <v t="i">523</v>
    <v t="i">526</v>
    <v t="i">527</v>
    <v t="i">528</v>
    <v t="i">529</v>
    <v t="i">530</v>
    <v t="i">533</v>
    <v t="i">534</v>
    <v t="i">536</v>
    <v t="i">537</v>
    <v t="i">540</v>
    <v t="i">541</v>
    <v t="i">542</v>
    <v t="i">543</v>
    <v t="i">544</v>
    <v t="i">547</v>
    <v t="i">548</v>
    <v t="i">549</v>
    <v t="i">551</v>
    <v t="i">554</v>
    <v t="i">555</v>
    <v t="i">556</v>
    <v t="i">557</v>
    <v t="i">558</v>
    <v t="i">561</v>
    <v t="i">562</v>
    <v t="i">563</v>
    <v t="i">564</v>
    <v t="i">565</v>
    <v t="i">568</v>
    <v t="i">569</v>
    <v t="i">570</v>
    <v t="i">571</v>
    <v t="i">572</v>
    <v t="i">575</v>
    <v t="i">576</v>
    <v t="i">577</v>
    <v t="i">578</v>
    <v t="i">579</v>
    <v t="i">582</v>
    <v t="i">583</v>
    <v t="i">584</v>
    <v t="i">585</v>
    <v t="i">586</v>
    <v t="i">589</v>
    <v t="i">590</v>
    <v t="i">591</v>
    <v t="i">592</v>
    <v t="i">593</v>
    <v t="i">596</v>
    <v t="i">597</v>
    <v t="i">598</v>
    <v t="i">599</v>
    <v t="i">600</v>
    <v t="i">603</v>
    <v t="i">604</v>
    <v t="i">605</v>
    <v t="i">606</v>
    <v t="i">607</v>
    <v t="i">611</v>
    <v t="i">612</v>
    <v t="i">613</v>
    <v t="i">614</v>
    <v t="i">617</v>
    <v t="i">618</v>
    <v t="i">619</v>
    <v t="i">620</v>
    <v t="i">621</v>
    <v t="i">624</v>
    <v t="i">625</v>
    <v t="i">626</v>
    <v t="i">627</v>
    <v t="i">628</v>
    <v t="i">631</v>
    <v t="i">632</v>
    <v t="i">633</v>
    <v t="i">634</v>
    <v t="i">635</v>
    <v t="i">638</v>
    <v t="i">639</v>
    <v t="i">640</v>
    <v t="i">641</v>
    <v t="i">642</v>
    <v t="i">645</v>
    <v t="i">646</v>
    <v t="i">647</v>
    <v t="i">648</v>
    <v t="i">649</v>
    <v t="i">652</v>
    <v t="i">653</v>
    <v t="i">654</v>
    <v t="i">655</v>
    <v t="i">656</v>
    <v t="i">659</v>
    <v t="i">660</v>
    <v t="i">661</v>
    <v t="i">662</v>
    <v t="i">663</v>
    <v t="i">666</v>
    <v t="i">667</v>
    <v t="i">668</v>
    <v t="i">669</v>
    <v t="i">670</v>
    <v t="i">673</v>
    <v t="i">674</v>
    <v t="i">675</v>
    <v t="i">676</v>
    <v t="i">677</v>
    <v t="i">680</v>
    <v t="i">681</v>
    <v t="i">682</v>
    <v t="i">683</v>
    <v t="i">684</v>
    <v t="i">687</v>
    <v t="i">688</v>
    <v t="i">689</v>
    <v t="i">690</v>
    <v t="i">691</v>
    <v t="i">694</v>
    <v t="i">695</v>
    <v t="i">696</v>
    <v t="i">698</v>
    <v t="i">701</v>
    <v t="i">702</v>
    <v t="i">703</v>
    <v t="i">704</v>
    <v t="i">705</v>
    <v t="i">708</v>
    <v t="i">709</v>
    <v t="i">710</v>
    <v t="i">711</v>
    <v t="i">712</v>
    <v t="i">715</v>
    <v t="i">716</v>
    <v t="i">717</v>
    <v t="i">718</v>
    <v t="i">719</v>
    <v t="i">722</v>
    <v t="i">723</v>
    <v t="i">725</v>
    <v t="i">726</v>
    <v t="i">729</v>
    <v t="i">730</v>
  </a>
  <a r="1" c="502">
    <v>40.78</v>
    <v>41.24</v>
    <v>41.33</v>
    <v>42.59</v>
    <v>42.2</v>
    <v>42.33</v>
    <v>42.56</v>
    <v>42.43</v>
    <v>42.42</v>
    <v>42.33</v>
    <v>39.659999999999997</v>
    <v>40.04</v>
    <v>39.880000000000003</v>
    <v>40.26</v>
    <v>39.82</v>
    <v>39.950000000000003</v>
    <v>39.659999999999997</v>
    <v>39.69</v>
    <v>40.369999999999997</v>
    <v>40.53</v>
    <v>40.54</v>
    <v>39.99</v>
    <v>39.380000000000003</v>
    <v>39.93</v>
    <v>39.54</v>
    <v>39.07</v>
    <v>38.89</v>
    <v>39.630000000000003</v>
    <v>40.33</v>
    <v>39.880000000000003</v>
    <v>40.130000000000003</v>
    <v>39.78</v>
    <v>40</v>
    <v>39.869999999999997</v>
    <v>39.58</v>
    <v>39.75</v>
    <v>39.61</v>
    <v>39.659999999999997</v>
    <v>38.94</v>
    <v>38.4</v>
    <v>38.659999999999997</v>
    <v>39.04</v>
    <v>38.99</v>
    <v>38.64</v>
    <v>38.32</v>
    <v>37.79</v>
    <v>37.94</v>
    <v>38.119999999999997</v>
    <v>38.14</v>
    <v>38.11</v>
    <v>38.18</v>
    <v>37.630000000000003</v>
    <v>37.94</v>
    <v>38.04</v>
    <v>37.57</v>
    <v>37.42</v>
    <v>38.18</v>
    <v>38.6</v>
    <v>38.39</v>
    <v>38.67</v>
    <v>38.840000000000003</v>
    <v>38.67</v>
    <v>38.85</v>
    <v>38.61</v>
    <v>39.020000000000003</v>
    <v>39.14</v>
    <v>39.1</v>
    <v>39.25</v>
    <v>39.28</v>
    <v>39.17</v>
    <v>39.1</v>
    <v>39.54</v>
    <v>39.46</v>
    <v>39.47</v>
    <v>39.409999999999997</v>
    <v>39.22</v>
    <v>39.18</v>
    <v>39.44</v>
    <v>39.36</v>
    <v>39.68</v>
    <v>39.270000000000003</v>
    <v>39.76</v>
    <v>39.450000000000003</v>
    <v>40.25</v>
    <v>40.840000000000003</v>
    <v>41.32</v>
    <v>41.08</v>
    <v>40.880000000000003</v>
    <v>40.68</v>
    <v>40.65</v>
    <v>40.659999999999997</v>
    <v>40.17</v>
    <v>39</v>
    <v>38.909999999999997</v>
    <v>38.909999999999997</v>
    <v>39.07</v>
    <v>38.74</v>
    <v>38.69</v>
    <v>38.72</v>
    <v>38.26</v>
    <v>38.340000000000003</v>
    <v>37.85</v>
    <v>38.22</v>
    <v>38.19</v>
    <v>38.51</v>
    <v>38.06</v>
    <v>37.79</v>
    <v>36.950000000000003</v>
    <v>37.19</v>
    <v>36.880000000000003</v>
    <v>36.58</v>
    <v>36.799999999999997</v>
    <v>36.67</v>
    <v>36.869999999999997</v>
    <v>36.99</v>
    <v>36.619999999999997</v>
    <v>36.07</v>
    <v>36.07</v>
    <v>35.909999999999997</v>
    <v>35.549999999999997</v>
    <v>35.58</v>
    <v>35.020000000000003</v>
    <v>35.020000000000003</v>
    <v>35.5</v>
    <v>35.81</v>
    <v>35.85</v>
    <v>35.659999999999997</v>
    <v>35.46</v>
    <v>35.4</v>
    <v>35.630000000000003</v>
    <v>35.76</v>
    <v>35.64</v>
    <v>35.85</v>
    <v>35.51</v>
    <v>35.51</v>
    <v>36.14</v>
    <v>36.4</v>
    <v>36.32</v>
    <v>36.35</v>
    <v>36.549999999999997</v>
    <v>36.36</v>
    <v>36.200000000000003</v>
    <v>36.159999999999997</v>
    <v>36.18</v>
    <v>35.880000000000003</v>
    <v>36.32</v>
    <v>35.57</v>
    <v>35.28</v>
    <v>35</v>
    <v>34.46</v>
    <v>34.520000000000003</v>
    <v>34.39</v>
    <v>34.549999999999997</v>
    <v>34.24</v>
    <v>33.76</v>
    <v>33.56</v>
    <v>33.49</v>
    <v>33.659999999999997</v>
    <v>33.479999999999997</v>
    <v>33.299999999999997</v>
    <v>33.49</v>
    <v>33.520000000000003</v>
    <v>33.85</v>
    <v>33.840000000000003</v>
    <v>33.76</v>
    <v>33.67</v>
    <v>33.090000000000003</v>
    <v>32.58</v>
    <v>32.549999999999997</v>
    <v>32.57</v>
    <v>32.68</v>
    <v>32.96</v>
    <v>33.630000000000003</v>
    <v>33.56</v>
    <v>33.19</v>
    <v>33.770000000000003</v>
    <v>33.450000000000003</v>
    <v>33.42</v>
    <v>33.94</v>
    <v>34.020000000000003</v>
    <v>34.49</v>
    <v>34.159999999999997</v>
    <v>34.32</v>
    <v>34.5</v>
    <v>34.03</v>
    <v>33.75</v>
    <v>33.64</v>
    <v>33.090000000000003</v>
    <v>33.11</v>
    <v>33.28</v>
    <v>32.32</v>
    <v>32.03</v>
    <v>32.49</v>
    <v>32.47</v>
    <v>32.44</v>
    <v>30.81</v>
    <v>31.43</v>
    <v>31.58</v>
    <v>31.51</v>
    <v>31.73</v>
    <v>31.45</v>
    <v>31.31</v>
    <v>31.12</v>
    <v>31.71</v>
    <v>32.08</v>
    <v>31.86</v>
    <v>31.44</v>
    <v>31.62</v>
    <v>31.46</v>
    <v>32.200000000000003</v>
    <v>33.51</v>
    <v>33.270000000000003</v>
    <v>33.29</v>
    <v>33.090000000000003</v>
    <v>33.17</v>
    <v>32.950000000000003</v>
    <v>32.89</v>
    <v>33.24</v>
    <v>33.58</v>
    <v>33.56</v>
    <v>33.81</v>
    <v>33.659999999999997</v>
    <v>33.79</v>
    <v>34.15</v>
    <v>34.68</v>
    <v>34.94</v>
    <v>34.89</v>
    <v>35.119999999999997</v>
    <v>35.08</v>
    <v>35.11</v>
    <v>35.520000000000003</v>
    <v>35.82</v>
    <v>35.840000000000003</v>
    <v>36.200000000000003</v>
    <v>36.5</v>
    <v>36.229999999999997</v>
    <v>36.78</v>
    <v>37.26</v>
    <v>37.659999999999997</v>
    <v>37</v>
    <v>36.590000000000003</v>
    <v>36.71</v>
    <v>36.49</v>
    <v>35.75</v>
    <v>35.96</v>
    <v>36.36</v>
    <v>36.5</v>
    <v>36.520000000000003</v>
    <v>36.74</v>
    <v>36.979999999999997</v>
    <v>38.119999999999997</v>
    <v>38.08</v>
    <v>37.78</v>
    <v>37.94</v>
    <v>38.25</v>
    <v>38.549999999999997</v>
    <v>37.89</v>
    <v>37.58</v>
    <v>37.68</v>
    <v>37.61</v>
    <v>37.79</v>
    <v>37.01</v>
    <v>37.08</v>
    <v>36.76</v>
    <v>37.15</v>
    <v>36.82</v>
    <v>37.26</v>
    <v>37.21</v>
    <v>37.31</v>
    <v>37.35</v>
    <v>37.130000000000003</v>
    <v>37.76</v>
    <v>37.65</v>
    <v>37.22</v>
    <v>37.21</v>
    <v>36.4</v>
    <v>36.47</v>
    <v>35.97</v>
    <v>36.36</v>
    <v>36.130000000000003</v>
    <v>34.159999999999997</v>
    <v>34.97</v>
    <v>34.81</v>
    <v>35.619999999999997</v>
    <v>36.39</v>
    <v>36.409999999999997</v>
    <v>36.049999999999997</v>
    <v>35.96</v>
    <v>35.799999999999997</v>
    <v>35.54</v>
    <v>35.28</v>
    <v>35.130000000000003</v>
    <v>35.04</v>
    <v>35.130000000000003</v>
    <v>35.35</v>
    <v>34.5</v>
    <v>34.840000000000003</v>
    <v>34.979999999999997</v>
    <v>34.6</v>
    <v>34.53</v>
    <v>34.32</v>
    <v>34.369999999999997</v>
    <v>34.92</v>
    <v>35.270000000000003</v>
    <v>35.35</v>
    <v>35.6</v>
    <v>35.85</v>
    <v>36.18</v>
    <v>36.369999999999997</v>
    <v>36.53</v>
    <v>36.9</v>
    <v>37.06</v>
    <v>37.39</v>
    <v>37.369999999999997</v>
    <v>37.25</v>
    <v>37.06</v>
    <v>37.049999999999997</v>
    <v>37.159999999999997</v>
    <v>36.82</v>
    <v>36.58</v>
    <v>35.94</v>
    <v>36.31</v>
    <v>36.590000000000003</v>
    <v>36.9</v>
    <v>37.11</v>
    <v>37.78</v>
    <v>38.15</v>
    <v>38.07</v>
    <v>38.57</v>
    <v>38.369999999999997</v>
    <v>38.159999999999997</v>
    <v>38.65</v>
    <v>38.61</v>
    <v>36.28</v>
    <v>36.72</v>
    <v>36.35</v>
    <v>35.74</v>
    <v>35.81</v>
    <v>35.89</v>
    <v>35.71</v>
    <v>36.24</v>
    <v>36.49</v>
    <v>36.19</v>
    <v>35.85</v>
    <v>36.07</v>
    <v>36</v>
    <v>35.78</v>
    <v>35.92</v>
    <v>36.380000000000003</v>
    <v>35.799999999999997</v>
    <v>35.85</v>
    <v>35.049999999999997</v>
    <v>34.659999999999997</v>
    <v>34.65</v>
    <v>35.369999999999997</v>
    <v>35.1</v>
    <v>35.630000000000003</v>
    <v>34.67</v>
    <v>34.57</v>
    <v>34.39</v>
    <v>33.549999999999997</v>
    <v>33.65</v>
    <v>32.92</v>
    <v>32.54</v>
    <v>32.380000000000003</v>
    <v>32.92</v>
    <v>32.67</v>
    <v>32.64</v>
    <v>32.950000000000003</v>
    <v>33.21</v>
    <v>32.799999999999997</v>
    <v>32.32</v>
    <v>32.270000000000003</v>
    <v>32.22</v>
    <v>31.86</v>
    <v>32</v>
    <v>32.090000000000003</v>
    <v>32.090000000000003</v>
    <v>32.1</v>
    <v>31.93</v>
    <v>31.92</v>
    <v>32.18</v>
    <v>32.07</v>
    <v>32.29</v>
    <v>32.840000000000003</v>
    <v>33.9</v>
    <v>33.770000000000003</v>
    <v>33.119999999999997</v>
    <v>32.82</v>
    <v>32.799999999999997</v>
    <v>33.049999999999997</v>
    <v>33.29</v>
    <v>33.36</v>
    <v>33.42</v>
    <v>33.840000000000003</v>
    <v>35.21</v>
    <v>35.4</v>
    <v>36.06</v>
    <v>35.200000000000003</v>
    <v>34.82</v>
    <v>34.67</v>
    <v>35.21</v>
    <v>35.270000000000003</v>
    <v>34.17</v>
    <v>34.57</v>
    <v>34.49</v>
    <v>34.19</v>
    <v>34.619999999999997</v>
    <v>35.36</v>
    <v>35.29</v>
    <v>35.44</v>
    <v>35.520000000000003</v>
    <v>35.909999999999997</v>
    <v>35.93</v>
    <v>35.74</v>
    <v>35.39</v>
    <v>35.26</v>
    <v>35.43</v>
    <v>35.590000000000003</v>
    <v>36.07</v>
    <v>36.130000000000003</v>
    <v>35.840000000000003</v>
    <v>36.049999999999997</v>
    <v>35.520000000000003</v>
    <v>35.159999999999997</v>
    <v>35.200000000000003</v>
    <v>35.590000000000003</v>
    <v>35.630000000000003</v>
    <v>35.04</v>
    <v>35.14</v>
    <v>34.99</v>
    <v>34.96</v>
    <v>34.68</v>
    <v>34.700000000000003</v>
    <v>34.520000000000003</v>
    <v>34.799999999999997</v>
    <v>35.369999999999997</v>
    <v>35.11</v>
    <v>35.17</v>
    <v>34.369999999999997</v>
    <v>34.17</v>
    <v>34.590000000000003</v>
    <v>34.590000000000003</v>
    <v>34.659999999999997</v>
    <v>34.67</v>
    <v>34.83</v>
    <v>35.22</v>
    <v>35.36</v>
    <v>35.72</v>
    <v>35.81</v>
    <v>35.950000000000003</v>
    <v>36</v>
    <v>35.49</v>
    <v>35.64</v>
    <v>35.5</v>
    <v>35.03</v>
    <v>34.74</v>
    <v>35.130000000000003</v>
    <v>34.799999999999997</v>
    <v>33.729999999999997</v>
    <v>33.46</v>
    <v>33.49</v>
    <v>33.380000000000003</v>
    <v>33.51</v>
    <v>33.42</v>
    <v>32.82</v>
    <v>33</v>
    <v>32.53</v>
    <v>32</v>
    <v>32.130000000000003</v>
    <v>31.79</v>
    <v>31.14</v>
    <v>31.07</v>
    <v>30.58</v>
    <v>30.88</v>
    <v>31.09</v>
    <v>31.81</v>
    <v>32.020000000000003</v>
    <v>31.97</v>
    <v>31.93</v>
    <v>31.97</v>
    <v>31.61</v>
    <v>31.45</v>
    <v>31</v>
    <v>30.91</v>
    <v>30.81</v>
    <v>31.72</v>
    <v>31.59</v>
    <v>31.29</v>
    <v>31.55</v>
    <v>31.69</v>
    <v>30.97</v>
    <v>31.25</v>
    <v>30.3</v>
    <v>30.1</v>
    <v>30.52</v>
    <v>30.46</v>
    <v>30.64</v>
    <v>30.55</v>
    <v>30.68</v>
    <v>30.36</v>
    <v>30.71</v>
  </a>
  <a r="1" c="502">
    <v>89.12</v>
    <v>88.08</v>
    <v>86.2</v>
    <v>87.34</v>
    <v>88.02</v>
    <v>88.42</v>
    <v>91.52</v>
    <v>91.13</v>
    <v>92.12</v>
    <v>91.29</v>
    <v>91.12</v>
    <v>93.05</v>
    <v>98.02</v>
    <v>99.79</v>
    <v>97.7</v>
    <v>95.22</v>
    <v>97.52</v>
    <v>99.37</v>
    <v>96.94</v>
    <v>98.84</v>
    <v>100.43</v>
    <v>107.74</v>
    <v>104.78</v>
    <v>102.9</v>
    <v>107.64</v>
    <v>99.37</v>
    <v>95.01</v>
    <v>94.57</v>
    <v>94.61</v>
    <v>94.68</v>
    <v>96.94</v>
    <v>95.51</v>
    <v>94.35</v>
    <v>91.79</v>
    <v>91.65</v>
    <v>90.89</v>
    <v>89.13</v>
    <v>89.87</v>
    <v>90.06</v>
    <v>90.36</v>
    <v>92</v>
    <v>93.65</v>
    <v>95.13</v>
    <v>93.86</v>
    <v>94.25</v>
    <v>92.32</v>
    <v>90.63</v>
    <v>91.11</v>
    <v>93.97</v>
    <v>96.11</v>
    <v>100.32</v>
    <v>101.62</v>
    <v>101.22</v>
    <v>104.92</v>
    <v>103.37</v>
    <v>105.6</v>
    <v>105.44</v>
    <v>102.46</v>
    <v>101.03</v>
    <v>101.39</v>
    <v>100.89</v>
    <v>103.73</v>
    <v>104.36</v>
    <v>104.72</v>
    <v>104.47</v>
    <v>108.42</v>
    <v>106.44</v>
    <v>105.35</v>
    <v>104.64</v>
    <v>107.43</v>
    <v>108.87</v>
    <v>105.97</v>
    <v>104.5</v>
    <v>104.18</v>
    <v>105.29</v>
    <v>105.41</v>
    <v>105.97</v>
    <v>103.85</v>
    <v>103.71</v>
    <v>107.59</v>
    <v>107.34</v>
    <v>107.2</v>
    <v>105.32</v>
    <v>105.41</v>
    <v>104.69</v>
    <v>105.57</v>
    <v>107.77</v>
    <v>107.35</v>
    <v>111.75</v>
    <v>116.57</v>
    <v>117.51</v>
    <v>116.51</v>
    <v>119.51</v>
    <v>120.84</v>
    <v>122.83</v>
    <v>122.76</v>
    <v>125.05</v>
    <v>122.56</v>
    <v>120.9</v>
    <v>123.48</v>
    <v>124.61</v>
    <v>123.67</v>
    <v>122.87</v>
    <v>123.72</v>
    <v>124.67</v>
    <v>126.01</v>
    <v>127.31</v>
    <v>122.5</v>
    <v>122.14</v>
    <v>122.23</v>
    <v>123.64</v>
    <v>123.83</v>
    <v>123.67</v>
    <v>125.09</v>
    <v>123.53</v>
    <v>123.1</v>
    <v>120.55</v>
    <v>123.15</v>
    <v>122.34</v>
    <v>118.34</v>
    <v>118.33</v>
    <v>120.18</v>
    <v>119.1</v>
    <v>119.7</v>
    <v>119.9</v>
    <v>121.75</v>
    <v>120.11</v>
    <v>119.48</v>
    <v>116.45</v>
    <v>117.14</v>
    <v>118.93</v>
    <v>124.54</v>
    <v>125.42</v>
    <v>124.65</v>
    <v>123.76</v>
    <v>122.03</v>
    <v>119.2</v>
    <v>120.02</v>
    <v>121.53</v>
    <v>122.21</v>
    <v>129.27000000000001</v>
    <v>129.4</v>
    <v>132.58000000000001</v>
    <v>132.72</v>
    <v>131.55000000000001</v>
    <v>128.38</v>
    <v>128.44999999999999</v>
    <v>128.11000000000001</v>
    <v>131.53</v>
    <v>131.4</v>
    <v>129.66</v>
    <v>129.69</v>
    <v>129.56</v>
    <v>131.33000000000001</v>
    <v>129.78</v>
    <v>128.69999999999999</v>
    <v>129.91999999999999</v>
    <v>127.46</v>
    <v>128.37</v>
    <v>129.08000000000001</v>
    <v>132.37</v>
    <v>129.78</v>
    <v>129.88</v>
    <v>131.01</v>
    <v>134.57</v>
    <v>135.88</v>
    <v>136.16999999999999</v>
    <v>135.66</v>
    <v>135.77000000000001</v>
    <v>134.46</v>
    <v>135.26</v>
    <v>136.38</v>
    <v>136.91999999999999</v>
    <v>135.34</v>
    <v>136.71</v>
    <v>138.1</v>
    <v>137.4</v>
    <v>138.21</v>
    <v>138.04</v>
    <v>133.74</v>
    <v>130.44</v>
    <v>130.25</v>
    <v>131.11000000000001</v>
    <v>128.565</v>
    <v>130.54</v>
    <v>132.31</v>
    <v>130.86000000000001</v>
    <v>134.16999999999999</v>
    <v>132.43</v>
    <v>135.24</v>
    <v>135.07</v>
    <v>137.58000000000001</v>
    <v>138.41999999999999</v>
    <v>138.06</v>
    <v>140.55000000000001</v>
    <v>138.97</v>
    <v>137.36000000000001</v>
    <v>139.095</v>
    <v>139.72</v>
    <v>137.96</v>
    <v>137.75</v>
    <v>135.6</v>
    <v>136.5</v>
    <v>138.81</v>
    <v>125.61</v>
    <v>122.28</v>
    <v>122.17</v>
    <v>124.46</v>
    <v>124.08</v>
    <v>126.45</v>
    <v>127.49</v>
    <v>129.1</v>
    <v>130.25</v>
    <v>130.97</v>
    <v>131.84</v>
    <v>130.24</v>
    <v>132.59</v>
    <v>132.09</v>
    <v>133.62</v>
    <v>134.62</v>
    <v>136.93</v>
    <v>135.31</v>
    <v>136.25</v>
    <v>136.97</v>
    <v>138.49</v>
    <v>136.69</v>
    <v>136.41</v>
    <v>137.19999999999999</v>
    <v>134.99</v>
    <v>132.53</v>
    <v>131.86000000000001</v>
    <v>129.27000000000001</v>
    <v>130.99</v>
    <v>130.02000000000001</v>
    <v>136.93</v>
    <v>134.99</v>
    <v>133.29</v>
    <v>132.52000000000001</v>
    <v>132.57</v>
    <v>131.94</v>
    <v>132.6</v>
    <v>135.80000000000001</v>
    <v>136.65</v>
    <v>138.34</v>
    <v>140.41999999999999</v>
    <v>141.49</v>
    <v>141.52000000000001</v>
    <v>140.37</v>
    <v>140.22999999999999</v>
    <v>139.69</v>
    <v>138.16999999999999</v>
    <v>138.91999999999999</v>
    <v>136.38999999999999</v>
    <v>135.72999999999999</v>
    <v>138.84</v>
    <v>140.94999999999999</v>
    <v>142.28</v>
    <v>142.08000000000001</v>
    <v>142.65</v>
    <v>142.49</v>
    <v>141.47</v>
    <v>143.47999999999999</v>
    <v>146.38</v>
    <v>145.99</v>
    <v>147.04</v>
    <v>148.69999999999999</v>
    <v>151.87</v>
    <v>152.185</v>
    <v>153.51</v>
    <v>151.46</v>
    <v>140.1</v>
    <v>141.16</v>
    <v>142.38</v>
    <v>143.68</v>
    <v>144.1</v>
    <v>145.54</v>
    <v>145.91</v>
    <v>149</v>
    <v>147.53</v>
    <v>145.13999999999999</v>
    <v>145.94</v>
    <v>142.77000000000001</v>
    <v>140.52000000000001</v>
    <v>141.12</v>
    <v>142.55000000000001</v>
    <v>144.09</v>
    <v>143.96</v>
    <v>137.57</v>
    <v>138.88</v>
    <v>136.38</v>
    <v>138.46</v>
    <v>137.13999999999999</v>
    <v>133.35</v>
    <v>132.66999999999999</v>
    <v>131.4</v>
    <v>134.38</v>
    <v>135.41</v>
    <v>137.66999999999999</v>
    <v>138.5</v>
    <v>139.79</v>
    <v>143.1</v>
    <v>141.18</v>
    <v>147.68</v>
    <v>147.03</v>
    <v>148.74</v>
    <v>147.6</v>
    <v>150.77000000000001</v>
    <v>150.07</v>
    <v>150.66999999999999</v>
    <v>150.87</v>
    <v>150.93</v>
    <v>155.49</v>
    <v>154.56</v>
    <v>154.91999999999999</v>
    <v>150.53</v>
    <v>152.5</v>
    <v>154.85</v>
    <v>156.6</v>
    <v>156.13999999999999</v>
    <v>159.41</v>
    <v>157.72999999999999</v>
    <v>154.86000000000001</v>
    <v>154.4</v>
    <v>155.47</v>
    <v>156.01</v>
    <v>154.09</v>
    <v>156.28</v>
    <v>158.26</v>
    <v>159.13</v>
    <v>156</v>
    <v>171.95</v>
    <v>166.15</v>
    <v>162.78</v>
    <v>163.86</v>
    <v>166.62</v>
    <v>167.24</v>
    <v>168.1</v>
    <v>171.25</v>
    <v>169.38</v>
    <v>169.96</v>
    <v>168.65</v>
    <v>169.14</v>
    <v>170.34</v>
    <v>172.51</v>
    <v>174.18</v>
    <v>176.06</v>
    <v>176.92</v>
    <v>177.85</v>
    <v>176.38</v>
    <v>173.55</v>
    <v>174.99</v>
    <v>176.4</v>
    <v>175.9</v>
    <v>172.11</v>
    <v>172.5</v>
    <v>173.17</v>
    <v>173.79</v>
    <v>175.41</v>
    <v>176.73</v>
    <v>174.46</v>
    <v>175.01</v>
    <v>176.62</v>
    <v>177.79</v>
    <v>175.16</v>
    <v>176.79</v>
    <v>177.24</v>
    <v>175.09</v>
    <v>176.3</v>
    <v>179.63</v>
    <v>179.22</v>
    <v>184.03</v>
    <v>183.88</v>
    <v>185.41</v>
    <v>182.15</v>
    <v>182.99</v>
    <v>185.24</v>
    <v>185.82</v>
    <v>190.6</v>
    <v>189.03</v>
    <v>188.98</v>
    <v>191.18</v>
    <v>185.57</v>
    <v>185.07</v>
    <v>186.53</v>
    <v>183.92</v>
    <v>181.02</v>
    <v>177.69</v>
    <v>177.66</v>
    <v>181.67</v>
    <v>181.79</v>
    <v>172.63</v>
    <v>167.28</v>
    <v>167</v>
    <v>169.53</v>
    <v>170.29</v>
    <v>171.54</v>
    <v>170.76</v>
    <v>166.66</v>
    <v>159.25</v>
    <v>158.29</v>
    <v>158.94</v>
    <v>162.03</v>
    <v>163.66999999999999</v>
    <v>162.29</v>
    <v>164.16</v>
    <v>160.37</v>
    <v>161.30000000000001</v>
    <v>162.96</v>
    <v>166.67</v>
    <v>167.18</v>
    <v>165.85</v>
    <v>163.80000000000001</v>
    <v>165.62</v>
    <v>166.16</v>
    <v>164.68</v>
    <v>162.85</v>
    <v>161.78</v>
    <v>163.38</v>
    <v>157.36000000000001</v>
    <v>156.44999999999999</v>
    <v>157.24</v>
    <v>150.91999999999999</v>
    <v>148.71</v>
    <v>148.66</v>
    <v>151.16</v>
    <v>154.69</v>
    <v>157.46</v>
    <v>158.06</v>
    <v>159.32</v>
    <v>159.81</v>
    <v>162.13999999999999</v>
    <v>163.59</v>
    <v>161.85</v>
    <v>162.29</v>
    <v>161.49</v>
    <v>162.72999999999999</v>
    <v>163.95</v>
    <v>165.85</v>
    <v>166.99</v>
    <v>165.86</v>
    <v>165.86</v>
    <v>167.06</v>
    <v>162.97999999999999</v>
    <v>164.38</v>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a>
  <a r="1" c="502">
    <v>239.58</v>
    <v>229.1</v>
    <v>222.31</v>
    <v>224.93</v>
    <v>227.12</v>
    <v>228.85</v>
    <v>235.77</v>
    <v>238.51</v>
    <v>239.23</v>
    <v>240.35</v>
    <v>235.81</v>
    <v>231.93</v>
    <v>240.22</v>
    <v>242.58</v>
    <v>242.04</v>
    <v>240.61</v>
    <v>248</v>
    <v>248.16</v>
    <v>242.71</v>
    <v>247.81</v>
    <v>252.75</v>
    <v>264.60000000000002</v>
    <v>258.35000000000002</v>
    <v>256.77</v>
    <v>267.56</v>
    <v>266.73</v>
    <v>263.62</v>
    <v>263.10000000000002</v>
    <v>271.32</v>
    <v>272.17</v>
    <v>269.32</v>
    <v>262.14999999999998</v>
    <v>258.06</v>
    <v>252.67</v>
    <v>251.51</v>
    <v>254.77</v>
    <v>249.22</v>
    <v>250.16</v>
    <v>249.42</v>
    <v>246.27</v>
    <v>251.11</v>
    <v>255.29</v>
    <v>256.87</v>
    <v>254.15</v>
    <v>253.7</v>
    <v>252.32</v>
    <v>248.59</v>
    <v>253.92</v>
    <v>260.79000000000002</v>
    <v>265.44</v>
    <v>276.2</v>
    <v>279.43</v>
    <v>272.23</v>
    <v>273.77999999999997</v>
    <v>272.29000000000002</v>
    <v>277.66000000000003</v>
    <v>280.57</v>
    <v>276.38</v>
    <v>275.23</v>
    <v>280.51</v>
    <v>284.05</v>
    <v>288.3</v>
    <v>287.23</v>
    <v>287.18</v>
    <v>284.33999999999997</v>
    <v>291.60000000000002</v>
    <v>289.39</v>
    <v>282.83</v>
    <v>283.49</v>
    <v>289.83999999999997</v>
    <v>286.14</v>
    <v>288.8</v>
    <v>288.37</v>
    <v>288.45</v>
    <v>286.11</v>
    <v>285.76</v>
    <v>281.77</v>
    <v>275.42</v>
    <v>295.37</v>
    <v>304.83</v>
    <v>307.26</v>
    <v>305.56</v>
    <v>305.41000000000003</v>
    <v>304.39999999999998</v>
    <v>305.41000000000003</v>
    <v>310.64999999999998</v>
    <v>308.64999999999998</v>
    <v>307</v>
    <v>312.31</v>
    <v>310.11</v>
    <v>308.97000000000003</v>
    <v>309.45999999999998</v>
    <v>311.74</v>
    <v>314</v>
    <v>318.52</v>
    <v>318.33999999999997</v>
    <v>321.18</v>
    <v>315.26</v>
    <v>313.85000000000002</v>
    <v>325.92</v>
    <v>332.89</v>
    <v>331.21</v>
    <v>328.39</v>
    <v>332.58</v>
    <v>335.4</v>
    <v>335.94</v>
    <v>333.68</v>
    <v>323.38</v>
    <v>325.26</v>
    <v>326.79000000000002</v>
    <v>331.85</v>
    <v>334.29</v>
    <v>337.34</v>
    <v>348.1</v>
    <v>342.33</v>
    <v>338.05</v>
    <v>333.56</v>
    <v>339.71</v>
    <v>335.02</v>
    <v>328.6</v>
    <v>334.57</v>
    <v>335.85</v>
    <v>335.05</v>
    <v>340.54</v>
    <v>337.99</v>
    <v>338.15</v>
    <v>341.27</v>
    <v>337.22</v>
    <v>331.83</v>
    <v>332.47</v>
    <v>337.2</v>
    <v>342.66</v>
    <v>345.24</v>
    <v>345.73</v>
    <v>359.49</v>
    <v>355.08</v>
    <v>346.87</v>
    <v>343.77</v>
    <v>345.11</v>
    <v>350.98</v>
    <v>337.77</v>
    <v>330.72</v>
    <v>338.37</v>
    <v>335.92</v>
    <v>336.34</v>
    <v>327.5</v>
    <v>326.66000000000003</v>
    <v>327.78</v>
    <v>330.11</v>
    <v>326.05</v>
    <v>322.23</v>
    <v>322.93</v>
    <v>321.01</v>
    <v>324.04000000000002</v>
    <v>321.86</v>
    <v>320.39999999999998</v>
    <v>316.88</v>
    <v>316.48</v>
    <v>321.88</v>
    <v>322.45999999999998</v>
    <v>327</v>
    <v>319.97000000000003</v>
    <v>322.98</v>
    <v>323.7</v>
    <v>328.41</v>
    <v>328.79</v>
    <v>327.76</v>
    <v>328.66</v>
    <v>333.55</v>
    <v>332.88</v>
    <v>329.91</v>
    <v>334.27</v>
    <v>337.94</v>
    <v>331.77</v>
    <v>336.06</v>
    <v>338.7</v>
    <v>330.22</v>
    <v>329.06</v>
    <v>328.65</v>
    <v>320.77</v>
    <v>319.52999999999997</v>
    <v>317.01</v>
    <v>317.54000000000002</v>
    <v>312.14</v>
    <v>312.79000000000002</v>
    <v>313.64</v>
    <v>315.75</v>
    <v>321.8</v>
    <v>313.39</v>
    <v>318.95499999999998</v>
    <v>319.36</v>
    <v>327.26</v>
    <v>329.82</v>
    <v>328.39</v>
    <v>332.42</v>
    <v>331.16</v>
    <v>327.73</v>
    <v>332.64</v>
    <v>332.06</v>
    <v>330.11</v>
    <v>331.32</v>
    <v>326.67</v>
    <v>329.32</v>
    <v>330.53</v>
    <v>340.67</v>
    <v>327.89</v>
    <v>329.81</v>
    <v>337.31</v>
    <v>338.11</v>
    <v>346.07</v>
    <v>348.32</v>
    <v>352.8</v>
    <v>356.53</v>
    <v>360.53</v>
    <v>363.2</v>
    <v>360.69</v>
    <v>369.67</v>
    <v>366.68</v>
    <v>370.27</v>
    <v>369.67</v>
    <v>376.17</v>
    <v>369.85</v>
    <v>377.44</v>
    <v>373.07</v>
    <v>377.85</v>
    <v>377.43</v>
    <v>378.61</v>
    <v>382.7</v>
    <v>378.85</v>
    <v>378.91</v>
    <v>374.51</v>
    <v>369.14</v>
    <v>372.52</v>
    <v>368.8</v>
    <v>370.95</v>
    <v>374.23</v>
    <v>371.3</v>
    <v>374.38</v>
    <v>374.37</v>
    <v>365.93</v>
    <v>370.73</v>
    <v>372.65</v>
    <v>373.26</v>
    <v>370.62</v>
    <v>373.54</v>
    <v>374.58</v>
    <v>374.66</v>
    <v>374.07</v>
    <v>375.28</v>
    <v>376.04</v>
    <v>370.87</v>
    <v>370.6</v>
    <v>367.94</v>
    <v>367.75</v>
    <v>374.69</v>
    <v>375.79</v>
    <v>382.77</v>
    <v>384.63</v>
    <v>388.47</v>
    <v>390.27</v>
    <v>389.47</v>
    <v>393.87</v>
    <v>398.67</v>
    <v>396.51</v>
    <v>398.9</v>
    <v>402.56</v>
    <v>404.87</v>
    <v>403.93</v>
    <v>409.72</v>
    <v>408.59</v>
    <v>397.58</v>
    <v>403.78</v>
    <v>411.22</v>
    <v>405.65</v>
    <v>405.49</v>
    <v>414.05</v>
    <v>414.11</v>
    <v>420.55</v>
    <v>415.26</v>
    <v>406.32</v>
    <v>409.49</v>
    <v>406.56</v>
    <v>404.06</v>
    <v>402.79</v>
    <v>402.18</v>
    <v>411.65</v>
    <v>410.34</v>
    <v>407.54</v>
    <v>407.48</v>
    <v>407.72</v>
    <v>413.64</v>
    <v>415.5</v>
    <v>414.92</v>
    <v>402.65</v>
    <v>402.09</v>
    <v>409.14</v>
    <v>406.22</v>
    <v>404.52</v>
    <v>415.28</v>
    <v>415.1</v>
    <v>425.22</v>
    <v>416.42</v>
    <v>417.32</v>
    <v>421.41</v>
    <v>425.23</v>
    <v>429.37</v>
    <v>428.74</v>
    <v>422.86</v>
    <v>421.65</v>
    <v>421.43</v>
    <v>420.72</v>
    <v>424.57</v>
    <v>421.44</v>
    <v>420.45</v>
    <v>417.88</v>
    <v>425.52</v>
    <v>424.59</v>
    <v>426.28</v>
    <v>423.26</v>
    <v>427.93</v>
    <v>421.9</v>
    <v>413.64</v>
    <v>414.58</v>
    <v>411.84</v>
    <v>404.27</v>
    <v>399.12</v>
    <v>400.96</v>
    <v>407.57</v>
    <v>409.06</v>
    <v>399.04</v>
    <v>406.32</v>
    <v>402.25</v>
    <v>389.33</v>
    <v>394.94</v>
    <v>397.84</v>
    <v>406.66</v>
    <v>413.54</v>
    <v>409.34</v>
    <v>410.54</v>
    <v>412.32</v>
    <v>414.74</v>
    <v>413.72</v>
    <v>416.56</v>
    <v>423.08</v>
    <v>420.99</v>
    <v>420.21</v>
    <v>425.34</v>
    <v>429.04</v>
    <v>430.52</v>
    <v>427</v>
    <v>430.16</v>
    <v>430.32</v>
    <v>429.17</v>
    <v>414.67</v>
    <v>415.13</v>
    <v>413.52</v>
    <v>416.07</v>
    <v>424.01</v>
    <v>424.52</v>
    <v>423.85</v>
    <v>427.87</v>
    <v>432.68</v>
    <v>441.06</v>
    <v>441.58</v>
    <v>442.57</v>
    <v>448.37</v>
    <v>446.34</v>
    <v>445.7</v>
    <v>449.78</v>
    <v>447.67</v>
    <v>450.95</v>
    <v>452.16</v>
    <v>452.85</v>
    <v>446.95</v>
    <v>456.73</v>
    <v>459.28</v>
    <v>460.77</v>
    <v>467.56</v>
    <v>466.24</v>
    <v>459.54</v>
    <v>466.25</v>
    <v>454.7</v>
    <v>453.55</v>
    <v>453.96</v>
    <v>449.52</v>
    <v>443.52</v>
    <v>440.37</v>
    <v>437.11</v>
    <v>442.94</v>
    <v>444.85</v>
    <v>428.9</v>
    <v>418.4</v>
    <v>425.27</v>
    <v>426.73</v>
    <v>422.92</v>
    <v>418.35</v>
    <v>417.11</v>
    <v>408.49</v>
    <v>395.15</v>
    <v>399.61</v>
    <v>398.43</v>
    <v>402.69</v>
    <v>406.02</v>
    <v>406.81</v>
    <v>414.01</v>
    <v>416.86</v>
    <v>421.03</v>
    <v>418.47</v>
    <v>421.53</v>
    <v>424.8</v>
    <v>424.14</v>
    <v>415.55</v>
    <v>416.79</v>
    <v>413.49</v>
    <v>413.84</v>
    <v>410.6</v>
    <v>413.12</v>
    <v>417.14</v>
    <v>409.44</v>
    <v>408.9</v>
    <v>408.39</v>
    <v>401.7</v>
    <v>405.72</v>
    <v>414.2</v>
    <v>423.04</v>
    <v>427</v>
    <v>430.59</v>
    <v>431.34</v>
    <v>435.15</v>
    <v>430.81</v>
    <v>438.69</v>
    <v>435.27</v>
    <v>433.51</v>
    <v>429.17</v>
    <v>432.11</v>
    <v>431.31</v>
    <v>428.02</v>
    <v>430.3</v>
    <v>420.69</v>
    <v>417.13</v>
    <v>416.54</v>
    <v>416.06</v>
    <v>409.54</v>
    <v>414.71</v>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a>
  <a r="1" c="502">
    <v>477.53</v>
    <v>476.5</v>
    <v>477.07</v>
    <v>473.24</v>
    <v>458.99</v>
    <v>462.29</v>
    <v>463</v>
    <v>461.74</v>
    <v>449.83</v>
    <v>447.16</v>
    <v>441.27</v>
    <v>439.31</v>
    <v>443.28</v>
    <v>441.28</v>
    <v>449.23</v>
    <v>454.16</v>
    <v>459.81</v>
    <v>459.6</v>
    <v>460.59</v>
    <v>463.26</v>
    <v>462.25</v>
    <v>457.19</v>
    <v>459.08</v>
    <v>469.1</v>
    <v>468.33</v>
    <v>469.65</v>
    <v>470.09</v>
    <v>480.83</v>
    <v>481.97</v>
    <v>481.58</v>
    <v>480.51</v>
    <v>471.25</v>
    <v>475.63</v>
    <v>479.19</v>
    <v>479.53</v>
    <v>479.08</v>
    <v>480.4</v>
    <v>479.49</v>
    <v>474.26</v>
    <v>474.33</v>
    <v>478.31</v>
    <v>477.89</v>
    <v>480.17</v>
    <v>478.66</v>
    <v>479.5</v>
    <v>475.85</v>
    <v>475.5</v>
    <v>477.33</v>
    <v>478.87</v>
    <v>473.31</v>
    <v>473.24</v>
    <v>465.87</v>
    <v>475.7</v>
    <v>474.76</v>
    <v>468.9</v>
    <v>467.9</v>
    <v>474.54</v>
    <v>473.39</v>
    <v>471.44</v>
    <v>474.19</v>
    <v>473.18</v>
    <v>472.73</v>
    <v>486.62</v>
    <v>488.54</v>
    <v>489.99</v>
    <v>490.17</v>
    <v>496.75</v>
    <v>487.84</v>
    <v>488.1</v>
    <v>492.14</v>
    <v>487.99</v>
    <v>489.64</v>
    <v>501.41</v>
    <v>495.16</v>
    <v>490.6</v>
    <v>482.55</v>
    <v>480.92</v>
    <v>475.58</v>
    <v>461.62</v>
    <v>465</v>
    <v>464.45</v>
    <v>469.43</v>
    <v>458.89</v>
    <v>453.07</v>
    <v>451.93</v>
    <v>455.54</v>
    <v>450.96</v>
    <v>452.04</v>
    <v>453.15</v>
    <v>450.69</v>
    <v>450.79</v>
    <v>451.92</v>
    <v>447.73</v>
    <v>457.3</v>
    <v>455.75</v>
    <v>454.49</v>
    <v>454.72</v>
    <v>452.63</v>
    <v>452.72</v>
    <v>442.83</v>
    <v>448.45</v>
    <v>447.97</v>
    <v>444.01</v>
    <v>449.67</v>
    <v>454.49</v>
    <v>454.69</v>
    <v>458.63</v>
    <v>461.75</v>
    <v>464.17</v>
    <v>462.69</v>
    <v>459.87</v>
    <v>452.37</v>
    <v>452.55</v>
    <v>455.95</v>
    <v>459.17</v>
    <v>458.38</v>
    <v>466.04</v>
    <v>463.43</v>
    <v>459.36</v>
    <v>452.8</v>
    <v>453.15</v>
    <v>449.66</v>
    <v>457.44</v>
    <v>460.38</v>
    <v>462.58</v>
    <v>462.76</v>
    <v>461.64</v>
    <v>458.71</v>
    <v>460.38</v>
    <v>466.29</v>
    <v>461.96</v>
    <v>466.38</v>
    <v>464.31</v>
    <v>469.97</v>
    <v>455.7</v>
    <v>451.51</v>
    <v>456.01</v>
    <v>454.76</v>
    <v>456.8</v>
    <v>454.15</v>
    <v>452.81</v>
    <v>448.64</v>
    <v>449</v>
    <v>446.37</v>
    <v>451.28</v>
    <v>448.56</v>
    <v>447.92</v>
    <v>445.72</v>
    <v>449.78</v>
    <v>449.47</v>
    <v>452.81</v>
    <v>450.05</v>
    <v>454.05</v>
    <v>450.08</v>
    <v>443.58</v>
    <v>445.13</v>
    <v>446.68</v>
    <v>450.06</v>
    <v>451.49</v>
    <v>452.94</v>
    <v>454.57</v>
    <v>452.55</v>
    <v>451.09</v>
    <v>452.32</v>
    <v>448.4</v>
    <v>452.41</v>
    <v>448.35</v>
    <v>448.18</v>
    <v>445.19</v>
    <v>423.94</v>
    <v>425.94</v>
    <v>423.09</v>
    <v>420.66</v>
    <v>417.83</v>
    <v>420.99</v>
    <v>425.89</v>
    <v>424.05</v>
    <v>429.86</v>
    <v>425.31</v>
    <v>426.95</v>
    <v>417.54</v>
    <v>413.65</v>
    <v>412.9</v>
    <v>408.75</v>
    <v>408.72</v>
    <v>410.96</v>
    <v>408.96</v>
    <v>407.82</v>
    <v>403.83</v>
    <v>401.33</v>
    <v>397.35</v>
    <v>400.73</v>
    <v>436.53</v>
    <v>435.1</v>
    <v>436.65</v>
    <v>434.14</v>
    <v>441.06</v>
    <v>440.41</v>
    <v>441.13</v>
    <v>446.07</v>
    <v>449.18</v>
    <v>444.17</v>
    <v>446.16</v>
    <v>440.9</v>
    <v>447.69</v>
    <v>445.97</v>
    <v>443.39</v>
    <v>445.84</v>
    <v>454.64</v>
    <v>452.38</v>
    <v>458.04</v>
    <v>453.34</v>
    <v>451.16</v>
    <v>450.15</v>
    <v>444.66</v>
    <v>442.46</v>
    <v>444.87</v>
    <v>445.03</v>
    <v>444.22</v>
    <v>445.14</v>
    <v>445.59</v>
    <v>444.68</v>
    <v>443.81</v>
    <v>448.15</v>
    <v>450.4</v>
    <v>452.01</v>
    <v>445.49</v>
    <v>448.27</v>
    <v>445.01</v>
    <v>447.77</v>
    <v>449.41</v>
    <v>450.69</v>
    <v>446.24</v>
    <v>449.41</v>
    <v>447.11</v>
    <v>448.02</v>
    <v>451.26</v>
    <v>451.63</v>
    <v>451.44</v>
    <v>445.27</v>
    <v>441.81</v>
    <v>446.91</v>
    <v>447.79</v>
    <v>442.6</v>
    <v>448.02</v>
    <v>448.22</v>
    <v>450.18</v>
    <v>448.97</v>
    <v>451.23</v>
    <v>453.24</v>
    <v>456.12</v>
    <v>459.12</v>
    <v>457.87</v>
    <v>456.5</v>
    <v>458.6</v>
    <v>456.29</v>
    <v>455.4</v>
    <v>453.13</v>
    <v>463.18</v>
    <v>457.84</v>
    <v>456.47</v>
    <v>459.57</v>
    <v>457.76</v>
    <v>458.76</v>
    <v>439.67</v>
    <v>431.65</v>
    <v>431.04</v>
    <v>429.91</v>
    <v>428.01</v>
    <v>431.68</v>
    <v>429.41</v>
    <v>429.77</v>
    <v>425.97</v>
    <v>421.7</v>
    <v>426.95</v>
    <v>430.1</v>
    <v>427</v>
    <v>426.5</v>
    <v>428.07</v>
    <v>426.52</v>
    <v>418.19</v>
    <v>423.12</v>
    <v>424.07</v>
    <v>424.27</v>
    <v>427.55</v>
    <v>428.89</v>
    <v>431.12</v>
    <v>429.18</v>
    <v>430.43</v>
    <v>432.48</v>
    <v>428.24</v>
    <v>426.46</v>
    <v>431.94</v>
    <v>431.98</v>
    <v>433.48</v>
    <v>429.99</v>
    <v>432.9</v>
    <v>434.75</v>
    <v>434.91</v>
    <v>434.6</v>
    <v>435.77</v>
    <v>435.82</v>
    <v>433.2</v>
    <v>437.19</v>
    <v>440.41</v>
    <v>443.16</v>
    <v>445.88</v>
    <v>446.31</v>
    <v>445.99</v>
    <v>456.78</v>
    <v>454.87</v>
    <v>452.79</v>
    <v>453.24</v>
    <v>447.9</v>
    <v>454.04</v>
    <v>455.38</v>
    <v>452.38</v>
    <v>447.57</v>
    <v>451.71</v>
    <v>452.32</v>
    <v>450.4</v>
    <v>453.08</v>
    <v>454.31</v>
    <v>456.05</v>
    <v>456.09</v>
    <v>463.87</v>
    <v>461.33</v>
    <v>460.08</v>
    <v>459.14</v>
    <v>464.78</v>
    <v>461.29</v>
    <v>467.55</v>
    <v>464.93</v>
    <v>461.73</v>
    <v>463.2</v>
    <v>461.91</v>
    <v>462.78</v>
    <v>466.68</v>
    <v>466.16</v>
    <v>468.39</v>
    <v>468.88</v>
    <v>470.56</v>
    <v>467.18</v>
    <v>464.08</v>
    <v>464.83</v>
    <v>466.2</v>
    <v>467.08</v>
    <v>468.31</v>
    <v>469.71</v>
    <v>467.08</v>
    <v>467.35</v>
    <v>458.48</v>
    <v>452.72</v>
    <v>460.94</v>
    <v>470.34</v>
    <v>467.6</v>
    <v>468.89</v>
    <v>465.23</v>
    <v>468.62</v>
    <v>470.13</v>
    <v>467.46</v>
    <v>462.8</v>
    <v>459.11</v>
    <v>458.56</v>
    <v>458.34</v>
    <v>459.01</v>
    <v>460</v>
    <v>466.34</v>
    <v>467.6</v>
    <v>471.51</v>
    <v>468.07</v>
    <v>466.99</v>
    <v>467.13</v>
    <v>467.1</v>
    <v>466.44</v>
    <v>465.7</v>
    <v>466.03</v>
    <v>462.16</v>
    <v>461.76</v>
    <v>460.3</v>
    <v>461.01</v>
    <v>460.38</v>
    <v>463.73</v>
    <v>463.88</v>
    <v>468.58</v>
    <v>476.07</v>
    <v>476</v>
    <v>474.92</v>
    <v>474.59</v>
    <v>501.29</v>
    <v>515.20000000000005</v>
    <v>521.4</v>
    <v>524.79999999999995</v>
    <v>527.64</v>
    <v>537.66</v>
    <v>541.91999999999996</v>
    <v>548.86</v>
    <v>548.77</v>
    <v>545.38</v>
    <v>541.55999999999995</v>
    <v>548.51</v>
    <v>551.62</v>
    <v>551.58000000000004</v>
    <v>556.91</v>
    <v>559.41999999999996</v>
    <v>563.22</v>
    <v>560.29</v>
    <v>560.13</v>
    <v>558.39</v>
    <v>557.01</v>
    <v>553.76</v>
    <v>557.03</v>
    <v>555.01</v>
    <v>558.1</v>
    <v>560.41</v>
    <v>563.98</v>
    <v>566.85</v>
    <v>568.1</v>
    <v>567.22</v>
    <v>574.78</v>
    <v>568.59</v>
    <v>566.63</v>
    <v>576.57000000000005</v>
    <v>572.19000000000005</v>
    <v>566.96</v>
    <v>568.27</v>
    <v>569.91</v>
    <v>572.91999999999996</v>
    <v>567.01</v>
    <v>565.49</v>
    <v>565.17999999999995</v>
    <v>571.91999999999996</v>
    <v>580.51</v>
    <v>578.63</v>
    <v>577.94000000000005</v>
    <v>577.4</v>
    <v>582.36</v>
    <v>584.55999999999995</v>
    <v>605.86</v>
    <v>603.20000000000005</v>
    <v>605.82000000000005</v>
    <v>605.13</v>
    <v>605.54</v>
    <v>608.04999999999995</v>
    <v>605.11</v>
    <v>597.49</v>
    <v>604.16999999999996</v>
    <v>610.87</v>
    <v>605</v>
    <v>612.83000000000004</v>
    <v>609.62</v>
    <v>611.80999999999995</v>
    <v>614.61</v>
    <v>576.98</v>
    <v>571.1</v>
    <v>564.21</v>
    <v>562.29</v>
    <v>555.16999999999996</v>
    <v>546.79999999999995</v>
    <v>545.94000000000005</v>
    <v>546.04999999999995</v>
    <v>545.35</v>
    <v>543.1</v>
    <v>546.75</v>
    <v>551.82000000000005</v>
    <v>551.84</v>
    <v>564.55999999999995</v>
    <v>570.58000000000004</v>
    <v>565.96</v>
    <v>557.73</v>
    <v>538.99</v>
    <v>534.83000000000004</v>
    <v>530.96</v>
    <v>533.26</v>
    <v>534.73</v>
    <v>542.01</v>
    <v>542.22</v>
    <v>521.89</v>
    <v>521.45000000000005</v>
    <v>525.75</v>
    <v>529.41</v>
    <v>520.34</v>
    <v>517</v>
    <v>517.5</v>
    <v>517.48</v>
    <v>513.03</v>
    <v>510.01</v>
    <v>512.94000000000005</v>
    <v>504.24</v>
    <v>496.58</v>
    <v>494.65</v>
    <v>491.65</v>
    <v>490.61</v>
    <v>482.94</v>
    <v>479.66</v>
    <v>489.02</v>
    <v>486.49</v>
    <v>488.13</v>
    <v>489.98</v>
    <v>488.97</v>
    <v>483.37</v>
    <v>485.94</v>
  </a>
  <a r="1" c="502">
    <v>140.61000000000001</v>
    <v>138.55000000000001</v>
    <v>135.57</v>
    <v>139.12</v>
    <v>138.63999999999999</v>
    <v>139.51</v>
    <v>140.69</v>
    <v>147.81</v>
    <v>148.5</v>
    <v>148.27000000000001</v>
    <v>144.30000000000001</v>
    <v>143.49</v>
    <v>146.24</v>
    <v>149.55000000000001</v>
    <v>151.51</v>
    <v>148.88999999999999</v>
    <v>150.06</v>
    <v>150</v>
    <v>149.1</v>
    <v>152.19</v>
    <v>152.87</v>
    <v>151.68</v>
    <v>152.43</v>
    <v>152.72</v>
    <v>153.57</v>
    <v>152.36000000000001</v>
    <v>152.46</v>
    <v>151.34</v>
    <v>154.29</v>
    <v>154.19999999999999</v>
    <v>156</v>
    <v>155.32</v>
    <v>154.9</v>
    <v>148.69999999999999</v>
    <v>148.4</v>
    <v>159.62</v>
    <v>160.63999999999999</v>
    <v>162.9</v>
    <v>161.4</v>
    <v>159.65</v>
    <v>160.05000000000001</v>
    <v>163.12</v>
    <v>163.37</v>
    <v>162.97</v>
    <v>162.43</v>
    <v>160.55000000000001</v>
    <v>157.35</v>
    <v>155.87</v>
    <v>159.74</v>
    <v>155.34</v>
    <v>157.21</v>
    <v>155.1</v>
    <v>157.29</v>
    <v>161.62</v>
    <v>158.56</v>
    <v>158.97</v>
    <v>160.78</v>
    <v>162.44999999999999</v>
    <v>163.28</v>
    <v>165.46</v>
    <v>166.52</v>
    <v>166.64</v>
    <v>165.79</v>
    <v>162.65</v>
    <v>159.91</v>
    <v>159.13</v>
    <v>161.54</v>
    <v>163.72999999999999</v>
    <v>165</v>
    <v>165.04</v>
    <v>166.02</v>
    <v>166.85</v>
    <v>167.79</v>
    <v>166.01</v>
    <v>167.29</v>
    <v>165.8</v>
    <v>168.27</v>
    <v>167.22</v>
    <v>164.07</v>
    <v>168.97</v>
    <v>169.64</v>
    <v>169.21</v>
    <v>168.12</v>
    <v>168.22</v>
    <v>165.35</v>
    <v>171.07</v>
    <v>168.88</v>
    <v>171</v>
    <v>171.43</v>
    <v>171.59</v>
    <v>173.85</v>
    <v>174.81</v>
    <v>169.69</v>
    <v>169.76</v>
    <v>171.89</v>
    <v>171.71</v>
    <v>170.99</v>
    <v>166.61</v>
    <v>166.56</v>
    <v>172.85</v>
    <v>174</v>
    <v>181.17</v>
    <v>177.58</v>
    <v>176.05</v>
    <v>180.08</v>
    <v>179.23</v>
    <v>181.62</v>
    <v>183.93</v>
    <v>183.37</v>
    <v>182.83</v>
    <v>185.38</v>
    <v>185</v>
    <v>185.09</v>
    <v>185.8</v>
    <v>185.95</v>
    <v>185.75</v>
    <v>190.94</v>
    <v>189.31</v>
    <v>186.61</v>
    <v>190.51</v>
    <v>194.66</v>
    <v>193.72</v>
    <v>194.85</v>
    <v>196.45</v>
    <v>195.71</v>
    <v>195.15</v>
    <v>192.53</v>
    <v>193.6</v>
    <v>199.79</v>
    <v>199.95</v>
    <v>198.43</v>
    <v>198.27</v>
    <v>196.13</v>
    <v>199.31</v>
    <v>199.61</v>
    <v>199.95</v>
    <v>199.98</v>
    <v>201.49</v>
    <v>203.81</v>
    <v>205.4</v>
    <v>202.65</v>
    <v>201.63</v>
    <v>200.48</v>
    <v>201.62</v>
    <v>201.89</v>
    <v>202.32</v>
    <v>203.34</v>
    <v>200.28</v>
    <v>202.12</v>
    <v>202.7</v>
    <v>203.44</v>
    <v>200.43</v>
    <v>200.17</v>
    <v>203.54</v>
    <v>203.2</v>
    <v>200.77</v>
    <v>200.41</v>
    <v>203.07</v>
    <v>203.57</v>
    <v>206.63</v>
    <v>208.25</v>
    <v>201.56</v>
    <v>205.27</v>
    <v>207.68</v>
    <v>208.6</v>
    <v>209.64</v>
    <v>209.87</v>
    <v>212.36</v>
    <v>208.81</v>
    <v>209.09</v>
    <v>208.7</v>
    <v>206.5</v>
    <v>205.04</v>
    <v>204.49</v>
    <v>200.33</v>
    <v>202.79</v>
    <v>199.24</v>
    <v>197.7</v>
    <v>196.13</v>
    <v>195.25</v>
    <v>186.47</v>
    <v>188.45</v>
    <v>187.58</v>
    <v>184.85</v>
    <v>190.12</v>
    <v>188.92</v>
    <v>187.07</v>
    <v>176.64</v>
    <v>169.37</v>
    <v>171.75</v>
    <v>168.23</v>
    <v>172.71</v>
    <v>173.89</v>
    <v>177.63</v>
    <v>179.32</v>
    <v>177.91</v>
    <v>173.53</v>
    <v>176.38</v>
    <v>179.4</v>
    <v>172.04</v>
    <v>168.74</v>
    <v>164.7</v>
    <v>165.47</v>
    <v>167.25</v>
    <v>168.23</v>
    <v>167.25</v>
    <v>164.87</v>
    <v>164.76</v>
    <v>167.12</v>
    <v>159.62</v>
    <v>175.08</v>
    <v>169.18</v>
    <v>168.46</v>
    <v>165.08</v>
    <v>169.76</v>
    <v>169.57</v>
    <v>174.07</v>
    <v>176.24</v>
    <v>182.85</v>
    <v>183.72</v>
    <v>183.3</v>
    <v>183.11</v>
    <v>184.13</v>
    <v>183.36</v>
    <v>183.81</v>
    <v>182.58</v>
    <v>185.71</v>
    <v>181.34</v>
    <v>185.61</v>
    <v>188.31</v>
    <v>190.55</v>
    <v>189.64</v>
    <v>189.43</v>
    <v>191.85</v>
    <v>194.38</v>
    <v>199.25</v>
    <v>201.76</v>
    <v>205.27</v>
    <v>210.28</v>
    <v>215.8</v>
    <v>215.02</v>
    <v>215</v>
    <v>217.71</v>
    <v>212.9</v>
    <v>212.45</v>
    <v>214.04</v>
    <v>214.66</v>
    <v>215.95</v>
    <v>216.47</v>
    <v>215.8</v>
    <v>209.27</v>
    <v>201.74</v>
    <v>200.07</v>
    <v>199.08</v>
    <v>205.57</v>
    <v>204.1</v>
    <v>203.64</v>
    <v>202.47</v>
    <v>202.46</v>
    <v>201.37</v>
    <v>200.16</v>
    <v>201.91</v>
    <v>202.43</v>
    <v>203.46</v>
    <v>195.56</v>
    <v>193.28</v>
    <v>197.99</v>
    <v>196.3</v>
    <v>197.06</v>
    <v>197.25</v>
    <v>194.05</v>
    <v>200.26</v>
    <v>204.5</v>
    <v>202.19</v>
    <v>206.11</v>
    <v>208.9</v>
    <v>207.77</v>
    <v>210.11</v>
    <v>211.6</v>
    <v>206.84</v>
    <v>212.64</v>
    <v>214.06</v>
    <v>211.44</v>
    <v>209.2</v>
    <v>211.22</v>
    <v>232.93</v>
    <v>234.39</v>
    <v>235.64</v>
    <v>239.57</v>
    <v>238.63</v>
    <v>241.51</v>
    <v>240.89</v>
    <v>243.34</v>
    <v>239.71</v>
    <v>241.8</v>
    <v>244.32</v>
    <v>242.06</v>
    <v>239.14</v>
    <v>241.77</v>
    <v>241.83</v>
    <v>242.36</v>
    <v>242.75</v>
    <v>243.81</v>
    <v>246.39</v>
    <v>249.51</v>
    <v>256.3</v>
    <v>255.92</v>
    <v>255.54</v>
    <v>259.18</v>
    <v>259.75</v>
    <v>259.8</v>
    <v>259.26</v>
    <v>256.10000000000002</v>
    <v>262.29000000000002</v>
    <v>258.29000000000002</v>
    <v>263.2</v>
    <v>262.26</v>
    <v>256.39999999999998</v>
    <v>254.3</v>
    <v>258</v>
    <v>254.69</v>
    <v>248.89</v>
    <v>248.69</v>
    <v>245.96</v>
    <v>245.68</v>
    <v>243.26</v>
    <v>245.56</v>
    <v>251.95</v>
    <v>253.18</v>
    <v>255.19</v>
    <v>261.66000000000003</v>
    <v>262.33999999999997</v>
    <v>258.56</v>
    <v>256.01</v>
    <v>255</v>
    <v>256.33</v>
    <v>269.5</v>
    <v>266.88</v>
    <v>264.98</v>
    <v>270.17</v>
    <v>271.48</v>
    <v>265.43</v>
    <v>263.36</v>
    <v>270.79000000000002</v>
    <v>263.82</v>
    <v>264.39999999999998</v>
    <v>267.66000000000003</v>
    <v>272.05</v>
    <v>271.10000000000002</v>
    <v>276.55</v>
    <v>283.43</v>
    <v>279.64</v>
    <v>277.97000000000003</v>
    <v>279.76</v>
    <v>275.94</v>
    <v>271.97000000000003</v>
    <v>270.02</v>
    <v>275.93</v>
    <v>267.27999999999997</v>
    <v>269.32</v>
    <v>271.57</v>
    <v>271.56</v>
    <v>276.79000000000002</v>
    <v>276.7</v>
    <v>273.29000000000002</v>
    <v>276.58</v>
    <v>281.2</v>
    <v>273.97000000000003</v>
    <v>274</v>
    <v>274.23</v>
    <v>272.97000000000003</v>
    <v>266.57</v>
    <v>267.06</v>
    <v>254.09</v>
    <v>247.61</v>
    <v>247.78</v>
    <v>254.6</v>
    <v>252.53</v>
    <v>254.66</v>
    <v>254.79</v>
    <v>257.87</v>
    <v>264.14</v>
    <v>268.81</v>
    <v>257.24</v>
    <v>259.37</v>
    <v>244.94</v>
    <v>264.70999999999998</v>
    <v>258.56</v>
    <v>267.70999999999998</v>
    <v>264.45999999999998</v>
    <v>251.92</v>
    <v>248.81</v>
    <v>256.73</v>
    <v>256.22000000000003</v>
    <v>251.6</v>
    <v>265.38</v>
    <v>254.88</v>
    <v>240.92</v>
    <v>239.58</v>
    <v>248.03</v>
    <v>248.5</v>
    <v>262.8</v>
    <v>259.62</v>
    <v>260.04000000000002</v>
    <v>262</v>
    <v>263.47000000000003</v>
    <v>267.94</v>
    <v>265.89</v>
    <v>268.10000000000002</v>
    <v>266.86</v>
    <v>269.36</v>
    <v>267.8</v>
    <v>273.17</v>
    <v>271.01</v>
    <v>270.36</v>
    <v>267.5</v>
    <v>271.05</v>
    <v>275.13</v>
    <v>257.60000000000002</v>
    <v>255.67</v>
    <v>251.39</v>
    <v>247.92</v>
    <v>250.06</v>
    <v>250.03</v>
    <v>263.08999999999997</v>
    <v>268.5</v>
    <v>269.54000000000002</v>
    <v>271.54000000000002</v>
    <v>273.92</v>
    <v>272.06</v>
    <v>289.73</v>
    <v>290.89</v>
    <v>296.13</v>
    <v>298.24</v>
    <v>297.94</v>
    <v>296.36</v>
    <v>296.74</v>
    <v>298.14999999999998</v>
    <v>296.05</v>
    <v>299.08999999999997</v>
    <v>298.39999999999998</v>
    <v>305.72000000000003</v>
    <v>307.51</v>
    <v>308.67</v>
    <v>307.61</v>
    <v>306.99</v>
    <v>309.42</v>
    <v>310.98</v>
    <v>305.54000000000002</v>
    <v>312.22000000000003</v>
    <v>313.14</v>
    <v>314.27</v>
    <v>317.64</v>
    <v>312.97000000000003</v>
    <v>306.63</v>
    <v>309.87</v>
    <v>308.17</v>
    <v>313.36</v>
    <v>313.43</v>
    <v>311.63</v>
    <v>301.63</v>
    <v>303.5</v>
    <v>304.32</v>
    <v>314.62</v>
    <v>310.82</v>
    <v>320.86</v>
    <v>330.98</v>
    <v>329.69</v>
    <v>327.27</v>
    <v>326.88</v>
    <v>323.87</v>
    <v>323.33</v>
    <v>328.41</v>
    <v>330.78</v>
    <v>332.34</v>
    <v>340.01</v>
    <v>341.92</v>
    <v>342.92</v>
    <v>346.6</v>
    <v>343.94</v>
    <v>344.52</v>
    <v>342.33</v>
    <v>339.74</v>
    <v>333.66</v>
    <v>334.97</v>
    <v>332.47</v>
    <v>321.98</v>
    <v>319.89999999999998</v>
    <v>334.25</v>
    <v>336.1</v>
    <v>337.6</v>
    <v>342.5</v>
    <v>336.43</v>
    <v>320.62</v>
    <v>322.58999999999997</v>
    <v>328.41</v>
    <v>327.38</v>
    <v>330.81</v>
    <v>330.62</v>
    <v>323.14</v>
    <v>318.98</v>
    <v>316.05</v>
  </a>
  <a r="1" c="502">
    <v>227.6</v>
    <v>231.16</v>
    <v>208.68</v>
    <v>214.23</v>
    <v>215.51</v>
    <v>220</v>
    <v>222.64</v>
    <v>223.19</v>
    <v>225</v>
    <v>223.78</v>
    <v>219.6</v>
    <v>216.59</v>
    <v>220.88</v>
    <v>224</v>
    <v>227.5</v>
    <v>228.93</v>
    <v>228.5</v>
    <v>228.79</v>
    <v>226.36</v>
    <v>231.52</v>
    <v>233.59</v>
    <v>232.45</v>
    <v>230.82</v>
    <v>231.99</v>
    <v>230.29</v>
    <v>230.13</v>
    <v>226.88</v>
    <v>228.3</v>
    <v>228.54</v>
    <v>225.75</v>
    <v>224.88</v>
    <v>227.26</v>
    <v>226.8</v>
    <v>223.11</v>
    <v>222.12</v>
    <v>225.6</v>
    <v>224.09</v>
    <v>224.69</v>
    <v>223.7</v>
    <v>219.7</v>
    <v>221.74</v>
    <v>223.25</v>
    <v>220.54</v>
    <v>219.22</v>
    <v>219.3</v>
    <v>215.8</v>
    <v>212</v>
    <v>211</v>
    <v>215.05</v>
    <v>216.03</v>
    <v>215.65</v>
    <v>210.9</v>
    <v>215.4</v>
    <v>216.17</v>
    <v>214.14</v>
    <v>214.99</v>
    <v>217.95</v>
    <v>219.49</v>
    <v>219.28</v>
    <v>223.68</v>
    <v>224.91</v>
    <v>225.89</v>
    <v>225.42</v>
    <v>218.23</v>
    <v>221.44</v>
    <v>224.64</v>
    <v>224.6</v>
    <v>228.16</v>
    <v>226.42</v>
    <v>226.2</v>
    <v>228.23</v>
    <v>229.68</v>
    <v>227.35</v>
    <v>227.87</v>
    <v>226.95</v>
    <v>226.44</v>
    <v>224.38</v>
    <v>226.53</v>
    <v>225.44</v>
    <v>228.56</v>
    <v>229.47</v>
    <v>230.23</v>
    <v>228.56</v>
    <v>225.5</v>
    <v>222.41</v>
    <v>223.44</v>
    <v>228.2</v>
    <v>225.46</v>
    <v>226.19</v>
    <v>224.87</v>
    <v>227.75</v>
    <v>230.33</v>
    <v>226.69</v>
    <v>230.72</v>
    <v>232.15</v>
    <v>235.29</v>
    <v>235.46</v>
    <v>235.91</v>
    <v>232.3</v>
    <v>232.14</v>
    <v>232.88</v>
    <v>237.06</v>
    <v>242.97</v>
    <v>242.7</v>
    <v>245.42</v>
    <v>244.17</v>
    <v>242.5</v>
    <v>243.32</v>
    <v>244.41</v>
    <v>241.61</v>
    <v>244.44</v>
    <v>247.41</v>
    <v>247.01</v>
    <v>249.19</v>
    <v>246.03</v>
    <v>243.74</v>
    <v>246.28</v>
    <v>245.27</v>
    <v>242.38</v>
    <v>242.42</v>
    <v>246.99</v>
    <v>246.78</v>
    <v>246.85</v>
    <v>246.13</v>
    <v>247.47</v>
    <v>251</v>
    <v>252.59</v>
    <v>253.49</v>
    <v>251.72</v>
    <v>252.47</v>
    <v>250.9</v>
    <v>252.75</v>
    <v>255.47</v>
    <v>254.56</v>
    <v>254.33</v>
    <v>267.93</v>
    <v>269.2</v>
    <v>269.5</v>
    <v>271.26</v>
    <v>271.38</v>
    <v>272.2</v>
    <v>270.57</v>
    <v>272.5</v>
    <v>272.8</v>
    <v>270.02999999999997</v>
    <v>269.52999999999997</v>
    <v>268.73</v>
    <v>268.02</v>
    <v>270.63</v>
    <v>270.99</v>
    <v>270.55</v>
    <v>268.61</v>
    <v>267.68</v>
    <v>267.64999999999998</v>
    <v>265.7</v>
    <v>262.82</v>
    <v>257.36</v>
    <v>257.07</v>
    <v>258.99</v>
    <v>257.32</v>
    <v>262.05</v>
    <v>258.27</v>
    <v>259.49</v>
    <v>261.89999999999998</v>
    <v>261.27</v>
    <v>260.86</v>
    <v>260.56</v>
    <v>259.48</v>
    <v>257.5</v>
    <v>258.81</v>
    <v>259.56</v>
    <v>259.2</v>
    <v>259.5</v>
    <v>260.67</v>
    <v>260.18</v>
    <v>262.85000000000002</v>
    <v>260.33999999999997</v>
    <v>260.69</v>
    <v>260</v>
    <v>261.89999999999998</v>
    <v>256.47000000000003</v>
    <v>256.02999999999997</v>
    <v>256.45</v>
    <v>253.4</v>
    <v>250.59</v>
    <v>251.61</v>
    <v>251.33</v>
    <v>248.64</v>
    <v>248.33</v>
    <v>249.36</v>
    <v>241.33</v>
    <v>236.61</v>
    <v>235.09</v>
    <v>237.9</v>
    <v>239</v>
    <v>228.39</v>
    <v>231.69</v>
    <v>234.79</v>
    <v>237.8</v>
    <v>233.43</v>
    <v>233.2</v>
    <v>230.39</v>
    <v>231.86</v>
    <v>234.67</v>
    <v>234.02</v>
    <v>231.38</v>
    <v>229.62</v>
    <v>234.1</v>
    <v>234.15</v>
    <v>234.21</v>
    <v>238</v>
    <v>241.68</v>
    <v>241.56</v>
    <v>242.52</v>
    <v>241.5</v>
    <v>238.95</v>
    <v>239.32</v>
    <v>240.85</v>
    <v>241.89</v>
    <v>239.54</v>
    <v>236.59</v>
    <v>235.63</v>
    <v>236.95</v>
    <v>234.27</v>
    <v>239.04</v>
    <v>238.37</v>
    <v>237.99</v>
    <v>241.77</v>
    <v>237.95</v>
    <v>240.49</v>
    <v>241.95</v>
    <v>240.31</v>
    <v>236.66</v>
    <v>235.1</v>
    <v>235.86</v>
    <v>234.44</v>
    <v>235.7</v>
    <v>235.83</v>
    <v>242.59</v>
    <v>241.03</v>
    <v>236.46</v>
    <v>238.89</v>
    <v>241.09</v>
    <v>235.07</v>
    <v>235.87</v>
    <v>237.88</v>
    <v>238.99</v>
    <v>240.12</v>
    <v>242.16</v>
    <v>241.75</v>
    <v>243.89</v>
    <v>241.42</v>
    <v>242.33</v>
    <v>247.53</v>
    <v>250</v>
    <v>253.54</v>
    <v>254.77</v>
    <v>257.42</v>
    <v>258.3</v>
    <v>255.38</v>
    <v>252.66</v>
    <v>253.65</v>
    <v>253.95</v>
    <v>251.63</v>
    <v>252.99</v>
    <v>247.41</v>
    <v>250.21</v>
    <v>249.5</v>
    <v>250.8</v>
    <v>248.43</v>
    <v>245.08</v>
    <v>252.68</v>
    <v>250.59</v>
    <v>247.06</v>
    <v>248.65</v>
    <v>244.42</v>
    <v>243.05</v>
    <v>242.55</v>
    <v>247.08</v>
    <v>244.58</v>
    <v>243.6</v>
    <v>244.9</v>
    <v>243.84</v>
    <v>245.26</v>
    <v>245.61</v>
    <v>245.7</v>
    <v>247.23</v>
    <v>246.82</v>
    <v>247.09</v>
    <v>247.44</v>
    <v>248.52</v>
    <v>250</v>
    <v>248.03</v>
    <v>248.14</v>
    <v>248.4</v>
    <v>255.3</v>
    <v>257.69</v>
    <v>261.98</v>
    <v>261.86</v>
    <v>263.7</v>
    <v>260.83</v>
    <v>267.64</v>
    <v>266.35000000000002</v>
    <v>268.75</v>
    <v>268.5</v>
    <v>269.35000000000002</v>
    <v>268.24</v>
    <v>270.44</v>
    <v>269.29000000000002</v>
    <v>272.04000000000002</v>
    <v>271.76</v>
    <v>266</v>
    <v>267.41000000000003</v>
    <v>266.95</v>
    <v>264.31</v>
    <v>265.63</v>
    <v>266</v>
    <v>262.97000000000003</v>
    <v>264.92</v>
    <v>268.33999999999997</v>
    <v>262.24</v>
    <v>258.52</v>
    <v>257.77999999999997</v>
    <v>257.31</v>
    <v>258.68</v>
    <v>260.7</v>
    <v>259.74</v>
    <v>261.66000000000003</v>
    <v>261.55</v>
    <v>261.70999999999998</v>
    <v>260.04000000000002</v>
    <v>261.19</v>
    <v>253.46</v>
    <v>253.95</v>
    <v>254.08</v>
    <v>256.08</v>
    <v>257.31</v>
    <v>258.49</v>
    <v>258.36</v>
    <v>260.7</v>
    <v>261.95</v>
    <v>258.77</v>
    <v>253.99</v>
    <v>252.29</v>
    <v>255.39</v>
    <v>255.43</v>
    <v>250.56</v>
    <v>250.98</v>
    <v>248.94</v>
    <v>245.12</v>
    <v>248.51</v>
    <v>245.49</v>
    <v>243.97</v>
    <v>246.59</v>
    <v>250.23</v>
    <v>250.32</v>
    <v>250.34</v>
    <v>250.03</v>
    <v>250.11</v>
    <v>250.93</v>
    <v>251.68</v>
    <v>251.03</v>
    <v>252.51</v>
    <v>254.62</v>
    <v>253.5</v>
    <v>262.33999999999997</v>
    <v>263.64999999999998</v>
    <v>262.83</v>
    <v>263.5</v>
    <v>265.13</v>
    <v>261.68</v>
    <v>261.07</v>
    <v>255.91</v>
    <v>257.27999999999997</v>
    <v>256.29000000000002</v>
    <v>258.94</v>
    <v>250.37</v>
    <v>259.14</v>
    <v>253.84</v>
    <v>252.09</v>
    <v>253.08</v>
    <v>259.37</v>
    <v>259.82</v>
    <v>249.53</v>
    <v>248.09</v>
    <v>248.23</v>
    <v>248.26</v>
    <v>245.45</v>
    <v>243.21</v>
    <v>245.98</v>
    <v>246.88</v>
    <v>249.38</v>
    <v>253.48</v>
    <v>246.17</v>
    <v>243.3</v>
    <v>245.16</v>
    <v>245.37</v>
    <v>246.94</v>
    <v>236.42</v>
    <v>238.52</v>
    <v>237.81</v>
    <v>239.87</v>
    <v>241.41</v>
    <v>238.8</v>
    <v>240.1</v>
    <v>241.08</v>
    <v>245.24</v>
    <v>245.7</v>
    <v>242.96</v>
    <v>243.05</v>
    <v>244.74</v>
    <v>243.7</v>
    <v>245.18</v>
    <v>243.11</v>
    <v>239.98</v>
    <v>240.37</v>
    <v>237.97</v>
    <v>240.71</v>
    <v>246.78</v>
    <v>246.61</v>
    <v>248.29</v>
    <v>249.01</v>
    <v>250.89</v>
    <v>249.49</v>
    <v>248.79</v>
    <v>251.71</v>
    <v>252.57</v>
    <v>253.65</v>
    <v>252.86</v>
    <v>251</v>
    <v>248.45</v>
    <v>248.09</v>
    <v>254.82</v>
    <v>252.47</v>
    <v>251.9</v>
    <v>255.05</v>
    <v>258.39999999999998</v>
    <v>257.69</v>
    <v>257.68</v>
    <v>255.67</v>
    <v>243.65</v>
    <v>246.67</v>
    <v>243.07</v>
    <v>241.13</v>
    <v>240.42</v>
    <v>239.6</v>
    <v>241.06</v>
    <v>245.71</v>
    <v>244.07</v>
    <v>243.59</v>
    <v>240.04</v>
    <v>241.52</v>
    <v>239.21</v>
    <v>241.61</v>
    <v>241.42</v>
    <v>240.71</v>
    <v>239.38</v>
    <v>237.51</v>
    <v>236.07</v>
    <v>235.47</v>
    <v>232.34</v>
    <v>232.77</v>
    <v>239.74</v>
    <v>237.15</v>
    <v>229.58</v>
    <v>233.28</v>
    <v>234.38</v>
    <v>236.2</v>
    <v>238.29</v>
    <v>240.71</v>
    <v>242</v>
    <v>237.51</v>
    <v>238.06</v>
    <v>240.44</v>
    <v>239.75</v>
    <v>240.76</v>
    <v>239.66</v>
    <v>241.67</v>
    <v>233.6</v>
    <v>235.97</v>
    <v>240.95</v>
    <v>237.76</v>
    <v>237.06</v>
    <v>238.3</v>
    <v>239.5</v>
    <v>239</v>
    <v>244.31</v>
    <v>242.6</v>
    <v>239.89</v>
    <v>239.45</v>
    <v>239.66</v>
    <v>232.92</v>
    <v>233.09</v>
    <v>228.31</v>
    <v>227.05</v>
    <v>227.63</v>
    <v>226.36</v>
    <v>225.4</v>
    <v>224.27</v>
    <v>222.71</v>
    <v>219.66</v>
    <v>221</v>
  </a>
  <a r="1" c="502">
    <v>12.86</v>
    <v>12.16</v>
    <v>12.58</v>
    <v>12.3</v>
    <v>12.99</v>
    <v>13.24</v>
    <v>12.7</v>
    <v>13.99</v>
    <v>14.15</v>
    <v>13.86</v>
    <v>13.6</v>
    <v>12.97</v>
    <v>12.64</v>
    <v>12.76</v>
    <v>12.9</v>
    <v>12.6</v>
    <v>12.71</v>
    <v>13.5</v>
    <v>13.05</v>
    <v>13.25</v>
    <v>13.78</v>
    <v>14.19</v>
    <v>14.2</v>
    <v>14.36</v>
    <v>14.75</v>
    <v>14.94</v>
    <v>14.57</v>
    <v>14.9</v>
    <v>14.66</v>
    <v>14.65</v>
    <v>14.49</v>
    <v>14.25</v>
    <v>14.4</v>
    <v>13.72</v>
    <v>14</v>
    <v>14.32</v>
    <v>13.62</v>
    <v>13.85</v>
    <v>13.31</v>
    <v>13.55</v>
    <v>13.35</v>
    <v>14.29</v>
    <v>14.28</v>
    <v>14.26</v>
    <v>14.22</v>
    <v>14.08</v>
    <v>13.43</v>
    <v>12.1</v>
    <v>12.18</v>
    <v>12.89</v>
    <v>12.4</v>
    <v>11.57</v>
    <v>11.7</v>
    <v>11.7</v>
    <v>11.55</v>
    <v>11.05</v>
    <v>11.06</v>
    <v>11.33</v>
    <v>11.43</v>
    <v>11.795</v>
    <v>12.035</v>
    <v>12.08</v>
    <v>11.98</v>
    <v>11.58</v>
    <v>11.8</v>
    <v>12</v>
    <v>11.73</v>
    <v>12.3</v>
    <v>12.01</v>
    <v>12.36</v>
    <v>12.36</v>
    <v>12.8</v>
    <v>12.58</v>
    <v>12.775</v>
    <v>12.51</v>
    <v>12.45</v>
    <v>12.62</v>
    <v>12.35</v>
    <v>12.3</v>
    <v>12.64</v>
    <v>12.97</v>
    <v>12.62</v>
    <v>13</v>
    <v>13.19</v>
    <v>14.95</v>
    <v>15.215</v>
    <v>15.58</v>
    <v>15.56</v>
    <v>15.42</v>
    <v>16.16</v>
    <v>16.02</v>
    <v>16.09</v>
    <v>15.89</v>
    <v>15.81</v>
    <v>16.11</v>
    <v>15.57</v>
    <v>15.45</v>
    <v>15.74</v>
    <v>15.36</v>
    <v>14.9</v>
    <v>15.55</v>
    <v>15.13</v>
    <v>15.77</v>
    <v>16.420000000000002</v>
    <v>17.14</v>
    <v>16.53</v>
    <v>17.14</v>
    <v>17.364999999999998</v>
    <v>17.54</v>
    <v>17.25</v>
    <v>17.34</v>
    <v>17.62</v>
    <v>17.670000000000002</v>
    <v>17.68</v>
    <v>17.62</v>
    <v>18.079999999999998</v>
    <v>18.399999999999999</v>
    <v>18.78</v>
    <v>17.63</v>
    <v>17.88</v>
    <v>19.04</v>
    <v>18.670000000000002</v>
    <v>18.93</v>
    <v>19</v>
    <v>19.11</v>
    <v>18.559999999999999</v>
    <v>18.13</v>
    <v>18.63</v>
    <v>18.440000000000001</v>
    <v>18.47</v>
    <v>18.989999999999998</v>
    <v>18.98</v>
    <v>18.09</v>
    <v>18.78</v>
    <v>19.02</v>
    <v>18.8</v>
    <v>19.27</v>
    <v>18.75</v>
    <v>19.02</v>
    <v>18.64</v>
    <v>19.13</v>
    <v>18.66</v>
    <v>19.3</v>
    <v>19.27</v>
    <v>19.61</v>
    <v>19.670000000000002</v>
    <v>19.420000000000002</v>
    <v>18.53</v>
    <v>18.21</v>
    <v>18.989999999999998</v>
    <v>18.57</v>
    <v>18.41</v>
    <v>18.28</v>
    <v>18.66</v>
    <v>18.78</v>
    <v>18.75</v>
    <v>18.86</v>
    <v>19.2</v>
    <v>18.54</v>
    <v>18.87</v>
    <v>18.87</v>
    <v>18.59</v>
    <v>18.670000000000002</v>
    <v>18.86</v>
    <v>18.23</v>
    <v>18.96</v>
    <v>18.71</v>
    <v>19.11</v>
    <v>18.29</v>
    <v>18.11</v>
    <v>18.309999999999999</v>
    <v>18.350000000000001</v>
    <v>17.940000000000001</v>
    <v>18.02</v>
    <v>17.53</v>
    <v>18.254999999999999</v>
    <v>18.25</v>
    <v>19.11</v>
    <v>18.989999999999998</v>
    <v>19.350000000000001</v>
    <v>19.309999999999999</v>
    <v>19.98</v>
    <v>19.88</v>
    <v>20.09</v>
    <v>20.05</v>
    <v>20.64</v>
    <v>19.91</v>
    <v>20.49</v>
    <v>19.88</v>
    <v>20.07</v>
    <v>19.489999999999998</v>
    <v>20.190000000000001</v>
    <v>20.5</v>
    <v>21.454999999999998</v>
    <v>22.25</v>
    <v>22.69</v>
    <v>23.12</v>
    <v>23.45</v>
    <v>24.24</v>
    <v>23.85</v>
    <v>23.395</v>
    <v>23.46</v>
    <v>22.28</v>
    <v>22.31</v>
    <v>22.58</v>
    <v>22.38</v>
    <v>22.05</v>
    <v>22.94</v>
    <v>22.68</v>
    <v>22.96</v>
    <v>27.85</v>
    <v>25.35</v>
    <v>25.45</v>
    <v>25.34</v>
    <v>24.49</v>
    <v>24.26</v>
    <v>23.92</v>
    <v>23.75</v>
    <v>24.55</v>
    <v>23.56</v>
    <v>23.16</v>
    <v>23.09</v>
    <v>23.1</v>
    <v>22.98</v>
    <v>22.64</v>
    <v>23.13</v>
    <v>23.2</v>
    <v>22.9</v>
    <v>23.14</v>
    <v>22.77</v>
    <v>24.1</v>
    <v>23.53</v>
    <v>23.3</v>
    <v>23.4</v>
    <v>23.72</v>
    <v>23.23</v>
    <v>24.03</v>
    <v>23.81</v>
    <v>24.65</v>
    <v>24.52</v>
    <v>25.05</v>
    <v>24.6</v>
    <v>25.46</v>
    <v>25.93</v>
    <v>26.7</v>
    <v>26.65</v>
    <v>26.81</v>
    <v>26.9</v>
    <v>26.84</v>
    <v>26.96</v>
    <v>26.1</v>
    <v>26.08</v>
    <v>25.47</v>
    <v>25.78</v>
    <v>25.38</v>
    <v>25.24</v>
    <v>25.66</v>
    <v>25.16</v>
    <v>25.48</v>
    <v>25.03</v>
    <v>25.27</v>
    <v>25.16</v>
    <v>25.37</v>
    <v>26.14</v>
    <v>25.69</v>
    <v>25.75</v>
    <v>26.35</v>
    <v>25.5</v>
    <v>25.8</v>
    <v>25.61</v>
    <v>24.74</v>
    <v>25.48</v>
    <v>25.04</v>
    <v>24.03</v>
    <v>24.01</v>
    <v>23.87</v>
    <v>24.4</v>
    <v>24.18</v>
    <v>24.59</v>
    <v>23.36</v>
    <v>24.51</v>
    <v>25.55</v>
    <v>25.13</v>
    <v>24.27</v>
    <v>24.57</v>
    <v>24.72</v>
    <v>25.03</v>
    <v>25.85</v>
    <v>26.36</v>
    <v>26.3</v>
    <v>26.86</v>
    <v>26.49</v>
    <v>26.51</v>
    <v>25.86</v>
    <v>24.07</v>
    <v>23.56</v>
    <v>23.7</v>
    <v>24.22</v>
    <v>24.21</v>
    <v>25.01</v>
    <v>24.7</v>
    <v>26.02</v>
    <v>26.03</v>
    <v>26.23</v>
    <v>26.98</v>
    <v>27.66</v>
    <v>25.66</v>
    <v>26.2</v>
    <v>25.805</v>
    <v>26.47</v>
    <v>26.68</v>
    <v>26.47</v>
    <v>25.86</v>
    <v>26.01</v>
    <v>25.99</v>
    <v>25.85</v>
    <v>26.18</v>
    <v>25.58</v>
    <v>25.6</v>
    <v>25.54</v>
    <v>25.27</v>
    <v>24.36</v>
    <v>24.14</v>
    <v>23.31</v>
    <v>23.08</v>
    <v>23.9</v>
    <v>23.55</v>
    <v>23.91</v>
    <v>23.96</v>
    <v>23.39</v>
    <v>24.09</v>
    <v>24.56</v>
    <v>25.53</v>
    <v>25.9</v>
    <v>26.53</v>
    <v>26.07</v>
    <v>25.6</v>
    <v>25.85</v>
    <v>25.97</v>
    <v>26.16</v>
    <v>27.11</v>
    <v>26.35</v>
    <v>25.98</v>
    <v>26.42</v>
    <v>27.2</v>
    <v>26.97</v>
    <v>26.19</v>
    <v>26.65</v>
    <v>26.41</v>
    <v>25.91</v>
    <v>26.02</v>
    <v>26.08</v>
    <v>25.54</v>
    <v>26.01</v>
    <v>26.15</v>
    <v>25.46</v>
    <v>24.92</v>
    <v>25.03</v>
    <v>23.61</v>
    <v>23.97</v>
    <v>24.14</v>
    <v>25.57</v>
    <v>25.89</v>
    <v>26.02</v>
    <v>25.19</v>
    <v>25.2</v>
    <v>25.23</v>
    <v>25.05</v>
    <v>25.08</v>
    <v>25.46</v>
    <v>25.4</v>
    <v>25.33</v>
    <v>25.08</v>
    <v>25.89</v>
    <v>24.97</v>
    <v>25</v>
    <v>25.15</v>
    <v>24.41</v>
    <v>24.37</v>
    <v>22.87</v>
    <v>23.17</v>
    <v>23.86</v>
    <v>24.94</v>
    <v>26.24</v>
    <v>27.84</v>
    <v>28.87</v>
    <v>28.62</v>
    <v>28.61</v>
    <v>29.33</v>
    <v>30.26</v>
    <v>29.43</v>
    <v>30.87</v>
    <v>30.58</v>
    <v>30.15</v>
    <v>30.57</v>
    <v>31.22</v>
    <v>29.77</v>
    <v>28.15</v>
    <v>27</v>
    <v>27.58</v>
    <v>26.36</v>
    <v>27.84</v>
    <v>28.05</v>
    <v>27.87</v>
    <v>27.83</v>
    <v>27.71</v>
    <v>28.86</v>
    <v>29.25</v>
    <v>29.72</v>
    <v>28.7</v>
    <v>29.24</v>
    <v>29.03</v>
    <v>30.5</v>
    <v>30.24</v>
    <v>30.32</v>
    <v>30.76</v>
    <v>30.39</v>
    <v>30.24</v>
    <v>28.62</v>
    <v>28.8</v>
    <v>28.12</v>
    <v>27.69</v>
    <v>27.47</v>
    <v>28.05</v>
    <v>28.03</v>
    <v>28.07</v>
    <v>28.73</v>
    <v>28.85</v>
    <v>29.11</v>
    <v>28.63</v>
    <v>29.35</v>
    <v>28.3</v>
    <v>28.58</v>
    <v>28.79</v>
    <v>29.13</v>
    <v>29.75</v>
    <v>30.42</v>
    <v>30.7</v>
    <v>30.19</v>
    <v>29.96</v>
    <v>29.64</v>
    <v>29.95</v>
    <v>29.43</v>
    <v>29.28</v>
    <v>29.21</v>
    <v>28.85</v>
    <v>29.6</v>
    <v>29.79</v>
    <v>29.79</v>
    <v>30.67</v>
    <v>30.79</v>
    <v>30.11</v>
    <v>29.58</v>
    <v>29.44</v>
    <v>29.12</v>
    <v>28.63</v>
    <v>28.6</v>
    <v>29.1</v>
    <v>29.64</v>
    <v>29.73</v>
    <v>28.47</v>
    <v>28.24</v>
    <v>28.49</v>
    <v>29.02</v>
    <v>33.39</v>
    <v>32.01</v>
    <v>32.475000000000001</v>
    <v>33.479999999999997</v>
    <v>32.57</v>
    <v>32.81</v>
    <v>33</v>
    <v>32.19</v>
    <v>31.93</v>
    <v>31.99</v>
    <v>32</v>
    <v>32.28</v>
    <v>33.04</v>
    <v>33.130000000000003</v>
    <v>32.67</v>
    <v>32.04</v>
    <v>32.17</v>
    <v>32.67</v>
    <v>32.43</v>
    <v>32.049999999999997</v>
    <v>31.31</v>
    <v>31.32</v>
    <v>30.71</v>
    <v>31.17</v>
    <v>31.24</v>
    <v>30.67</v>
    <v>29.75</v>
    <v>29.51</v>
    <v>28.07</v>
    <v>26.7</v>
    <v>26.8</v>
    <v>26.04</v>
    <v>25.95</v>
    <v>26.26</v>
    <v>26.16</v>
    <v>25.82</v>
    <v>26.19</v>
    <v>26.27</v>
  </a>
  <a r="1" c="502">
    <v>62.95</v>
    <v>62.92</v>
    <v>62.2</v>
    <v>63.4</v>
    <v>62.61</v>
    <v>62.13</v>
    <v>62.01</v>
    <v>61.21</v>
    <v>61.43</v>
    <v>61.68</v>
    <v>59.81</v>
    <v>59.72</v>
    <v>60.08</v>
    <v>60.23</v>
    <v>60.55</v>
    <v>60.93</v>
    <v>60.81</v>
    <v>60.49</v>
    <v>60.64</v>
    <v>61.32</v>
    <v>61.33</v>
    <v>60.28</v>
    <v>59.83</v>
    <v>60.17</v>
    <v>60.07</v>
    <v>59.72</v>
    <v>59.62</v>
    <v>59.62</v>
    <v>60.6</v>
    <v>59.59</v>
    <v>59.59</v>
    <v>59.22</v>
    <v>60.12</v>
    <v>59.8</v>
    <v>59.98</v>
    <v>60.09</v>
    <v>59.84</v>
    <v>59.82</v>
    <v>59.51</v>
    <v>58.86</v>
    <v>59.72</v>
    <v>59.44</v>
    <v>60.36</v>
    <v>60.01</v>
    <v>60.04</v>
    <v>59.46</v>
    <v>59.21</v>
    <v>59.81</v>
    <v>60.03</v>
    <v>60.43</v>
    <v>60.3</v>
    <v>60.02</v>
    <v>60.6</v>
    <v>60.32</v>
    <v>60.05</v>
    <v>59.92</v>
    <v>60.9</v>
    <v>61.35</v>
    <v>61.42</v>
    <v>61.86</v>
    <v>61.85</v>
    <v>62.03</v>
    <v>62.4</v>
    <v>62.21</v>
    <v>62.8</v>
    <v>62.84</v>
    <v>62.69</v>
    <v>62.58</v>
    <v>62.69</v>
    <v>63.15</v>
    <v>63.05</v>
    <v>63.46</v>
    <v>63.56</v>
    <v>63.68</v>
    <v>63.96</v>
    <v>64.05</v>
    <v>63.95</v>
    <v>63.85</v>
    <v>63.55</v>
    <v>63.68</v>
    <v>64.150000000000006</v>
    <v>64.3</v>
    <v>64.010000000000005</v>
    <v>63.65</v>
    <v>63.72</v>
    <v>64.02</v>
    <v>63.92</v>
    <v>63.39</v>
    <v>63.5</v>
    <v>63.86</v>
    <v>64.11</v>
    <v>63.94</v>
    <v>63.22</v>
    <v>63.15</v>
    <v>62.8</v>
    <v>62.83</v>
    <v>61.51</v>
    <v>61.4</v>
    <v>60.88</v>
    <v>60.41</v>
    <v>60.26</v>
    <v>59.78</v>
    <v>59.66</v>
    <v>60</v>
    <v>61.16</v>
    <v>60.75</v>
    <v>60.31</v>
    <v>60.22</v>
    <v>60.37</v>
    <v>60.47</v>
    <v>60.21</v>
    <v>60.45</v>
    <v>60.86</v>
    <v>61.23</v>
    <v>61.67</v>
    <v>61.26</v>
    <v>61.43</v>
    <v>61.85</v>
    <v>61.2</v>
    <v>61.22</v>
    <v>61.09</v>
    <v>60.52</v>
    <v>60.02</v>
    <v>60.22</v>
    <v>60.58</v>
    <v>61.03</v>
    <v>60.56</v>
    <v>59.76</v>
    <v>59.31</v>
    <v>59.52</v>
    <v>59.84</v>
    <v>60.35</v>
    <v>60.9</v>
    <v>60.81</v>
    <v>60.57</v>
    <v>61.64</v>
    <v>62.39</v>
    <v>62.44</v>
    <v>62.46</v>
    <v>62.25</v>
    <v>63.05</v>
    <v>62.44</v>
    <v>62.48</v>
    <v>61.93</v>
    <v>61.77</v>
    <v>61.96</v>
    <v>61.64</v>
    <v>60.71</v>
    <v>61.19</v>
    <v>60.92</v>
    <v>61.06</v>
    <v>60.92</v>
    <v>61.17</v>
    <v>60.88</v>
    <v>60.47</v>
    <v>60.48</v>
    <v>60.61</v>
    <v>60.95</v>
    <v>60.43</v>
    <v>60.06</v>
    <v>60.27</v>
    <v>60.11</v>
    <v>60.39</v>
    <v>60.56</v>
    <v>60.5</v>
    <v>60.47</v>
    <v>59.83</v>
    <v>59.31</v>
    <v>58.82</v>
    <v>58.78</v>
    <v>58.33</v>
    <v>58.33</v>
    <v>58.88</v>
    <v>58.3</v>
    <v>58.44</v>
    <v>58.46</v>
    <v>57.94</v>
    <v>58.3</v>
    <v>58.18</v>
    <v>58.44</v>
    <v>57.54</v>
    <v>57.6</v>
    <v>57</v>
    <v>56.53</v>
    <v>55.95</v>
    <v>55.81</v>
    <v>55.98</v>
    <v>55.48</v>
    <v>54.88</v>
    <v>55.04</v>
    <v>52.38</v>
    <v>53.14</v>
    <v>52.88</v>
    <v>54.03</v>
    <v>53.71</v>
    <v>52.81</v>
    <v>52.89</v>
    <v>53.43</v>
    <v>54.07</v>
    <v>54.05</v>
    <v>54.35</v>
    <v>54.57</v>
    <v>54.08</v>
    <v>55.64</v>
    <v>56.12</v>
    <v>55.78</v>
    <v>55.24</v>
    <v>56.15</v>
    <v>56.49</v>
    <v>56.44</v>
    <v>57.09</v>
    <v>56.74</v>
    <v>56.97</v>
    <v>57.18</v>
    <v>57.09</v>
    <v>56.66</v>
    <v>56.72</v>
    <v>56.93</v>
    <v>57.1</v>
    <v>57.21</v>
    <v>57.15</v>
    <v>57.26</v>
    <v>57.4</v>
    <v>58.03</v>
    <v>58.42</v>
    <v>58.57</v>
    <v>58.46</v>
    <v>58.58</v>
    <v>58.23</v>
    <v>58.44</v>
    <v>58.64</v>
    <v>58.57</v>
    <v>58.66</v>
    <v>58.6</v>
    <v>58.74</v>
    <v>58.61</v>
    <v>59.04</v>
    <v>59.42</v>
    <v>59.93</v>
    <v>59.04</v>
    <v>58.6</v>
    <v>59.02</v>
    <v>58.83</v>
    <v>57.61</v>
    <v>57.99</v>
    <v>58.32</v>
    <v>58.56</v>
    <v>58.71</v>
    <v>58.75</v>
    <v>58.93</v>
    <v>59.82</v>
    <v>59.96</v>
    <v>59.76</v>
    <v>59.67</v>
    <v>60.11</v>
    <v>60</v>
    <v>60.2</v>
    <v>59.81</v>
    <v>60.39</v>
    <v>59.99</v>
    <v>59.99</v>
    <v>60.16</v>
    <v>59.83</v>
    <v>59.57</v>
    <v>59.85</v>
    <v>58.91</v>
    <v>59.16</v>
    <v>59.37</v>
    <v>59.73</v>
    <v>59.9</v>
    <v>59.49</v>
    <v>60.98</v>
    <v>60.54</v>
    <v>60.04</v>
    <v>59.94</v>
    <v>59.99</v>
    <v>59.83</v>
    <v>59.56</v>
    <v>59.7</v>
    <v>59.35</v>
    <v>59.29</v>
    <v>59.4</v>
    <v>59.39</v>
    <v>60.7</v>
    <v>61.24</v>
    <v>61.15</v>
    <v>61.2</v>
    <v>60.71</v>
    <v>60.34</v>
    <v>60.4</v>
    <v>60.02</v>
    <v>59.53</v>
    <v>59.81</v>
    <v>59.52</v>
    <v>59.55</v>
    <v>59.44</v>
    <v>59.52</v>
    <v>60.24</v>
    <v>60.5</v>
    <v>61.12</v>
    <v>60.5</v>
    <v>59.88</v>
    <v>60.13</v>
    <v>60.23</v>
    <v>60.75</v>
    <v>60.47</v>
    <v>60.49</v>
    <v>60.4</v>
    <v>60.54</v>
    <v>61.03</v>
    <v>61.18</v>
    <v>60.68</v>
    <v>60.15</v>
    <v>59.83</v>
    <v>59.3</v>
    <v>59.51</v>
    <v>59.27</v>
    <v>59.72</v>
    <v>58.92</v>
    <v>59.05</v>
    <v>58.28</v>
    <v>58.14</v>
    <v>58.06</v>
    <v>58.51</v>
    <v>58.91</v>
    <v>60.17</v>
    <v>60.55</v>
    <v>60.64</v>
    <v>61.55</v>
    <v>61.74</v>
    <v>61.74</v>
    <v>62.04</v>
    <v>61.77</v>
    <v>61.93</v>
    <v>61.99</v>
    <v>62.17</v>
    <v>62.35</v>
    <v>62.62</v>
    <v>62.85</v>
    <v>62.88</v>
    <v>63.26</v>
    <v>63.58</v>
    <v>63.1</v>
    <v>63.13</v>
    <v>63.32</v>
    <v>63.03</v>
    <v>62.57</v>
    <v>62.91</v>
    <v>63</v>
    <v>62.09</v>
    <v>62</v>
    <v>61.82</v>
    <v>61.7</v>
    <v>61.97</v>
    <v>62.93</v>
    <v>62.93</v>
    <v>63.94</v>
    <v>63.92</v>
    <v>64.150000000000006</v>
    <v>63.91</v>
    <v>63.59</v>
    <v>63.55</v>
    <v>62.88</v>
    <v>62.99</v>
    <v>62.55</v>
    <v>62.62</v>
    <v>62.63</v>
    <v>62.18</v>
    <v>62.77</v>
    <v>63.97</v>
    <v>63.84</v>
    <v>64.05</v>
    <v>63.91</v>
    <v>63.65</v>
    <v>63.28</v>
    <v>63.15</v>
    <v>63.33</v>
    <v>63.76</v>
    <v>62.96</v>
    <v>62.69</v>
    <v>62.83</v>
    <v>63.1</v>
    <v>63.7</v>
    <v>63.41</v>
    <v>64.27</v>
    <v>65.209999999999994</v>
    <v>65.19</v>
    <v>65.290000000000006</v>
    <v>64.77</v>
    <v>64.959999999999994</v>
    <v>65.81</v>
    <v>66.069999999999993</v>
    <v>67.05</v>
    <v>66.83</v>
    <v>67.680000000000007</v>
    <v>66.739999999999995</v>
    <v>67.959999999999994</v>
    <v>69.33</v>
    <v>68.099999999999994</v>
    <v>68.05</v>
    <v>68.459999999999994</v>
    <v>68.73</v>
    <v>68.680000000000007</v>
    <v>68.17</v>
    <v>68.459999999999994</v>
    <v>68.58</v>
    <v>68.650000000000006</v>
    <v>69.180000000000007</v>
    <v>68.98</v>
    <v>69.38</v>
    <v>69.569999999999993</v>
    <v>69.33</v>
    <v>69.790000000000006</v>
    <v>70.84</v>
    <v>71.5</v>
    <v>71.75</v>
    <v>72.05</v>
    <v>72.47</v>
    <v>73.010000000000005</v>
    <v>72.56</v>
    <v>71.17</v>
    <v>71.14</v>
    <v>71.849999999999994</v>
    <v>71.55</v>
    <v>71.08</v>
    <v>71.23</v>
    <v>71.41</v>
    <v>72.099999999999994</v>
    <v>71.8</v>
    <v>71.75</v>
    <v>70.62</v>
    <v>71.64</v>
    <v>71.73</v>
    <v>71.33</v>
    <v>71.45</v>
    <v>71.400000000000006</v>
    <v>71.790000000000006</v>
    <v>71.86</v>
    <v>71.709999999999994</v>
    <v>71.010000000000005</v>
    <v>70.52</v>
    <v>70.17</v>
    <v>69.010000000000005</v>
    <v>69.180000000000007</v>
    <v>69.569999999999993</v>
    <v>69.25</v>
    <v>69.569999999999993</v>
    <v>70.34</v>
    <v>70.34</v>
    <v>70.569999999999993</v>
    <v>69.900000000000006</v>
    <v>70.44</v>
    <v>69.45</v>
    <v>69.45</v>
    <v>68.010000000000005</v>
    <v>67.3</v>
    <v>66.92</v>
    <v>66.67</v>
    <v>65.56</v>
    <v>65.92</v>
    <v>65.31</v>
    <v>65.010000000000005</v>
    <v>65.11</v>
    <v>65.37</v>
    <v>63.7</v>
    <v>63.66</v>
    <v>63.92</v>
    <v>63.36</v>
    <v>63.2</v>
    <v>63</v>
    <v>62.55</v>
    <v>61.74</v>
    <v>61.86</v>
    <v>62.59</v>
    <v>62.99</v>
    <v>63.76</v>
    <v>63.92</v>
    <v>64.38</v>
    <v>64.55</v>
    <v>64.430000000000007</v>
    <v>64.08</v>
    <v>63.65</v>
    <v>63.52</v>
    <v>62.21</v>
    <v>62.92</v>
    <v>62.53</v>
    <v>62.6</v>
    <v>62.91</v>
    <v>62.64</v>
    <v>63.84</v>
    <v>63.12</v>
    <v>62.55</v>
    <v>63.4</v>
    <v>62.85</v>
    <v>62.45</v>
    <v>62.55</v>
    <v>62.38</v>
    <v>62.84</v>
    <v>62.57</v>
    <v>62.45</v>
    <v>62.03</v>
    <v>62.26</v>
  </a>
  <a r="1" c="502">
    <v>234.29</v>
    <v>238.24</v>
    <v>229.89</v>
    <v>236.63</v>
    <v>237.64</v>
    <v>238.85</v>
    <v>246.24</v>
    <v>241.93</v>
    <v>239.43</v>
    <v>238.17</v>
    <v>237.01</v>
    <v>233.92</v>
    <v>235.9</v>
    <v>240.29</v>
    <v>240.32</v>
    <v>240.74</v>
    <v>243.16</v>
    <v>248.47</v>
    <v>244.67</v>
    <v>250.86</v>
    <v>255.56</v>
    <v>257.29000000000002</v>
    <v>250.48</v>
    <v>246.73</v>
    <v>250.68</v>
    <v>251.24</v>
    <v>253.68</v>
    <v>255.64</v>
    <v>257.35000000000002</v>
    <v>257.02999999999997</v>
    <v>260.79000000000002</v>
    <v>259.85000000000002</v>
    <v>266.19</v>
    <v>259.73</v>
    <v>256.97000000000003</v>
    <v>256.69</v>
    <v>257.51</v>
    <v>259.02</v>
    <v>258.22000000000003</v>
    <v>257.94</v>
    <v>260.93</v>
    <v>265.44</v>
    <v>264.27999999999997</v>
    <v>260.49</v>
    <v>263.81</v>
    <v>255.62</v>
    <v>243.1</v>
    <v>237.23</v>
    <v>237.33</v>
    <v>222.63</v>
    <v>224.32</v>
    <v>218.21</v>
    <v>221.07</v>
    <v>223.26</v>
    <v>217.81</v>
    <v>212.96</v>
    <v>212.05</v>
    <v>217.43</v>
    <v>218.99</v>
    <v>222.75</v>
    <v>225.02</v>
    <v>226.07</v>
    <v>225.81</v>
    <v>212.23</v>
    <v>206.84</v>
    <v>205.6</v>
    <v>210.54</v>
    <v>210.76</v>
    <v>210.6</v>
    <v>210.79</v>
    <v>210.88</v>
    <v>216.87</v>
    <v>217.56</v>
    <v>220.77</v>
    <v>220.14</v>
    <v>218.85</v>
    <v>217.76</v>
    <v>213.59</v>
    <v>212.57</v>
    <v>217.65</v>
    <v>215.85</v>
    <v>216.44</v>
    <v>211.93</v>
    <v>213.12</v>
    <v>209.75</v>
    <v>213.58</v>
    <v>211.92</v>
    <v>210.81</v>
    <v>208.39</v>
    <v>207.64</v>
    <v>210.07</v>
    <v>213.45</v>
    <v>205.75</v>
    <v>210.31</v>
    <v>215.03</v>
    <v>212.31</v>
    <v>213.39</v>
    <v>211.47</v>
    <v>211.07</v>
    <v>215.3</v>
    <v>216.83</v>
    <v>215.87</v>
    <v>212.44</v>
    <v>216.5</v>
    <v>225.93</v>
    <v>224.53</v>
    <v>226.45</v>
    <v>231.6</v>
    <v>233.58</v>
    <v>232.66</v>
    <v>235.77</v>
    <v>237.57</v>
    <v>236.1</v>
    <v>240.48</v>
    <v>239.58</v>
    <v>239.56</v>
    <v>241.7</v>
    <v>240.83</v>
    <v>241.66</v>
    <v>241.07</v>
    <v>247.8</v>
    <v>248.33</v>
    <v>255.65</v>
    <v>256.52999999999997</v>
    <v>257.89999999999998</v>
    <v>256.06</v>
    <v>252.15</v>
    <v>257.22000000000003</v>
    <v>260.41000000000003</v>
    <v>262.27999999999997</v>
    <v>263.99</v>
    <v>268.39999999999998</v>
    <v>266.97000000000003</v>
    <v>268.74</v>
    <v>269.27</v>
    <v>268.86</v>
    <v>268.75</v>
    <v>269.58999999999997</v>
    <v>266.69</v>
    <v>268.79000000000002</v>
    <v>273.39999999999998</v>
    <v>276.79000000000002</v>
    <v>277.42</v>
    <v>277.2</v>
    <v>278.32</v>
    <v>278.31</v>
    <v>278.41000000000003</v>
    <v>283.66000000000003</v>
    <v>285.70999999999998</v>
    <v>285.11</v>
    <v>285.22000000000003</v>
    <v>285.8</v>
    <v>288.37</v>
    <v>286.60000000000002</v>
    <v>281.87</v>
    <v>280.10000000000002</v>
    <v>271.58</v>
    <v>266.58999999999997</v>
    <v>265.95</v>
    <v>259.52999999999997</v>
    <v>261.24</v>
    <v>259.76</v>
    <v>259.27999999999997</v>
    <v>262.61</v>
    <v>266.27</v>
    <v>264.11</v>
    <v>263.02</v>
    <v>268.58999999999997</v>
    <v>257.87</v>
    <v>253.65</v>
    <v>248.26</v>
    <v>251.36</v>
    <v>278.37</v>
    <v>280.68</v>
    <v>277.52999999999997</v>
    <v>274.38</v>
    <v>269.27999999999997</v>
    <v>270.29000000000002</v>
    <v>271.91000000000003</v>
    <v>266.22000000000003</v>
    <v>255.91</v>
    <v>254.29</v>
    <v>255.68</v>
    <v>253.45</v>
    <v>255.06</v>
    <v>259.39</v>
    <v>259.26</v>
    <v>251.73</v>
    <v>251.13</v>
    <v>255.76</v>
    <v>258.13</v>
    <v>262.33</v>
    <v>264.2</v>
    <v>263.37</v>
    <v>267.57</v>
    <v>257.95999999999998</v>
    <v>256.22000000000003</v>
    <v>264.08</v>
    <v>264.75</v>
    <v>256.72000000000003</v>
    <v>246.62</v>
    <v>246.18</v>
    <v>241.53</v>
    <v>241.55</v>
    <v>237.15</v>
    <v>237.43</v>
    <v>248.78</v>
    <v>254.98</v>
    <v>254.09</v>
    <v>255.89</v>
    <v>263.35000000000002</v>
    <v>270.55</v>
    <v>267.95999999999998</v>
    <v>264.86</v>
    <v>262.60000000000002</v>
    <v>261.27</v>
    <v>268.52</v>
    <v>269.92</v>
    <v>281.39</v>
    <v>280.27999999999997</v>
    <v>273.45999999999998</v>
    <v>273.26</v>
    <v>274.36</v>
    <v>273.43</v>
    <v>274.05</v>
    <v>275.8</v>
    <v>276.48</v>
    <v>273.25</v>
    <v>275.11</v>
    <v>280.41000000000003</v>
    <v>286.20999999999998</v>
    <v>291.39</v>
    <v>288.17</v>
    <v>290.48</v>
    <v>294.12</v>
    <v>295.10000000000002</v>
    <v>295.56</v>
    <v>295.35000000000002</v>
    <v>297.70999999999998</v>
    <v>309.08999999999997</v>
    <v>314.41000000000003</v>
    <v>314.77</v>
    <v>313.08</v>
    <v>309.45</v>
    <v>310.67</v>
    <v>312.06</v>
    <v>314.19</v>
    <v>313.91000000000003</v>
    <v>313.95</v>
    <v>312.43</v>
    <v>310</v>
    <v>301.57</v>
    <v>301.66000000000003</v>
    <v>306.25</v>
    <v>309.52999999999997</v>
    <v>307.70999999999998</v>
    <v>305.98</v>
    <v>306.06</v>
    <v>302.10000000000002</v>
    <v>300.88</v>
    <v>309.60000000000002</v>
    <v>310.11</v>
    <v>308.74</v>
    <v>309.16000000000003</v>
    <v>303.92</v>
    <v>302.19</v>
    <v>310.20999999999998</v>
    <v>309.05</v>
    <v>314</v>
    <v>320.38</v>
    <v>314.26</v>
    <v>319.04000000000002</v>
    <v>320.99</v>
    <v>314.54000000000002</v>
    <v>317.61</v>
    <v>341.91</v>
    <v>342.74</v>
    <v>346.11</v>
    <v>350.51</v>
    <v>343.73</v>
    <v>347.42</v>
    <v>345.28</v>
    <v>341.92</v>
    <v>346.92</v>
    <v>347.44</v>
    <v>352.86</v>
    <v>356.27</v>
    <v>350.29</v>
    <v>347.2</v>
    <v>349.68</v>
    <v>350</v>
    <v>347.1</v>
    <v>352.49</v>
    <v>355.47</v>
    <v>360.64</v>
    <v>365.38</v>
    <v>354.81</v>
    <v>357</v>
    <v>361.56</v>
    <v>362.89</v>
    <v>363.41</v>
    <v>371.48</v>
    <v>367.14</v>
    <v>372.36</v>
    <v>379.25</v>
    <v>388.65</v>
    <v>387.02</v>
    <v>387.31</v>
    <v>388.5</v>
    <v>388.62</v>
    <v>391.85</v>
    <v>393.91</v>
    <v>391.19</v>
    <v>395.93</v>
    <v>390.41</v>
    <v>399</v>
    <v>400.5</v>
    <v>392.15</v>
    <v>382.9</v>
    <v>377.64</v>
    <v>373.14</v>
    <v>373.12</v>
    <v>374.24</v>
    <v>368.84</v>
    <v>367.41</v>
    <v>367.41</v>
    <v>370.29</v>
    <v>379.33</v>
    <v>375.3</v>
    <v>382.03</v>
    <v>400.56</v>
    <v>397</v>
    <v>388.25</v>
    <v>385.18</v>
    <v>395.07</v>
    <v>398.47</v>
    <v>405.47</v>
    <v>405.55</v>
    <v>408.49</v>
    <v>417.61</v>
    <v>416.63</v>
    <v>414.69</v>
    <v>418.92</v>
    <v>421.35</v>
    <v>415.05</v>
    <v>417.63</v>
    <v>419.82</v>
    <v>426.8</v>
    <v>423.52</v>
    <v>423.2</v>
    <v>427.92</v>
    <v>421.42</v>
    <v>414.54</v>
    <v>417.17</v>
    <v>418.29</v>
    <v>405.32</v>
    <v>402.69</v>
    <v>407.22</v>
    <v>407.5</v>
    <v>408.85</v>
    <v>408.98</v>
    <v>408.94</v>
    <v>415.59</v>
    <v>413.59</v>
    <v>405.3</v>
    <v>415.17</v>
    <v>422.12</v>
    <v>419.98</v>
    <v>417.22</v>
    <v>426.43</v>
    <v>415.42</v>
    <v>412.43</v>
    <v>411.23</v>
    <v>405.21</v>
    <v>397.61</v>
    <v>405.46</v>
    <v>408.85</v>
    <v>406.95</v>
    <v>410.13</v>
    <v>407.6</v>
    <v>416.88</v>
    <v>426.05</v>
    <v>430.54</v>
    <v>430.91</v>
    <v>440.08</v>
    <v>425.89</v>
    <v>423.03</v>
    <v>417</v>
    <v>427.37</v>
    <v>429.48</v>
    <v>412.27</v>
    <v>410.67</v>
    <v>424.66</v>
    <v>426.15</v>
    <v>417.16</v>
    <v>418.58</v>
    <v>405</v>
    <v>397.27</v>
    <v>376.98</v>
    <v>383.02</v>
    <v>376.5</v>
    <v>385.56</v>
    <v>388.15</v>
    <v>383.93</v>
    <v>395.54</v>
    <v>396.48</v>
    <v>406.51</v>
    <v>403.47</v>
    <v>408.13</v>
    <v>402.69</v>
    <v>413.08</v>
    <v>410.86</v>
    <v>422.76</v>
    <v>419.25</v>
    <v>416.41</v>
    <v>416.45</v>
    <v>413.51</v>
    <v>423.8</v>
    <v>403.4</v>
    <v>402.34</v>
    <v>402.28</v>
    <v>402.11</v>
    <v>395.08</v>
    <v>396.84</v>
    <v>399.85</v>
    <v>403.89</v>
    <v>411.3</v>
    <v>418.29</v>
    <v>420.3</v>
    <v>425.29</v>
    <v>438.55</v>
    <v>436.98</v>
    <v>442.08</v>
    <v>438.5</v>
    <v>438.13</v>
    <v>444.31</v>
    <v>444.59</v>
    <v>449.75</v>
    <v>448.4</v>
    <v>445.36</v>
    <v>447.89</v>
    <v>454.48</v>
    <v>466.21</v>
    <v>460.46</v>
    <v>467.48</v>
    <v>459.52</v>
    <v>470.25</v>
    <v>480.93</v>
    <v>471.54</v>
    <v>462.43</v>
    <v>472.55</v>
    <v>471.16</v>
    <v>468.16</v>
    <v>460.56</v>
    <v>458.85</v>
    <v>458.62</v>
    <v>417.2</v>
    <v>421.05</v>
    <v>418.93</v>
    <v>422.16</v>
    <v>422.23</v>
    <v>422.26</v>
    <v>425.18</v>
    <v>434.31</v>
    <v>450.65</v>
    <v>448.65</v>
    <v>450.85</v>
    <v>455.2</v>
    <v>453.04</v>
    <v>454.83</v>
    <v>450.58</v>
    <v>445.34</v>
    <v>439.13</v>
    <v>435.09</v>
    <v>431.73</v>
    <v>441.52</v>
    <v>449.65</v>
    <v>469.68</v>
    <v>461.22</v>
    <v>457.59</v>
    <v>456.7</v>
    <v>453.28</v>
    <v>444.43</v>
    <v>438.24</v>
    <v>436.27</v>
    <v>440.01</v>
    <v>430.94</v>
    <v>425.22</v>
    <v>427.06</v>
    <v>423.76</v>
    <v>420.03</v>
    <v>416.24</v>
    <v>404.63</v>
    <v>384.09</v>
    <v>377.88</v>
    <v>378.27</v>
    <v>376.54</v>
    <v>376.45</v>
    <v>378.21</v>
    <v>371.99</v>
    <v>368.67</v>
    <v>368.84</v>
  </a>
  <a r="1" c="502">
    <v>151.57</v>
    <v>152.22999999999999</v>
    <v>150.34</v>
    <v>153.91999999999999</v>
    <v>152.04</v>
    <v>151.88999999999999</v>
    <v>150.66</v>
    <v>149.81</v>
    <v>150.88</v>
    <v>150.44</v>
    <v>146.41</v>
    <v>142.41999999999999</v>
    <v>142.97</v>
    <v>141.05000000000001</v>
    <v>141.82</v>
    <v>141.72</v>
    <v>141.15</v>
    <v>140.57</v>
    <v>141.01</v>
    <v>142.38</v>
    <v>143.19</v>
    <v>142.16999999999999</v>
    <v>142.61000000000001</v>
    <v>141.4</v>
    <v>140.02000000000001</v>
    <v>138.57</v>
    <v>137.05000000000001</v>
    <v>138.26</v>
    <v>140.07</v>
    <v>139.28</v>
    <v>138.96</v>
    <v>137.13999999999999</v>
    <v>140.01</v>
    <v>139.91</v>
    <v>140.5</v>
    <v>140.05000000000001</v>
    <v>139.26</v>
    <v>139.13999999999999</v>
    <v>137.56</v>
    <v>137.66</v>
    <v>139.93</v>
    <v>140.94999999999999</v>
    <v>140.35</v>
    <v>137.56</v>
    <v>137.58000000000001</v>
    <v>136.57</v>
    <v>137.19</v>
    <v>138.13999999999999</v>
    <v>139.85</v>
    <v>141.83000000000001</v>
    <v>142.88999999999999</v>
    <v>142.93</v>
    <v>145.13</v>
    <v>144.08000000000001</v>
    <v>143.99</v>
    <v>143.79</v>
    <v>146.72</v>
    <v>145.94999999999999</v>
    <v>146.36000000000001</v>
    <v>146.81</v>
    <v>147.44999999999999</v>
    <v>148.69</v>
    <v>149.51</v>
    <v>150.22999999999999</v>
    <v>151.26</v>
    <v>152.22</v>
    <v>150.96</v>
    <v>150.66</v>
    <v>151.07</v>
    <v>151.77000000000001</v>
    <v>151</v>
    <v>151.05000000000001</v>
    <v>151.21</v>
    <v>151.24</v>
    <v>150.85</v>
    <v>156.07</v>
    <v>156.35</v>
    <v>156.38999999999999</v>
    <v>154.58000000000001</v>
    <v>156.47</v>
    <v>156.38</v>
    <v>156.57</v>
    <v>156.43</v>
    <v>156.22999999999999</v>
    <v>155.51</v>
    <v>156.03</v>
    <v>155.30000000000001</v>
    <v>153.71</v>
    <v>154.03</v>
    <v>154.38999999999999</v>
    <v>155.96</v>
    <v>156.01</v>
    <v>155.74</v>
    <v>155.08000000000001</v>
    <v>152.53</v>
    <v>153.16999999999999</v>
    <v>149.16</v>
    <v>147.55000000000001</v>
    <v>146.33000000000001</v>
    <v>145.38999999999999</v>
    <v>145.4</v>
    <v>143.18</v>
    <v>142.5</v>
    <v>143.96</v>
    <v>146.52000000000001</v>
    <v>145.94</v>
    <v>144.49</v>
    <v>144.80000000000001</v>
    <v>146.44</v>
    <v>146.56</v>
    <v>145.41</v>
    <v>145.06</v>
    <v>146.41999999999999</v>
    <v>148.44999999999999</v>
    <v>149.54</v>
    <v>148.16</v>
    <v>149.44</v>
    <v>149.94999999999999</v>
    <v>148.46</v>
    <v>148.61000000000001</v>
    <v>150.02000000000001</v>
    <v>149.99</v>
    <v>149.38</v>
    <v>151.74</v>
    <v>152.5</v>
    <v>152.24</v>
    <v>151.99</v>
    <v>148.80000000000001</v>
    <v>148.86000000000001</v>
    <v>148.08000000000001</v>
    <v>148.85</v>
    <v>148.94999999999999</v>
    <v>150.05000000000001</v>
    <v>148.99</v>
    <v>149.27000000000001</v>
    <v>150.29</v>
    <v>150.56</v>
    <v>152.93</v>
    <v>153.41999999999999</v>
    <v>153.78</v>
    <v>153.94</v>
    <v>152.11000000000001</v>
    <v>156.41</v>
    <v>156.30000000000001</v>
    <v>156.25</v>
    <v>156.59</v>
    <v>157</v>
    <v>155.28</v>
    <v>156.91999999999999</v>
    <v>157.09</v>
    <v>156.88999999999999</v>
    <v>156.11000000000001</v>
    <v>157.02000000000001</v>
    <v>155.79</v>
    <v>154.79</v>
    <v>153.21</v>
    <v>152.11000000000001</v>
    <v>152.54</v>
    <v>151.77000000000001</v>
    <v>151.83000000000001</v>
    <v>153.25</v>
    <v>152.54</v>
    <v>153.54</v>
    <v>153.78</v>
    <v>153.87</v>
    <v>154.04</v>
    <v>154.34</v>
    <v>154.51</v>
    <v>152.44</v>
    <v>152.13999999999999</v>
    <v>153.59</v>
    <v>152.93</v>
    <v>154.75</v>
    <v>152.03</v>
    <v>153.09</v>
    <v>154.77000000000001</v>
    <v>153.47</v>
    <v>154.05000000000001</v>
    <v>153.6</v>
    <v>153.47</v>
    <v>152.13999999999999</v>
    <v>151.58000000000001</v>
    <v>150.66</v>
    <v>149.32</v>
    <v>147.34</v>
    <v>146.34</v>
    <v>145.86000000000001</v>
    <v>145.19</v>
    <v>145.49</v>
    <v>145.97</v>
    <v>143.80000000000001</v>
    <v>144.09</v>
    <v>143.36000000000001</v>
    <v>144.78</v>
    <v>143</v>
    <v>143.32</v>
    <v>144.69</v>
    <v>146.07</v>
    <v>146.26</v>
    <v>150.03</v>
    <v>148.25</v>
    <v>148.05000000000001</v>
    <v>148.15</v>
    <v>149.9</v>
    <v>150.6</v>
    <v>149.80000000000001</v>
    <v>147.16</v>
    <v>149.26</v>
    <v>150.03</v>
    <v>149.61000000000001</v>
    <v>151.44</v>
    <v>150.07</v>
    <v>150.94</v>
    <v>150.59</v>
    <v>150.01</v>
    <v>150.35</v>
    <v>151.41</v>
    <v>152.46</v>
    <v>152.12</v>
    <v>151.41999999999999</v>
    <v>152.83000000000001</v>
    <v>151.07</v>
    <v>150.27000000000001</v>
    <v>149.61000000000001</v>
    <v>151.02000000000001</v>
    <v>151.38</v>
    <v>151.24</v>
    <v>152.29</v>
    <v>151.13</v>
    <v>153.52000000000001</v>
    <v>152.66</v>
    <v>152.06</v>
    <v>146.76</v>
    <v>146.65</v>
    <v>146.5</v>
    <v>145.15</v>
    <v>145.82</v>
    <v>145.94</v>
    <v>148.58000000000001</v>
    <v>144.66</v>
    <v>143.96</v>
    <v>146.16999999999999</v>
    <v>146.16999999999999</v>
    <v>143.91</v>
    <v>144.26</v>
    <v>145.28</v>
    <v>145.94</v>
    <v>146.06</v>
    <v>145.72999999999999</v>
    <v>146.54</v>
    <v>148.74</v>
    <v>147.84</v>
    <v>148.65</v>
    <v>147.41999999999999</v>
    <v>148.69</v>
    <v>149.30000000000001</v>
    <v>149.94</v>
    <v>150.51</v>
    <v>150.6</v>
    <v>149.79</v>
    <v>149.94</v>
    <v>148.13999999999999</v>
    <v>147.57</v>
    <v>147.86000000000001</v>
    <v>153.97999999999999</v>
    <v>152.12</v>
    <v>155.62</v>
    <v>156.13999999999999</v>
    <v>156.16</v>
    <v>157.49</v>
    <v>157.13999999999999</v>
    <v>159.18</v>
    <v>158.09</v>
    <v>158.21</v>
    <v>158.96</v>
    <v>159.12</v>
    <v>158.63999999999999</v>
    <v>157.41999999999999</v>
    <v>157.11000000000001</v>
    <v>156.27000000000001</v>
    <v>155.63</v>
    <v>157.01</v>
    <v>157.51</v>
    <v>158.51</v>
    <v>160.4</v>
    <v>160.56</v>
    <v>161.03</v>
    <v>160.22</v>
    <v>159.30000000000001</v>
    <v>160.05000000000001</v>
    <v>158.94</v>
    <v>158.85</v>
    <v>159.56</v>
    <v>159.32</v>
    <v>159.57</v>
    <v>160.62</v>
    <v>160.35</v>
    <v>161.55000000000001</v>
    <v>161.93</v>
    <v>162.30000000000001</v>
    <v>161.5</v>
    <v>161.38</v>
    <v>161.21</v>
    <v>161.83000000000001</v>
    <v>161.99</v>
    <v>161.86000000000001</v>
    <v>161.66</v>
    <v>160.19</v>
    <v>160.55000000000001</v>
    <v>162.61000000000001</v>
    <v>162.25</v>
    <v>160.58000000000001</v>
    <v>160.57</v>
    <v>156.15</v>
    <v>155.44999999999999</v>
    <v>156.1</v>
    <v>156.04</v>
    <v>156.66</v>
    <v>157.24</v>
    <v>155.84</v>
    <v>155.33000000000001</v>
    <v>155.44999999999999</v>
    <v>155.94999999999999</v>
    <v>156.96</v>
    <v>157.29</v>
    <v>158.13999999999999</v>
    <v>160.54</v>
    <v>161.5</v>
    <v>162.6</v>
    <v>162.55000000000001</v>
    <v>161.29</v>
    <v>161.66</v>
    <v>163.19999999999999</v>
    <v>163.4</v>
    <v>163.84</v>
    <v>164.46</v>
    <v>164.44</v>
    <v>165.76</v>
    <v>165.07</v>
    <v>166.04</v>
    <v>166.85</v>
    <v>165.87</v>
    <v>165.76</v>
    <v>166.51</v>
    <v>167.86</v>
    <v>167.64</v>
    <v>167.31</v>
    <v>168.35</v>
    <v>167.81</v>
    <v>165.49</v>
    <v>165.33</v>
    <v>163.11000000000001</v>
    <v>161.65</v>
    <v>162.58000000000001</v>
    <v>164.54</v>
    <v>164.65</v>
    <v>167.01</v>
    <v>166.05</v>
    <v>168.47</v>
    <v>167.06</v>
    <v>167.35</v>
    <v>167.48</v>
    <v>165.18</v>
    <v>166.41</v>
    <v>166.79</v>
    <v>167.5</v>
    <v>168.56</v>
    <v>167.67</v>
    <v>168.26</v>
    <v>168.45</v>
    <v>166.85</v>
    <v>167.45</v>
    <v>166.62</v>
    <v>164.92</v>
    <v>162.72</v>
    <v>163.9</v>
    <v>163.83000000000001</v>
    <v>165.21</v>
    <v>166.52</v>
    <v>165.66</v>
    <v>166.8</v>
    <v>165.54</v>
    <v>166.61</v>
    <v>164.58</v>
    <v>166.95</v>
    <v>169.44</v>
    <v>168.44</v>
    <v>167.96</v>
    <v>168.25</v>
    <v>166.62</v>
    <v>168</v>
    <v>166.9</v>
    <v>169.11</v>
    <v>169.93</v>
    <v>161.69999999999999</v>
    <v>160.76</v>
    <v>165.69</v>
    <v>170.08</v>
    <v>168.06</v>
    <v>168.09</v>
    <v>170.02</v>
    <v>170.87</v>
    <v>170.54</v>
    <v>166.81</v>
    <v>167.29</v>
    <v>168.8</v>
    <v>167.92</v>
    <v>167.89</v>
    <v>168.42</v>
    <v>170.41</v>
    <v>170.16</v>
    <v>170.15</v>
    <v>169.17</v>
    <v>170.35</v>
    <v>169.25</v>
    <v>169.06</v>
    <v>170.03</v>
    <v>171.54</v>
    <v>174.52</v>
    <v>175.9</v>
    <v>175.47</v>
    <v>175.59</v>
    <v>176.06</v>
    <v>177.79</v>
    <v>173.92</v>
    <v>173.47</v>
    <v>174.08</v>
    <v>177.24</v>
    <v>175.88</v>
    <v>173.92</v>
    <v>171.54</v>
    <v>174.22</v>
    <v>173.77</v>
    <v>173.24</v>
    <v>172.26</v>
    <v>173.21</v>
    <v>173.55</v>
    <v>173.2</v>
    <v>173.04</v>
    <v>171.92</v>
    <v>170.12</v>
    <v>168.88</v>
    <v>167.12</v>
    <v>168.16</v>
    <v>169.27</v>
    <v>168.95</v>
    <v>171.09</v>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v>170.63</v>
    <v>170.85</v>
    <v>171.06</v>
    <v>171.14</v>
    <v>170.33</v>
    <v>169.08</v>
    <v>169.19</v>
    <v>168.06</v>
    <v>168.11</v>
    <v>168.94</v>
    <v>170.16</v>
    <v>169.53</v>
    <v>167.09</v>
    <v>167.65</v>
  </a>
  <a r="1" c="502">
    <v>30.88</v>
    <v>31.28</v>
    <v>30.91</v>
    <v>32.200000000000003</v>
    <v>32.14</v>
    <v>32.4</v>
    <v>32.450000000000003</v>
    <v>32.49</v>
    <v>32.42</v>
    <v>32.6</v>
    <v>32.229999999999997</v>
    <v>31.55</v>
    <v>32.01</v>
    <v>32.049999999999997</v>
    <v>31.86</v>
    <v>31.05</v>
    <v>30.15</v>
    <v>30.08</v>
    <v>29.88</v>
    <v>30.92</v>
    <v>31.59</v>
    <v>32.64</v>
    <v>32.270000000000003</v>
    <v>32.049999999999997</v>
    <v>32.29</v>
    <v>31.95</v>
    <v>31.13</v>
    <v>31.57</v>
    <v>31.63</v>
    <v>31.44</v>
    <v>31.67</v>
    <v>31.11</v>
    <v>31.21</v>
    <v>30.59</v>
    <v>29.99</v>
    <v>30.65</v>
    <v>30.75</v>
    <v>30.77</v>
    <v>30.49</v>
    <v>30.86</v>
    <v>31.28</v>
    <v>31.15</v>
    <v>30.54</v>
    <v>29.69</v>
    <v>30.27</v>
    <v>29.76</v>
    <v>29.49</v>
    <v>29.06</v>
    <v>29.26</v>
    <v>28.98</v>
    <v>29.33</v>
    <v>28.91</v>
    <v>29.18</v>
    <v>29.32</v>
    <v>28.29</v>
    <v>28.08</v>
    <v>28.25</v>
    <v>28.75</v>
    <v>29.11</v>
    <v>29.59</v>
    <v>29.5</v>
    <v>29.94</v>
    <v>29.85</v>
    <v>29.51</v>
    <v>29.29</v>
    <v>30.02</v>
    <v>29.99</v>
    <v>30.31</v>
    <v>30.16</v>
    <v>30.42</v>
    <v>30.46</v>
    <v>30.45</v>
    <v>30.41</v>
    <v>30.56</v>
    <v>30.81</v>
    <v>31.82</v>
    <v>31.38</v>
    <v>30.9</v>
    <v>30.14</v>
    <v>30.39</v>
    <v>30.64</v>
    <v>31.3</v>
    <v>31.07</v>
    <v>30.93</v>
    <v>31.31</v>
    <v>31.86</v>
    <v>31.88</v>
    <v>32.020000000000003</v>
    <v>31.81</v>
    <v>31.79</v>
    <v>31.82</v>
    <v>32.01</v>
    <v>31.68</v>
    <v>31.95</v>
    <v>32.39</v>
    <v>32.31</v>
    <v>31.9</v>
    <v>31.61</v>
    <v>30.89</v>
    <v>30.92</v>
    <v>30.81</v>
    <v>30.97</v>
    <v>30.67</v>
    <v>31.38</v>
    <v>31.92</v>
    <v>32.130000000000003</v>
    <v>31.94</v>
    <v>32.58</v>
    <v>32.56</v>
    <v>32.31</v>
    <v>32.4</v>
    <v>32.659999999999997</v>
    <v>33.090000000000003</v>
    <v>33.56</v>
    <v>33.21</v>
    <v>32.909999999999997</v>
    <v>33.130000000000003</v>
    <v>33.11</v>
    <v>32.74</v>
    <v>33.11</v>
    <v>33.47</v>
    <v>33.590000000000003</v>
    <v>33.869999999999997</v>
    <v>34.1</v>
    <v>34.340000000000003</v>
    <v>33.869999999999997</v>
    <v>33.46</v>
    <v>33.299999999999997</v>
    <v>33.61</v>
    <v>33.770000000000003</v>
    <v>33.53</v>
    <v>33.72</v>
    <v>33.630000000000003</v>
    <v>33.22</v>
    <v>33.75</v>
    <v>33.799999999999997</v>
    <v>33.71</v>
    <v>32.46</v>
    <v>32.520000000000003</v>
    <v>33.17</v>
    <v>32.950000000000003</v>
    <v>33.03</v>
    <v>33.799999999999997</v>
    <v>33.32</v>
    <v>33.31</v>
    <v>32.96</v>
    <v>32.909999999999997</v>
    <v>31.52</v>
    <v>31.78</v>
    <v>31.31</v>
    <v>31.11</v>
    <v>30.92</v>
    <v>30.75</v>
    <v>30.82</v>
    <v>30.28</v>
    <v>30.19</v>
    <v>30.27</v>
    <v>30.87</v>
    <v>30.71</v>
    <v>30.51</v>
    <v>31</v>
    <v>30.56</v>
    <v>30.91</v>
    <v>30.86</v>
    <v>30.75</v>
    <v>30.73</v>
    <v>30.2</v>
    <v>30.63</v>
    <v>29.92</v>
    <v>29.73</v>
    <v>29.49</v>
    <v>29.95</v>
    <v>30.18</v>
    <v>30.59</v>
    <v>30.5</v>
    <v>31.04</v>
    <v>30.85</v>
    <v>31.1</v>
    <v>30.91</v>
    <v>31.31</v>
    <v>31.02</v>
    <v>31.2</v>
    <v>31.15</v>
    <v>30.62</v>
    <v>30.28</v>
    <v>30.57</v>
    <v>30.75</v>
    <v>30.54</v>
    <v>30.77</v>
    <v>30.85</v>
    <v>30.41</v>
    <v>30.91</v>
    <v>31.08</v>
    <v>31.54</v>
    <v>31.61</v>
    <v>31.16</v>
    <v>31.14</v>
    <v>31.41</v>
    <v>31.37</v>
    <v>30.67</v>
    <v>30.54</v>
    <v>30.76</v>
    <v>30.16</v>
    <v>29.68</v>
    <v>29.6</v>
    <v>29.59</v>
    <v>29.24</v>
    <v>29.4</v>
    <v>29.85</v>
    <v>29.57</v>
    <v>30.39</v>
    <v>30.4</v>
    <v>30.38</v>
    <v>30.35</v>
    <v>30.37</v>
    <v>30.17</v>
    <v>30.7</v>
    <v>30.45</v>
    <v>31.11</v>
    <v>30.99</v>
    <v>31.33</v>
    <v>31.62</v>
    <v>32.06</v>
    <v>32.25</v>
    <v>32.549999999999997</v>
    <v>32.64</v>
    <v>31.94</v>
    <v>32.049999999999997</v>
    <v>31.73</v>
    <v>32.299999999999997</v>
    <v>33.4</v>
    <v>33.659999999999997</v>
    <v>33.29</v>
    <v>33.520000000000003</v>
    <v>33.5</v>
    <v>32.96</v>
    <v>33.200000000000003</v>
    <v>33.22</v>
    <v>33.24</v>
    <v>33.840000000000003</v>
    <v>34</v>
    <v>34.33</v>
    <v>34.58</v>
    <v>34.36</v>
    <v>34.46</v>
    <v>34.630000000000003</v>
    <v>34.950000000000003</v>
    <v>34.65</v>
    <v>34.74</v>
    <v>34.67</v>
    <v>34.619999999999997</v>
    <v>34.659999999999997</v>
    <v>34.72</v>
    <v>34.619999999999997</v>
    <v>34.69</v>
    <v>34.61</v>
    <v>34.700000000000003</v>
    <v>34.57</v>
    <v>34.86</v>
    <v>34.74</v>
    <v>34.39</v>
    <v>34.450000000000003</v>
    <v>34.549999999999997</v>
    <v>34.75</v>
    <v>34.89</v>
    <v>34.39</v>
    <v>35</v>
    <v>35.39</v>
    <v>35.590000000000003</v>
    <v>35.85</v>
    <v>35.700000000000003</v>
    <v>36.28</v>
    <v>36.53</v>
    <v>36.729999999999997</v>
    <v>37.020000000000003</v>
    <v>36.99</v>
    <v>37.07</v>
    <v>36.89</v>
    <v>36.869999999999997</v>
    <v>36.61</v>
    <v>37</v>
    <v>37</v>
    <v>36.72</v>
    <v>36.86</v>
    <v>37.1</v>
    <v>37.89</v>
    <v>38.33</v>
    <v>38.18</v>
    <v>37.96</v>
    <v>37.68</v>
    <v>37.94</v>
    <v>38.229999999999997</v>
    <v>38.380000000000003</v>
    <v>38.25</v>
    <v>38.090000000000003</v>
    <v>37.92</v>
    <v>38.19</v>
    <v>38.04</v>
    <v>37.82</v>
    <v>37.78</v>
    <v>37.03</v>
    <v>36.97</v>
    <v>37.31</v>
    <v>36.979999999999997</v>
    <v>37.61</v>
    <v>37.869999999999997</v>
    <v>37.35</v>
    <v>36.840000000000003</v>
    <v>36.130000000000003</v>
    <v>36.840000000000003</v>
    <v>37.07</v>
    <v>36.78</v>
    <v>36.51</v>
    <v>36.42</v>
    <v>36.119999999999997</v>
    <v>36.299999999999997</v>
    <v>36.049999999999997</v>
    <v>35.950000000000003</v>
    <v>35.409999999999997</v>
    <v>35.43</v>
    <v>35.340000000000003</v>
    <v>35.14</v>
    <v>34.840000000000003</v>
    <v>34.159999999999997</v>
    <v>34.39</v>
    <v>34.340000000000003</v>
    <v>34.619999999999997</v>
    <v>34.72</v>
    <v>33.67</v>
    <v>34.03</v>
    <v>33.99</v>
    <v>33.950000000000003</v>
    <v>33.22</v>
    <v>33.200000000000003</v>
    <v>33.57</v>
    <v>33.85</v>
    <v>33.68</v>
    <v>33.96</v>
    <v>34.22</v>
    <v>34.5</v>
    <v>34.380000000000003</v>
    <v>34.520000000000003</v>
    <v>33.93</v>
    <v>33.840000000000003</v>
    <v>33.93</v>
    <v>33.520000000000003</v>
    <v>33.409999999999997</v>
    <v>33.07</v>
    <v>34.01</v>
    <v>33.5</v>
    <v>33.78</v>
    <v>33.479999999999997</v>
    <v>33.24</v>
    <v>33.299999999999997</v>
    <v>33.75</v>
    <v>33.18</v>
    <v>32.770000000000003</v>
    <v>33.049999999999997</v>
    <v>32.99</v>
    <v>32.75</v>
    <v>32.93</v>
    <v>32.67</v>
    <v>32.76</v>
    <v>32.53</v>
    <v>32.18</v>
    <v>32.61</v>
    <v>33.03</v>
    <v>33.31</v>
    <v>33.409999999999997</v>
    <v>33.21</v>
    <v>32.71</v>
    <v>33.01</v>
    <v>33.03</v>
    <v>33.450000000000003</v>
    <v>33.590000000000003</v>
    <v>33.76</v>
    <v>33.549999999999997</v>
    <v>33.299999999999997</v>
    <v>33.39</v>
    <v>32.479999999999997</v>
    <v>32.92</v>
    <v>33.74</v>
    <v>33.79</v>
    <v>34.6</v>
    <v>35.33</v>
    <v>35.450000000000003</v>
    <v>35.020000000000003</v>
    <v>34.69</v>
    <v>34.51</v>
    <v>33.64</v>
    <v>33.200000000000003</v>
    <v>33.6</v>
    <v>34.32</v>
    <v>34.4</v>
    <v>35.020000000000003</v>
    <v>35.1</v>
    <v>34.770000000000003</v>
    <v>34.08</v>
    <v>33</v>
    <v>33.86</v>
    <v>33.619999999999997</v>
    <v>34.25</v>
    <v>34</v>
    <v>33.5</v>
    <v>33.22</v>
    <v>33.36</v>
    <v>33.630000000000003</v>
    <v>33.42</v>
    <v>33.64</v>
    <v>33.58</v>
    <v>33.79</v>
    <v>33.229999999999997</v>
    <v>33.69</v>
    <v>33.67</v>
    <v>33.58</v>
    <v>33.72</v>
    <v>33.94</v>
    <v>34.270000000000003</v>
    <v>34.58</v>
    <v>34.86</v>
    <v>34.020000000000003</v>
    <v>33.369999999999997</v>
    <v>33.76</v>
    <v>33.51</v>
    <v>33.299999999999997</v>
    <v>33.450000000000003</v>
    <v>33.520000000000003</v>
    <v>33.81</v>
    <v>34.07</v>
    <v>34.049999999999997</v>
    <v>34.799999999999997</v>
    <v>34.93</v>
    <v>34.020000000000003</v>
    <v>34.14</v>
    <v>33.520000000000003</v>
    <v>33.9</v>
    <v>34.53</v>
    <v>34.53</v>
    <v>34.520000000000003</v>
    <v>34.17</v>
    <v>34.119999999999997</v>
    <v>34.49</v>
    <v>33.65</v>
    <v>33.869999999999997</v>
    <v>34.26</v>
    <v>34.53</v>
    <v>34.96</v>
    <v>35.29</v>
    <v>35.5</v>
    <v>35.47</v>
    <v>33.090000000000003</v>
    <v>34.119999999999997</v>
    <v>33.659999999999997</v>
    <v>33.85</v>
    <v>33.590000000000003</v>
    <v>33.1</v>
    <v>33.270000000000003</v>
    <v>33.26</v>
    <v>33.25</v>
    <v>33.54</v>
    <v>33.64</v>
    <v>33.39</v>
    <v>33.36</v>
    <v>34.020000000000003</v>
    <v>36.880000000000003</v>
    <v>35.56</v>
    <v>36</v>
    <v>36.520000000000003</v>
    <v>36.130000000000003</v>
    <v>36.479999999999997</v>
    <v>35.630000000000003</v>
    <v>35.130000000000003</v>
    <v>34.97</v>
    <v>34.6</v>
    <v>34.57</v>
    <v>35.340000000000003</v>
    <v>35.78</v>
    <v>36.619999999999997</v>
    <v>36.69</v>
    <v>36.58</v>
    <v>36.549999999999997</v>
    <v>36.340000000000003</v>
    <v>36</v>
    <v>35.299999999999997</v>
    <v>34.619999999999997</v>
    <v>34.450000000000003</v>
    <v>33.97</v>
    <v>34.17</v>
    <v>33.61</v>
    <v>33.68</v>
    <v>33.24</v>
    <v>32.94</v>
    <v>32.93</v>
    <v>32.08</v>
    <v>31.58</v>
    <v>31.85</v>
    <v>32.22</v>
    <v>32.57</v>
    <v>32.520000000000003</v>
    <v>32.46</v>
    <v>32.15</v>
    <v>32.270000000000003</v>
  </a>
  <a r="1" c="502">
    <v>185.58</v>
    <v>191.32</v>
    <v>187.29</v>
    <v>191.75</v>
    <v>190.85</v>
    <v>201.52</v>
    <v>200.69</v>
    <v>200.23</v>
    <v>202.03</v>
    <v>199.88</v>
    <v>195.14</v>
    <v>199.17</v>
    <v>205.11</v>
    <v>206.85</v>
    <v>204.82</v>
    <v>205</v>
    <v>204.92</v>
    <v>206.1</v>
    <v>203.23</v>
    <v>206.51</v>
    <v>214.49</v>
    <v>220.86</v>
    <v>219.03</v>
    <v>214.64</v>
    <v>217.01</v>
    <v>215.85</v>
    <v>192.34</v>
    <v>192.87</v>
    <v>196.32</v>
    <v>194.84</v>
    <v>198.13</v>
    <v>191.68</v>
    <v>189.66</v>
    <v>185.01</v>
    <v>185.28</v>
    <v>187.85</v>
    <v>186.13</v>
    <v>188.33</v>
    <v>188.03</v>
    <v>188.52</v>
    <v>188.38</v>
    <v>189.95</v>
    <v>186.16</v>
    <v>181.69</v>
    <v>180.29</v>
    <v>182.52</v>
    <v>177.5</v>
    <v>178.6</v>
    <v>178.54</v>
    <v>176.39</v>
    <v>178.72</v>
    <v>176.56</v>
    <v>181.26</v>
    <v>184.49</v>
    <v>181.44</v>
    <v>181.42</v>
    <v>185.2</v>
    <v>186.32</v>
    <v>185.31</v>
    <v>187.46</v>
    <v>188.8</v>
    <v>191.28</v>
    <v>190.52</v>
    <v>191.27</v>
    <v>192.25</v>
    <v>193.1</v>
    <v>192.24</v>
    <v>195.36</v>
    <v>193.51</v>
    <v>195.12</v>
    <v>186.53</v>
    <v>188.14</v>
    <v>183.77</v>
    <v>186.75</v>
    <v>185.44</v>
    <v>187.07</v>
    <v>187.5</v>
    <v>181.84</v>
    <v>182.85</v>
    <v>185.85</v>
    <v>188.55</v>
    <v>192.11</v>
    <v>190.05</v>
    <v>187.68</v>
    <v>188.88</v>
    <v>189.18</v>
    <v>188.98</v>
    <v>187.12</v>
    <v>189.39</v>
    <v>208</v>
    <v>210.85</v>
    <v>210.83</v>
    <v>207.93</v>
    <v>205.82</v>
    <v>206.77</v>
    <v>205.7</v>
    <v>206.92</v>
    <v>201.88</v>
    <v>200.84</v>
    <v>201.21</v>
    <v>200.44</v>
    <v>199.55</v>
    <v>199.97</v>
    <v>202.42</v>
    <v>205.47</v>
    <v>206.05</v>
    <v>207.3</v>
    <v>207.93</v>
    <v>206.21</v>
    <v>206.98</v>
    <v>207.89</v>
    <v>207.59</v>
    <v>213.12</v>
    <v>213.53</v>
    <v>213.61</v>
    <v>213.59</v>
    <v>212.07</v>
    <v>212.23</v>
    <v>210.81</v>
    <v>212</v>
    <v>216.82</v>
    <v>216.89</v>
    <v>220.99</v>
    <v>224.98</v>
    <v>219.14</v>
    <v>218.92</v>
    <v>218.45</v>
    <v>217.85</v>
    <v>223.05</v>
    <v>224</v>
    <v>226.7</v>
    <v>228.74</v>
    <v>229.08</v>
    <v>228.35</v>
    <v>226.95</v>
    <v>227.44</v>
    <v>230.15</v>
    <v>232.09</v>
    <v>232.17</v>
    <v>233.02</v>
    <v>231.86</v>
    <v>229.78</v>
    <v>230.04</v>
    <v>225.55</v>
    <v>224.01</v>
    <v>227.8</v>
    <v>225.5</v>
    <v>226.01</v>
    <v>226.19</v>
    <v>225.24</v>
    <v>226.97</v>
    <v>227.23</v>
    <v>228</v>
    <v>229.14</v>
    <v>229.5</v>
    <v>227.27</v>
    <v>224.05</v>
    <v>223.87</v>
    <v>222.76</v>
    <v>223.33</v>
    <v>225.52</v>
    <v>224.57</v>
    <v>226.4</v>
    <v>227.83</v>
    <v>231.38</v>
    <v>232</v>
    <v>229.59</v>
    <v>230.87</v>
    <v>223.64</v>
    <v>223.79</v>
    <v>224.46</v>
    <v>222.75</v>
    <v>228.78</v>
    <v>226.86</v>
    <v>230.43</v>
    <v>229.9</v>
    <v>229.5</v>
    <v>228.08</v>
    <v>226.85</v>
    <v>225.27</v>
    <v>220.67</v>
    <v>223.94</v>
    <v>225.73</v>
    <v>223.23</v>
    <v>217.9</v>
    <v>222.19</v>
    <v>219.42</v>
    <v>215.5</v>
    <v>218.28</v>
    <v>222.56</v>
    <v>222.46</v>
    <v>224.23</v>
    <v>225.81</v>
    <v>227.52</v>
    <v>225</v>
    <v>219.69</v>
    <v>222.32</v>
    <v>224.04</v>
    <v>223.04</v>
    <v>221.94</v>
    <v>216.9</v>
    <v>217.05</v>
    <v>214.77</v>
    <v>217.21</v>
    <v>213</v>
    <v>209.4</v>
    <v>209.39</v>
    <v>209.1</v>
    <v>209.98</v>
    <v>212.95</v>
    <v>212.85</v>
    <v>217.23</v>
    <v>217.5</v>
    <v>218.23</v>
    <v>206.32</v>
    <v>200.73</v>
    <v>199.32</v>
    <v>202.23</v>
    <v>205.66</v>
    <v>203.53</v>
    <v>203.42</v>
    <v>200.23</v>
    <v>199.8</v>
    <v>201.19</v>
    <v>202.56</v>
    <v>203.19</v>
    <v>201.4</v>
    <v>197.83</v>
    <v>197.44</v>
    <v>200.94</v>
    <v>203.51</v>
    <v>199.27</v>
    <v>198.55</v>
    <v>199.29</v>
    <v>201.99</v>
    <v>200.5</v>
    <v>201.69</v>
    <v>201.58</v>
    <v>206.87</v>
    <v>210.45</v>
    <v>212.64</v>
    <v>215.54</v>
    <v>219.05</v>
    <v>214.95</v>
    <v>218.43</v>
    <v>219.79</v>
    <v>221.42</v>
    <v>223.34</v>
    <v>221.74</v>
    <v>219.85</v>
    <v>217.08</v>
    <v>213.53</v>
    <v>216</v>
    <v>215.93</v>
    <v>220.8</v>
    <v>221.98</v>
    <v>223.99</v>
    <v>222.62</v>
    <v>223.4</v>
    <v>221.27</v>
    <v>218.88</v>
    <v>220.47</v>
    <v>221.43</v>
    <v>220.06</v>
    <v>216.78</v>
    <v>214.85</v>
    <v>216.68</v>
    <v>216.09</v>
    <v>216.69</v>
    <v>218.17</v>
    <v>218.95</v>
    <v>223.61</v>
    <v>222.19</v>
    <v>219.9</v>
    <v>225.92</v>
    <v>225.87</v>
    <v>220.26</v>
    <v>224.27</v>
    <v>224.94</v>
    <v>224.52</v>
    <v>227.61</v>
    <v>233.05</v>
    <v>231.23</v>
    <v>229.25</v>
    <v>232.85</v>
    <v>236.03</v>
    <v>235.85</v>
    <v>233.71</v>
    <v>232.52</v>
    <v>231.34</v>
    <v>232.91</v>
    <v>232.77</v>
    <v>233.27</v>
    <v>228.38</v>
    <v>229.08</v>
    <v>233.02</v>
    <v>233.7</v>
    <v>233.84</v>
    <v>233.81</v>
    <v>233.79</v>
    <v>231.56</v>
    <v>230.05</v>
    <v>230</v>
    <v>230.14</v>
    <v>233.27</v>
    <v>227.09</v>
    <v>229</v>
    <v>220.67</v>
    <v>221.52</v>
    <v>225.52</v>
    <v>224.82</v>
    <v>221.03</v>
    <v>216.27</v>
    <v>216.65</v>
    <v>213.4</v>
    <v>213.48</v>
    <v>212.65</v>
    <v>214.72</v>
    <v>209.21</v>
    <v>206.28</v>
    <v>204</v>
    <v>201.21</v>
    <v>199.01</v>
    <v>200.24</v>
    <v>200.81</v>
    <v>199.51</v>
    <v>200.9</v>
    <v>205.99</v>
    <v>202.8</v>
    <v>201.54</v>
    <v>203.9</v>
    <v>205.42</v>
    <v>204.56</v>
    <v>205.04</v>
    <v>206.24</v>
    <v>207.82</v>
    <v>209.52</v>
    <v>212.87</v>
    <v>210.09</v>
    <v>225.99</v>
    <v>231.33</v>
    <v>232.56</v>
    <v>236</v>
    <v>235.46</v>
    <v>230.73</v>
    <v>232.69</v>
    <v>232.75</v>
    <v>230.6</v>
    <v>230.6</v>
    <v>226.81</v>
    <v>229.17</v>
    <v>223.39</v>
    <v>223.42</v>
    <v>223.22</v>
    <v>222.88</v>
    <v>228.37</v>
    <v>228.5</v>
    <v>229.91</v>
    <v>230.48</v>
    <v>226.85</v>
    <v>224.79</v>
    <v>225.44</v>
    <v>225.84</v>
    <v>221.05</v>
    <v>218.29</v>
    <v>216.12</v>
    <v>216.5</v>
    <v>219.31</v>
    <v>218.12</v>
    <v>216.56</v>
    <v>215.43</v>
    <v>216.09</v>
    <v>216.44</v>
    <v>219.54</v>
    <v>218.54</v>
    <v>218.34</v>
    <v>217.38</v>
    <v>220.05</v>
    <v>219.83</v>
    <v>213.51</v>
    <v>215.4</v>
    <v>217.84</v>
    <v>221.72</v>
    <v>220.5</v>
    <v>227.64</v>
    <v>228.71</v>
    <v>225.45</v>
    <v>224.29</v>
    <v>228.77</v>
    <v>231.7</v>
    <v>231.72</v>
    <v>227.56</v>
    <v>232.79</v>
    <v>236.32</v>
    <v>237.24</v>
    <v>238.76</v>
    <v>241.01</v>
    <v>242.6</v>
    <v>237.9</v>
    <v>239.18</v>
    <v>233.53</v>
    <v>239.68</v>
    <v>235.98</v>
    <v>233.94</v>
    <v>233.79</v>
    <v>232.79</v>
    <v>230.32</v>
    <v>232.34</v>
    <v>233.57</v>
    <v>233.27</v>
    <v>234.38</v>
    <v>234.14</v>
    <v>236.01</v>
    <v>235.07</v>
    <v>236.43</v>
    <v>237.07</v>
    <v>237.71</v>
    <v>241.1</v>
    <v>243.15</v>
    <v>240.41</v>
    <v>239.05</v>
    <v>239.82</v>
    <v>245.5</v>
    <v>247.17</v>
    <v>242.06</v>
    <v>246.48</v>
    <v>244.83</v>
    <v>243.73</v>
    <v>241.68</v>
    <v>238.38</v>
    <v>239.46</v>
    <v>236.98</v>
    <v>239.38</v>
    <v>238.24</v>
    <v>236.41</v>
    <v>236.75</v>
    <v>239.05</v>
    <v>242.54</v>
    <v>235.78</v>
    <v>234.73</v>
    <v>232.86</v>
    <v>231.02</v>
    <v>226.02</v>
    <v>227.22</v>
    <v>227.15</v>
    <v>226.16</v>
    <v>226.9</v>
    <v>228.21</v>
    <v>226.7</v>
    <v>225.99</v>
    <v>225</v>
    <v>225.65</v>
    <v>224.37</v>
    <v>221.55</v>
    <v>221.15</v>
    <v>227.24</v>
    <v>224.12</v>
    <v>224.01</v>
    <v>223.87</v>
    <v>224.39</v>
    <v>221.85</v>
    <v>225.18</v>
    <v>225.82</v>
    <v>227.44</v>
    <v>227.52</v>
    <v>215.5</v>
    <v>219.19</v>
    <v>221.86</v>
    <v>222.73</v>
    <v>222.27</v>
    <v>221.19</v>
    <v>220.12</v>
    <v>217.09</v>
    <v>212</v>
    <v>212.25</v>
    <v>215.77</v>
    <v>214.34</v>
    <v>216.12</v>
    <v>216.06</v>
    <v>217.47</v>
    <v>219.06</v>
    <v>218.86</v>
    <v>216.65</v>
    <v>217.25</v>
    <v>217.43</v>
    <v>215.89</v>
    <v>215.63</v>
    <v>214.22</v>
    <v>209.62</v>
    <v>216.41</v>
    <v>214.22</v>
    <v>211.03</v>
    <v>209.51</v>
    <v>207.01</v>
    <v>204.34</v>
    <v>207.49</v>
    <v>208</v>
    <v>208.68</v>
    <v>208.72</v>
    <v>207.98</v>
    <v>205.08</v>
    <v>205.56</v>
  </a>
  <a r="1" c="502">
    <v>74.03</v>
    <v>76.319999999999993</v>
    <v>75.73</v>
    <v>78.069999999999993</v>
    <v>80.31</v>
    <v>81.27</v>
    <v>81.78</v>
    <v>87</v>
    <v>86.8</v>
    <v>88.99</v>
    <v>89.47</v>
    <v>88.4</v>
    <v>91.03</v>
    <v>95.66</v>
    <v>94.56</v>
    <v>92.41</v>
    <v>93.45</v>
    <v>93.3</v>
    <v>93.13</v>
    <v>92.73</v>
    <v>94.74</v>
    <v>96.65</v>
    <v>94.66</v>
    <v>91.83</v>
    <v>94.55</v>
    <v>94.28</v>
    <v>96.69</v>
    <v>95.37</v>
    <v>96.11</v>
    <v>97.96</v>
    <v>92.76</v>
    <v>90.82</v>
    <v>90.1</v>
    <v>87.64</v>
    <v>86.83</v>
    <v>90.08</v>
    <v>88.11</v>
    <v>87.3</v>
    <v>87.07</v>
    <v>88.42</v>
    <v>89.03</v>
    <v>89.79</v>
    <v>89.58</v>
    <v>88.85</v>
    <v>90.83</v>
    <v>88.88</v>
    <v>87.25</v>
    <v>87.74</v>
    <v>89.29</v>
    <v>86.7</v>
    <v>89.3</v>
    <v>89.47</v>
    <v>90.04</v>
    <v>92.5</v>
    <v>92.62</v>
    <v>94.59</v>
    <v>92.79</v>
    <v>90.66</v>
    <v>90.81</v>
    <v>92.76</v>
    <v>92.47</v>
    <v>93.02</v>
    <v>92.84</v>
    <v>92.17</v>
    <v>90.2</v>
    <v>90.24</v>
    <v>89.02</v>
    <v>89.24</v>
    <v>86.87</v>
    <v>87.05</v>
    <v>87.2</v>
    <v>87.99</v>
    <v>88.14</v>
    <v>87.23</v>
    <v>89.29</v>
    <v>85.37</v>
    <v>84.64</v>
    <v>82.29</v>
    <v>82.25</v>
    <v>83.67</v>
    <v>84.3</v>
    <v>83.98</v>
    <v>82.96</v>
    <v>82.7</v>
    <v>83.49</v>
    <v>84.97</v>
    <v>85.54</v>
    <v>85.06</v>
    <v>84.9</v>
    <v>83.43</v>
    <v>83.43</v>
    <v>85.66</v>
    <v>85.88</v>
    <v>90.88</v>
    <v>92.65</v>
    <v>92.58</v>
    <v>91.72</v>
    <v>90.44</v>
    <v>90.13</v>
    <v>100.95</v>
    <v>103.21</v>
    <v>101.98</v>
    <v>98.59</v>
    <v>98.84</v>
    <v>98.94</v>
    <v>98.05</v>
    <v>99.82</v>
    <v>100.29</v>
    <v>99.94</v>
    <v>102.8</v>
    <v>107.06</v>
    <v>106.8</v>
    <v>107.41</v>
    <v>105.18</v>
    <v>104.57</v>
    <v>103.98</v>
    <v>101.64</v>
    <v>103.13</v>
    <v>101.91</v>
    <v>100.11</v>
    <v>102.08</v>
    <v>100.92</v>
    <v>100.64</v>
    <v>100.92</v>
    <v>103.15</v>
    <v>100.99</v>
    <v>99.41</v>
    <v>100.23</v>
    <v>99.77</v>
    <v>101.26</v>
    <v>103.9</v>
    <v>105.57</v>
    <v>105.14</v>
    <v>104.79</v>
    <v>103.15</v>
    <v>103.06</v>
    <v>97.86</v>
    <v>97.25</v>
    <v>98.25</v>
    <v>100.32</v>
    <v>99.41</v>
    <v>99.35</v>
    <v>100.86</v>
    <v>99.15</v>
    <v>98.4</v>
    <v>95.7</v>
    <v>94.98</v>
    <v>96.16</v>
    <v>96.35</v>
    <v>94.49</v>
    <v>93.98</v>
    <v>94.8</v>
    <v>91.99</v>
    <v>93.07</v>
    <v>91.68</v>
    <v>91.78</v>
    <v>91.64</v>
    <v>91.1</v>
    <v>92.56</v>
    <v>92.24</v>
    <v>94.22</v>
    <v>92.53</v>
    <v>93.1</v>
    <v>94</v>
    <v>95.08</v>
    <v>94.78</v>
    <v>93.57</v>
    <v>93.19</v>
    <v>94.6</v>
    <v>92.26</v>
    <v>90.05</v>
    <v>89.64</v>
    <v>89.6</v>
    <v>90.48</v>
    <v>91.22</v>
    <v>91.47</v>
    <v>89.25</v>
    <v>88.83</v>
    <v>88.17</v>
    <v>87.29</v>
    <v>85.36</v>
    <v>85.64</v>
    <v>86.24</v>
    <v>84.29</v>
    <v>85.44</v>
    <v>86.41</v>
    <v>86.9</v>
    <v>87.65</v>
    <v>85.41</v>
    <v>86.67</v>
    <v>87.03</v>
    <v>89.29</v>
    <v>88.99</v>
    <v>90.61</v>
    <v>92</v>
    <v>92.42</v>
    <v>90.46</v>
    <v>91.22</v>
    <v>91</v>
    <v>89.6</v>
    <v>92.91</v>
    <v>91.31</v>
    <v>91.11</v>
    <v>91.64</v>
    <v>87.64</v>
    <v>87.45</v>
    <v>85.99</v>
    <v>86.06</v>
    <v>86.31</v>
    <v>87.8</v>
    <v>90.48</v>
    <v>91.79</v>
    <v>92.6</v>
    <v>92.41</v>
    <v>92</v>
    <v>91.62</v>
    <v>97.44</v>
    <v>96.42</v>
    <v>98.91</v>
    <v>98.8</v>
    <v>98.54</v>
    <v>99.58</v>
    <v>99.96</v>
    <v>98.41</v>
    <v>98.65</v>
    <v>97.83</v>
    <v>97.21</v>
    <v>97.98</v>
    <v>98.88</v>
    <v>97.31</v>
    <v>98.55</v>
    <v>97.01</v>
    <v>96.69</v>
    <v>97.85</v>
    <v>99.29</v>
    <v>100.35</v>
    <v>100.95</v>
    <v>101.6</v>
    <v>102.12</v>
    <v>103.45</v>
    <v>102.54</v>
    <v>102.93</v>
    <v>103.87</v>
    <v>100.04</v>
    <v>102.55</v>
    <v>103.15</v>
    <v>104.45</v>
    <v>104.65</v>
    <v>104.7</v>
    <v>104</v>
    <v>101.53</v>
    <v>100.17</v>
    <v>99.13</v>
    <v>99.61</v>
    <v>102.24</v>
    <v>101.89</v>
    <v>100.8</v>
    <v>101.22</v>
    <v>101.24</v>
    <v>101.67</v>
    <v>102.95</v>
    <v>113.03</v>
    <v>114.2</v>
    <v>113.03</v>
    <v>114.13</v>
    <v>116.52</v>
    <v>116.56</v>
    <v>117.26</v>
    <v>116.98</v>
    <v>116.06</v>
    <v>112.96</v>
    <v>113.39</v>
    <v>115.75</v>
    <v>118.79</v>
    <v>119.38</v>
    <v>124.98</v>
    <v>133.72999999999999</v>
    <v>133.11000000000001</v>
    <v>130.46</v>
    <v>127.55</v>
    <v>129.27000000000001</v>
    <v>129.03</v>
    <v>126.69</v>
    <v>125.33</v>
    <v>125.34</v>
    <v>129.07</v>
    <v>129.53</v>
    <v>130.63999999999999</v>
    <v>128.59</v>
    <v>127.38</v>
    <v>128.66999999999999</v>
    <v>133.9</v>
    <v>138.26</v>
    <v>134.97</v>
    <v>141.57</v>
    <v>149.19999999999999</v>
    <v>146.37</v>
    <v>139.02000000000001</v>
    <v>144.4</v>
    <v>142.13999999999999</v>
    <v>139.62</v>
    <v>136.97999999999999</v>
    <v>136.63999999999999</v>
    <v>134.87</v>
    <v>136.75</v>
    <v>139.44999999999999</v>
    <v>140.54</v>
    <v>140.22999999999999</v>
    <v>138.84</v>
    <v>136.69</v>
    <v>136.05000000000001</v>
    <v>141.49</v>
    <v>140.22</v>
    <v>142</v>
    <v>139.66</v>
    <v>141.36000000000001</v>
    <v>142.79</v>
    <v>145.4</v>
    <v>146.22</v>
    <v>147.19999999999999</v>
    <v>142.52000000000001</v>
    <v>140.13999999999999</v>
    <v>139.80000000000001</v>
    <v>139.03</v>
    <v>132.27000000000001</v>
    <v>127.7</v>
    <v>129.75</v>
    <v>133.43</v>
    <v>132.97</v>
    <v>136.58000000000001</v>
    <v>138.30000000000001</v>
    <v>138.5</v>
    <v>137.34</v>
    <v>134.94</v>
    <v>136.22999999999999</v>
    <v>141.56</v>
    <v>142.83000000000001</v>
    <v>141.11000000000001</v>
    <v>143.6</v>
    <v>142.79</v>
    <v>149.26</v>
    <v>146.41</v>
    <v>151.94999999999999</v>
    <v>155.58000000000001</v>
    <v>152.22999999999999</v>
    <v>151.68</v>
    <v>153.55000000000001</v>
    <v>153.66999999999999</v>
    <v>156.15</v>
    <v>157.09</v>
    <v>160</v>
    <v>159.41</v>
    <v>154.34</v>
    <v>152.96</v>
    <v>151.04</v>
    <v>154.94999999999999</v>
    <v>152.47</v>
    <v>162.91999999999999</v>
    <v>162.07</v>
    <v>164.39</v>
    <v>168.16</v>
    <v>165.71</v>
    <v>172.98</v>
    <v>172.91</v>
    <v>172.51</v>
    <v>177.24</v>
    <v>179.69</v>
    <v>175.38</v>
    <v>173.96</v>
    <v>167.81</v>
    <v>172.6</v>
    <v>172.07</v>
    <v>171.63</v>
    <v>173.81</v>
    <v>172.33</v>
    <v>175.7</v>
    <v>182.49</v>
    <v>183.99</v>
    <v>186.63</v>
    <v>184.52</v>
    <v>191.05</v>
    <v>184.5</v>
    <v>187.35</v>
    <v>185.22</v>
    <v>186.04</v>
    <v>171.2</v>
    <v>171.87</v>
    <v>165.77</v>
    <v>169.35</v>
    <v>169.82</v>
    <v>159.80000000000001</v>
    <v>160.28</v>
    <v>161.94</v>
    <v>160.01</v>
    <v>154.54</v>
    <v>165.8</v>
    <v>158.18</v>
    <v>149.86000000000001</v>
    <v>147.94999999999999</v>
    <v>155.38999999999999</v>
    <v>155.04</v>
    <v>164.55</v>
    <v>167.12</v>
    <v>167.63</v>
    <v>172.34</v>
    <v>169.97</v>
    <v>173.96</v>
    <v>174.54</v>
    <v>175.45</v>
    <v>172.04</v>
    <v>171.44</v>
    <v>166.44</v>
    <v>171.28</v>
    <v>169.07</v>
    <v>170.55</v>
    <v>169.2</v>
    <v>169.15</v>
    <v>171.7</v>
    <v>160.49</v>
    <v>160.87</v>
    <v>163.69999999999999</v>
    <v>156.82</v>
    <v>162.78</v>
    <v>162.43</v>
    <v>170.23</v>
    <v>171.43</v>
    <v>172.5</v>
    <v>169.08</v>
    <v>167.35</v>
    <v>167.28</v>
    <v>176.22</v>
    <v>174.08</v>
    <v>174.76</v>
    <v>181.97</v>
    <v>182.35</v>
    <v>186.83</v>
    <v>177.97</v>
    <v>173.67</v>
    <v>172.07</v>
    <v>175.8</v>
    <v>179.48</v>
    <v>181.16</v>
    <v>184.51</v>
    <v>186.05</v>
    <v>187.14</v>
    <v>185.78</v>
    <v>190.81</v>
    <v>192.21</v>
    <v>187.13</v>
    <v>187.48</v>
    <v>205.84</v>
    <v>200.78</v>
    <v>201.95</v>
    <v>198.48</v>
    <v>200.86</v>
    <v>197.93</v>
    <v>203.44</v>
    <v>194.68</v>
    <v>196.94</v>
    <v>194.48</v>
    <v>190.54</v>
    <v>192.95</v>
    <v>191.56</v>
    <v>195.76</v>
    <v>193.22</v>
    <v>201.19</v>
    <v>201.2</v>
    <v>194.05</v>
    <v>191.77</v>
    <v>186.66</v>
    <v>188.5</v>
    <v>186.01</v>
    <v>187.48</v>
    <v>189.67</v>
    <v>188.36</v>
    <v>191.24</v>
    <v>190.08</v>
    <v>185.08</v>
    <v>183.84</v>
    <v>181.19</v>
    <v>184.66</v>
    <v>194.4</v>
    <v>198.89</v>
    <v>200.69</v>
    <v>204.3</v>
    <v>203.02</v>
    <v>199.17</v>
    <v>191.94</v>
    <v>194.6</v>
    <v>191.46</v>
    <v>200.99</v>
    <v>202.22</v>
    <v>200.66</v>
    <v>195.56</v>
    <v>194.64</v>
    <v>197.21</v>
    <v>207.36</v>
    <v>206.33</v>
    <v>203.06</v>
    <v>201.63</v>
    <v>200.39</v>
    <v>197.49</v>
  </a>
  <a r="1" c="502">
    <v>124.74</v>
    <v>127.37</v>
    <v>126.94</v>
    <v>130.02000000000001</v>
    <v>129.47</v>
    <v>132.99</v>
    <v>132.88999999999999</v>
    <v>136.71</v>
    <v>136.97999999999999</v>
    <v>135.36000000000001</v>
    <v>133.02000000000001</v>
    <v>136.15</v>
    <v>139.37</v>
    <v>143.27000000000001</v>
    <v>143.13999999999999</v>
    <v>141.5</v>
    <v>147.30000000000001</v>
    <v>151.74</v>
    <v>147.06</v>
    <v>148.97</v>
    <v>153.12</v>
    <v>188.77</v>
    <v>186.53</v>
    <v>186.06</v>
    <v>191.62</v>
    <v>183.43</v>
    <v>177.92</v>
    <v>174.15</v>
    <v>179.43</v>
    <v>179.48</v>
    <v>177.16</v>
    <v>172.44</v>
    <v>172.88</v>
    <v>172.08</v>
    <v>171.12</v>
    <v>172.04</v>
    <v>170.39</v>
    <v>169.54</v>
    <v>174.94</v>
    <v>173.42</v>
    <v>174.53</v>
    <v>185.25</v>
    <v>184.9</v>
    <v>184.51</v>
    <v>184.97</v>
    <v>181.69</v>
    <v>179.51</v>
    <v>180.9</v>
    <v>194.02</v>
    <v>197.75</v>
    <v>204.93</v>
    <v>195.61</v>
    <v>197.81</v>
    <v>202.16</v>
    <v>199.81</v>
    <v>204.28</v>
    <v>206.01</v>
    <v>202.84</v>
    <v>200.68</v>
    <v>205.35</v>
    <v>207.84</v>
    <v>211.94</v>
    <v>213.07</v>
    <v>214.72</v>
    <v>211.48</v>
    <v>216.1</v>
    <v>214.75</v>
    <v>213.85</v>
    <v>214</v>
    <v>220.35</v>
    <v>221.49</v>
    <v>218.86</v>
    <v>217.89</v>
    <v>215.7</v>
    <v>213.07</v>
    <v>212.89</v>
    <v>212.79</v>
    <v>207.55</v>
    <v>209.4</v>
    <v>238.56</v>
    <v>240.32</v>
    <v>243.18</v>
    <v>239.24</v>
    <v>237.03</v>
    <v>233.52</v>
    <v>232.78</v>
    <v>233.27</v>
    <v>233.37</v>
    <v>233.08</v>
    <v>235.79</v>
    <v>233.81</v>
    <v>238.86</v>
    <v>238.82</v>
    <v>242.48500000000001</v>
    <v>246.85</v>
    <v>245.64</v>
    <v>248.32</v>
    <v>246.74</v>
    <v>249.21</v>
    <v>252.69</v>
    <v>262.04000000000002</v>
    <v>262.52</v>
    <v>264.72000000000003</v>
    <v>272.61</v>
    <v>272.61</v>
    <v>271.39</v>
    <v>271.12</v>
    <v>263.60000000000002</v>
    <v>264.58</v>
    <v>264.95</v>
    <v>271.05</v>
    <v>271.32</v>
    <v>273.35000000000002</v>
    <v>281.83</v>
    <v>281</v>
    <v>284.33</v>
    <v>281.64</v>
    <v>284.88</v>
    <v>288.73</v>
    <v>278.47000000000003</v>
    <v>287.05</v>
    <v>285.29000000000002</v>
    <v>281.52999999999997</v>
    <v>286.98</v>
    <v>286.02</v>
    <v>294.37</v>
    <v>291.99</v>
    <v>290.52999999999997</v>
    <v>294.10000000000002</v>
    <v>298.29000000000002</v>
    <v>309.33999999999997</v>
    <v>313.41000000000003</v>
    <v>308.87</v>
    <v>310.62</v>
    <v>312.05</v>
    <v>316.01</v>
    <v>302.52</v>
    <v>294.26</v>
    <v>291.61</v>
    <v>294.47000000000003</v>
    <v>298.57</v>
    <v>311.70999999999998</v>
    <v>325.48</v>
    <v>318.60000000000002</v>
    <v>322.70999999999998</v>
    <v>314.31</v>
    <v>313.19</v>
    <v>310.73</v>
    <v>316.56</v>
    <v>312.64</v>
    <v>305.20999999999998</v>
    <v>305.74</v>
    <v>301.64</v>
    <v>306.19</v>
    <v>301.95</v>
    <v>294.29000000000002</v>
    <v>285.08999999999997</v>
    <v>283.25</v>
    <v>289.89999999999998</v>
    <v>287.60000000000002</v>
    <v>294.24</v>
    <v>286.75</v>
    <v>285.5</v>
    <v>290.26</v>
    <v>297.99</v>
    <v>295.10000000000002</v>
    <v>295.89</v>
    <v>296.38</v>
    <v>300.14999999999998</v>
    <v>299.17</v>
    <v>298.67</v>
    <v>297.89</v>
    <v>307.56</v>
    <v>301.66000000000003</v>
    <v>305.06</v>
    <v>311.72000000000003</v>
    <v>300.31</v>
    <v>302.55</v>
    <v>305.07</v>
    <v>299.67</v>
    <v>295.73</v>
    <v>299.08</v>
    <v>300.83</v>
    <v>298.95999999999998</v>
    <v>297.74</v>
    <v>303.95999999999998</v>
    <v>300.20999999999998</v>
    <v>306.82</v>
    <v>300.94</v>
    <v>305.58</v>
    <v>304.79000000000002</v>
    <v>315.43</v>
    <v>318.36</v>
    <v>321.83999999999997</v>
    <v>327.82</v>
    <v>324.16000000000003</v>
    <v>314.69</v>
    <v>321.14999999999998</v>
    <v>324</v>
    <v>316.97000000000003</v>
    <v>312.81</v>
    <v>308.64999999999998</v>
    <v>314.01</v>
    <v>312.55</v>
    <v>299.52999999999997</v>
    <v>288.35000000000002</v>
    <v>296.73</v>
    <v>302.66000000000003</v>
    <v>301.27</v>
    <v>311.85000000000002</v>
    <v>310.87</v>
    <v>314.60000000000002</v>
    <v>315.8</v>
    <v>318.82</v>
    <v>319.77999999999997</v>
    <v>320.55</v>
    <v>328.77</v>
    <v>329.19</v>
    <v>336.31</v>
    <v>332.71</v>
    <v>334.19</v>
    <v>335.04</v>
    <v>339.97</v>
    <v>336.98</v>
    <v>341.49</v>
    <v>338.23</v>
    <v>334.7</v>
    <v>338.99</v>
    <v>332.2</v>
    <v>327.14999999999998</v>
    <v>324.82</v>
    <v>320.02</v>
    <v>318.29000000000002</v>
    <v>317.45</v>
    <v>326.58999999999997</v>
    <v>332.75</v>
    <v>325.27999999999997</v>
    <v>334.22</v>
    <v>334.74</v>
    <v>333.17</v>
    <v>334.92</v>
    <v>344.62</v>
    <v>350.36</v>
    <v>349.28</v>
    <v>354.09</v>
    <v>353.39</v>
    <v>354.83</v>
    <v>357.83</v>
    <v>358.32</v>
    <v>353.96</v>
    <v>346.29</v>
    <v>344.47</v>
    <v>347.12</v>
    <v>351.95</v>
    <v>358.66</v>
    <v>357.43</v>
    <v>370.47</v>
    <v>369.67</v>
    <v>374.49</v>
    <v>367.46</v>
    <v>368.37</v>
    <v>376.13</v>
    <v>383.45</v>
    <v>381.78</v>
    <v>385.2</v>
    <v>390.7</v>
    <v>393.18</v>
    <v>394.14</v>
    <v>401.02</v>
    <v>400.06</v>
    <v>390.14</v>
    <v>394.78</v>
    <v>474.99</v>
    <v>459.41</v>
    <v>454.72</v>
    <v>469.59</v>
    <v>470</v>
    <v>468.11</v>
    <v>468.9</v>
    <v>460.12</v>
    <v>473.28</v>
    <v>484.03</v>
    <v>473.32</v>
    <v>471.75</v>
    <v>468.03</v>
    <v>486.13</v>
    <v>484.03</v>
    <v>481.74</v>
    <v>487.05</v>
    <v>484.02</v>
    <v>490.13</v>
    <v>502.3</v>
    <v>498.19</v>
    <v>490.22</v>
    <v>496.09</v>
    <v>512.19000000000005</v>
    <v>505.95</v>
    <v>483.59</v>
    <v>499.75</v>
    <v>495.57</v>
    <v>491.83</v>
    <v>484.1</v>
    <v>496.98</v>
    <v>496.24</v>
    <v>505.52</v>
    <v>507.76</v>
    <v>509.58</v>
    <v>503.02</v>
    <v>495.89</v>
    <v>493.86</v>
    <v>485.58</v>
    <v>491.35</v>
    <v>497.37</v>
    <v>506.74</v>
    <v>510.92</v>
    <v>527.34</v>
    <v>519.25</v>
    <v>516.9</v>
    <v>519.83000000000004</v>
    <v>523.16</v>
    <v>511.9</v>
    <v>500.23</v>
    <v>499.76</v>
    <v>494.17</v>
    <v>501.8</v>
    <v>481.07</v>
    <v>481.73</v>
    <v>496.1</v>
    <v>493.5</v>
    <v>441.38</v>
    <v>443.29</v>
    <v>432.62</v>
    <v>430.17</v>
    <v>439.19</v>
    <v>441.68</v>
    <v>451.96</v>
    <v>465.68</v>
    <v>468.24</v>
    <v>472.6</v>
    <v>475.42</v>
    <v>476.2</v>
    <v>468.01</v>
    <v>471.85</v>
    <v>481.54</v>
    <v>473.23</v>
    <v>471.91</v>
    <v>468.84</v>
    <v>464.63</v>
    <v>467.78</v>
    <v>465.78</v>
    <v>478.22</v>
    <v>479.92</v>
    <v>474.36</v>
    <v>467.05</v>
    <v>466.83</v>
    <v>477.49</v>
    <v>476.99</v>
    <v>495.06</v>
    <v>493.76</v>
    <v>492.96</v>
    <v>502.6</v>
    <v>507.47</v>
    <v>508.84</v>
    <v>504.1</v>
    <v>504.16</v>
    <v>506.63</v>
    <v>499.49</v>
    <v>501.7</v>
    <v>494.78</v>
    <v>498.91</v>
    <v>510.6</v>
    <v>513.12</v>
    <v>519.55999999999995</v>
    <v>504.22</v>
    <v>504.68</v>
    <v>509.5</v>
    <v>509.96</v>
    <v>539.91</v>
    <v>529.32000000000005</v>
    <v>530</v>
    <v>534.69000000000005</v>
    <v>512.70000000000005</v>
    <v>498.87</v>
    <v>496.16</v>
    <v>489.79</v>
    <v>461.99</v>
    <v>475.85</v>
    <v>476.79</v>
    <v>487.4</v>
    <v>488.69</v>
    <v>461.27</v>
    <v>453.41</v>
    <v>465.7</v>
    <v>465.71</v>
    <v>463.19</v>
    <v>474.83</v>
    <v>497.74</v>
    <v>488.14</v>
    <v>475.73</v>
    <v>494.09</v>
    <v>488.92</v>
    <v>509.63</v>
    <v>517.77</v>
    <v>515.95000000000005</v>
    <v>528.54</v>
    <v>526.76</v>
    <v>537.33000000000004</v>
    <v>527.41999999999996</v>
    <v>529.28</v>
    <v>526.73</v>
    <v>535.16</v>
    <v>531.92999999999995</v>
    <v>528</v>
    <v>521.12</v>
    <v>519.1</v>
    <v>516.78</v>
    <v>518.22</v>
    <v>521.30999999999995</v>
    <v>511.76</v>
    <v>512.74</v>
    <v>516.86</v>
    <v>500.27</v>
    <v>504.79</v>
    <v>504.79</v>
    <v>511.83</v>
    <v>525.6</v>
    <v>524.62</v>
    <v>533.28</v>
    <v>536.31500000000005</v>
    <v>537.95000000000005</v>
    <v>559.1</v>
    <v>561.35</v>
    <v>564.41</v>
    <v>563.33000000000004</v>
    <v>568.30999999999995</v>
    <v>567.84</v>
    <v>567.36</v>
    <v>572.44000000000005</v>
    <v>576.47</v>
    <v>572.80999999999995</v>
    <v>582.77</v>
    <v>595.94000000000005</v>
    <v>584.78</v>
    <v>592.89</v>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a>
  <a r="1" c="502">
    <v>291.76</v>
    <v>296.89</v>
    <v>298.10000000000002</v>
    <v>308.55</v>
    <v>309.52</v>
    <v>310.5</v>
    <v>311.32</v>
    <v>315.18</v>
    <v>317.49</v>
    <v>314.70999999999998</v>
    <v>307.81</v>
    <v>297.81</v>
    <v>305.32</v>
    <v>311.70999999999998</v>
    <v>312.69</v>
    <v>310.2</v>
    <v>314.41000000000003</v>
    <v>319.8</v>
    <v>317.3</v>
    <v>326</v>
    <v>328.69</v>
    <v>337.55</v>
    <v>350</v>
    <v>348.99</v>
    <v>349.02</v>
    <v>351.99</v>
    <v>351.62</v>
    <v>348.88</v>
    <v>352.04</v>
    <v>352.35</v>
    <v>361.16</v>
    <v>354.54</v>
    <v>355.48</v>
    <v>343.54</v>
    <v>345.32</v>
    <v>349.01</v>
    <v>348.03</v>
    <v>350.48</v>
    <v>351.85</v>
    <v>353.35</v>
    <v>355.5</v>
    <v>359.85</v>
    <v>360.5</v>
    <v>359.54</v>
    <v>362.67</v>
    <v>350.93</v>
    <v>338.47</v>
    <v>332.09</v>
    <v>334.22</v>
    <v>313.54000000000002</v>
    <v>314</v>
    <v>304.92</v>
    <v>315.83</v>
    <v>326.20999999999998</v>
    <v>322.12</v>
    <v>320.42</v>
    <v>320.87</v>
    <v>324.66000000000003</v>
    <v>327.74</v>
    <v>334.17</v>
    <v>336.57</v>
    <v>336.11</v>
    <v>339.17</v>
    <v>320.64</v>
    <v>312.58</v>
    <v>312.47000000000003</v>
    <v>315.17</v>
    <v>317.98</v>
    <v>324.52</v>
    <v>319.55</v>
    <v>319.11</v>
    <v>325.41000000000003</v>
    <v>324.7</v>
    <v>323.43</v>
    <v>319.33</v>
    <v>320.8</v>
    <v>322.95999999999998</v>
    <v>317.11</v>
    <v>311.64999999999998</v>
    <v>323.3</v>
    <v>324.88</v>
    <v>327.37</v>
    <v>325.02</v>
    <v>323.22000000000003</v>
    <v>322.29000000000002</v>
    <v>333.3</v>
    <v>334.84</v>
    <v>339.11</v>
    <v>326.88</v>
    <v>324.58999999999997</v>
    <v>323.99</v>
    <v>327.7</v>
    <v>321.54000000000002</v>
    <v>330.92</v>
    <v>335.15</v>
    <v>332.84</v>
    <v>334.14</v>
    <v>328.78</v>
    <v>322.01</v>
    <v>327.13</v>
    <v>332.88</v>
    <v>330.25</v>
    <v>320.44</v>
    <v>325.99</v>
    <v>340.73</v>
    <v>337.38</v>
    <v>346.58</v>
    <v>358.94</v>
    <v>355.83</v>
    <v>356.13</v>
    <v>358.59</v>
    <v>368.23</v>
    <v>367.55</v>
    <v>374.04</v>
    <v>369.1</v>
    <v>371.85</v>
    <v>374.25</v>
    <v>371.01</v>
    <v>370.12</v>
    <v>375.47</v>
    <v>380.19</v>
    <v>382.45</v>
    <v>386.75</v>
    <v>390.04</v>
    <v>391.01</v>
    <v>382.85</v>
    <v>378.96</v>
    <v>384.17</v>
    <v>392.64</v>
    <v>398.7</v>
    <v>397.09</v>
    <v>398.66</v>
    <v>396.2</v>
    <v>400.95</v>
    <v>408.56</v>
    <v>403.68</v>
    <v>402.81</v>
    <v>397.65</v>
    <v>397.87</v>
    <v>398.09</v>
    <v>393.76</v>
    <v>397.31</v>
    <v>399.57</v>
    <v>410.01</v>
    <v>414.17</v>
    <v>405.87</v>
    <v>418.18</v>
    <v>414.15</v>
    <v>424.95</v>
    <v>425.12</v>
    <v>422.26</v>
    <v>412.76</v>
    <v>416.51</v>
    <v>413.82</v>
    <v>408.76</v>
    <v>406.32</v>
    <v>399.05</v>
    <v>397.76</v>
    <v>397.47</v>
    <v>398.1</v>
    <v>404.15</v>
    <v>398.33</v>
    <v>403.21</v>
    <v>408.54</v>
    <v>416.5</v>
    <v>418.83</v>
    <v>416.9</v>
    <v>422.46</v>
    <v>411.67</v>
    <v>411.86</v>
    <v>409.11</v>
    <v>409.2</v>
    <v>406.17</v>
    <v>405.38</v>
    <v>390.03</v>
    <v>395.18</v>
    <v>392.12</v>
    <v>395.86</v>
    <v>391.71</v>
    <v>390.46</v>
    <v>381.61</v>
    <v>387.3</v>
    <v>391.51</v>
    <v>383.89</v>
    <v>391.11</v>
    <v>392.43</v>
    <v>389.52</v>
    <v>385.24</v>
    <v>381.95</v>
    <v>384.59</v>
    <v>383.68</v>
    <v>391.72</v>
    <v>395.41</v>
    <v>397.26</v>
    <v>407.29</v>
    <v>406.87</v>
    <v>392.93</v>
    <v>396.99</v>
    <v>402.83</v>
    <v>378.98</v>
    <v>374.98</v>
    <v>372.92</v>
    <v>366.87</v>
    <v>373.28</v>
    <v>367.52</v>
    <v>369.96</v>
    <v>366.24</v>
    <v>369.55</v>
    <v>368.91</v>
    <v>370.47</v>
    <v>404.58</v>
    <v>401.19</v>
    <v>406.14</v>
    <v>407.08</v>
    <v>410.66</v>
    <v>412.82</v>
    <v>419.45</v>
    <v>419.43</v>
    <v>427.96</v>
    <v>429.08</v>
    <v>426.44</v>
    <v>432.64</v>
    <v>431.53</v>
    <v>432.92</v>
    <v>431.23</v>
    <v>433.67</v>
    <v>431.92</v>
    <v>426.53</v>
    <v>428.06</v>
    <v>433.18</v>
    <v>440.16</v>
    <v>438.15</v>
    <v>434.83</v>
    <v>434.32</v>
    <v>433.77</v>
    <v>438.63</v>
    <v>438.22</v>
    <v>440.83</v>
    <v>441.54</v>
    <v>455.41</v>
    <v>453.6</v>
    <v>453.49</v>
    <v>460.26</v>
    <v>449.42</v>
    <v>455.9</v>
    <v>458.19</v>
    <v>461.46</v>
    <v>462.25</v>
    <v>461.96</v>
    <v>460.7</v>
    <v>458.61</v>
    <v>450.68</v>
    <v>452.06</v>
    <v>453.55</v>
    <v>458.69</v>
    <v>457.46</v>
    <v>460.78</v>
    <v>462.64</v>
    <v>460.32</v>
    <v>460.75</v>
    <v>456.05</v>
    <v>465.7</v>
    <v>470.37</v>
    <v>473.52</v>
    <v>469.1</v>
    <v>464.88</v>
    <v>471.8</v>
    <v>471.59</v>
    <v>476.5</v>
    <v>477.86</v>
    <v>464.5</v>
    <v>500.18</v>
    <v>510.36</v>
    <v>508.87</v>
    <v>511.55</v>
    <v>514.22</v>
    <v>515.51</v>
    <v>521.38</v>
    <v>518.20000000000005</v>
    <v>511.63</v>
    <v>521.91</v>
    <v>521.87</v>
    <v>520.05999999999995</v>
    <v>519.53</v>
    <v>523.71</v>
    <v>530</v>
    <v>531.07000000000005</v>
    <v>530.80999999999995</v>
    <v>531.49</v>
    <v>531.1</v>
    <v>535.45000000000005</v>
    <v>537.79999999999995</v>
    <v>535.51</v>
    <v>528</v>
    <v>531.23</v>
    <v>539.48</v>
    <v>537.35</v>
    <v>536.04</v>
    <v>538.28</v>
    <v>539.55999999999995</v>
    <v>536.25</v>
    <v>535.41999999999996</v>
    <v>536.26</v>
    <v>538.84</v>
    <v>546.46</v>
    <v>560.64</v>
    <v>554.89</v>
    <v>550.53</v>
    <v>549.16</v>
    <v>558.04999999999995</v>
    <v>555.79</v>
    <v>551.01</v>
    <v>547.44000000000005</v>
    <v>558.57000000000005</v>
    <v>555.65</v>
    <v>566.66999999999996</v>
    <v>565.92999999999995</v>
    <v>561.35</v>
    <v>555.37</v>
    <v>555.79</v>
    <v>550.32000000000005</v>
    <v>543.37</v>
    <v>544.14</v>
    <v>540.57000000000005</v>
    <v>538.09</v>
    <v>534.65</v>
    <v>539.72</v>
    <v>550.4</v>
    <v>546.35</v>
    <v>549.38</v>
    <v>553.64</v>
    <v>554.44000000000005</v>
    <v>544.91</v>
    <v>542.96</v>
    <v>530.67999999999995</v>
    <v>536.17999999999995</v>
    <v>550.79</v>
    <v>550.17999999999995</v>
    <v>554.91</v>
    <v>560.69000000000005</v>
    <v>561.13</v>
    <v>551.03</v>
    <v>549.4</v>
    <v>553.27</v>
    <v>539.49</v>
    <v>545.11</v>
    <v>548</v>
    <v>546.87</v>
    <v>546.07000000000005</v>
    <v>526.57000000000005</v>
    <v>529.83000000000004</v>
    <v>526.54</v>
    <v>523.19000000000005</v>
    <v>524.46</v>
    <v>531.52</v>
    <v>513.08000000000004</v>
    <v>512.45000000000005</v>
    <v>523.20000000000005</v>
    <v>515.22</v>
    <v>516.14</v>
    <v>526</v>
    <v>523</v>
    <v>532.96</v>
    <v>528.9</v>
    <v>503.3</v>
    <v>506.03</v>
    <v>506.83</v>
    <v>507.99</v>
    <v>504.16</v>
    <v>510.29</v>
    <v>505.3</v>
    <v>502.63</v>
    <v>504.22</v>
    <v>505.81</v>
    <v>501.01</v>
    <v>510.03</v>
    <v>512.72</v>
    <v>505.5</v>
    <v>508.77</v>
    <v>508.68</v>
    <v>523.16999999999996</v>
    <v>528.16</v>
    <v>537.9</v>
    <v>544.74</v>
    <v>568.67999999999995</v>
    <v>557.94000000000005</v>
    <v>547.66999999999996</v>
    <v>544.65</v>
    <v>552.12</v>
    <v>551.66</v>
    <v>529.26</v>
    <v>545.13</v>
    <v>554.61</v>
    <v>548.52</v>
    <v>551.21</v>
    <v>561.16</v>
    <v>534.54</v>
    <v>518.51</v>
    <v>506.31</v>
    <v>518.02</v>
    <v>512.5</v>
    <v>568.08000000000004</v>
    <v>569.80999999999995</v>
    <v>567.78</v>
    <v>571.53</v>
    <v>578.39</v>
    <v>590.84</v>
    <v>583.4</v>
    <v>586.5</v>
    <v>582.29</v>
    <v>585.94000000000005</v>
    <v>587.29999999999995</v>
    <v>593.82000000000005</v>
    <v>591.25</v>
    <v>590.09</v>
    <v>588.01</v>
    <v>591.22</v>
    <v>600.20000000000005</v>
    <v>575.35</v>
    <v>576.95000000000005</v>
    <v>575.20000000000005</v>
    <v>571.30999999999995</v>
    <v>580.20000000000005</v>
    <v>581.1</v>
    <v>584.4</v>
    <v>587.54999999999995</v>
    <v>591.33000000000004</v>
    <v>596.78</v>
    <v>605.16999999999996</v>
    <v>609.03</v>
    <v>626.04999999999995</v>
    <v>623.77</v>
    <v>618.72</v>
    <v>625.37</v>
    <v>621.82000000000005</v>
    <v>635.4</v>
    <v>632.77</v>
    <v>631.82000000000005</v>
    <v>630.14</v>
    <v>627.5</v>
    <v>626.30999999999995</v>
    <v>630.67999999999995</v>
    <v>629.71</v>
    <v>627.34</v>
    <v>632.79</v>
    <v>631.52</v>
    <v>637.15</v>
    <v>643.53</v>
    <v>638.02</v>
    <v>637.48</v>
    <v>639.84</v>
    <v>640.44000000000005</v>
    <v>639.24</v>
    <v>629.28</v>
    <v>629.70000000000005</v>
    <v>624.14</v>
    <v>621.74</v>
    <v>623.65</v>
    <v>625.11</v>
    <v>624.29</v>
    <v>634.07000000000005</v>
    <v>635.03</v>
    <v>638</v>
    <v>653.45000000000005</v>
    <v>709.46</v>
    <v>689.77</v>
    <v>695.58</v>
    <v>708.15</v>
    <v>699.32</v>
    <v>706.46</v>
    <v>697.63</v>
    <v>698.91</v>
    <v>691.68</v>
    <v>689.76</v>
    <v>690.43</v>
    <v>702.68</v>
    <v>706.87</v>
    <v>704.42</v>
    <v>706.85</v>
    <v>699.88</v>
    <v>702.9</v>
    <v>700.69</v>
    <v>700.9</v>
    <v>696.49</v>
    <v>694.71</v>
    <v>696.16</v>
    <v>686</v>
    <v>677.93</v>
    <v>686.39</v>
    <v>682.57</v>
    <v>671.82</v>
    <v>673.74</v>
    <v>665.99</v>
    <v>643.79999999999995</v>
    <v>639.27</v>
    <v>647.20000000000005</v>
    <v>645.65</v>
    <v>652.57000000000005</v>
    <v>651.41999999999996</v>
    <v>643.80999999999995</v>
    <v>636.82000000000005</v>
    <v>636.03</v>
  </a>
</arrayData>
</file>

<file path=xl/richData/rdrichvalue.xml><?xml version="1.0" encoding="utf-8"?>
<rvData xmlns="http://schemas.microsoft.com/office/spreadsheetml/2017/richdata" count="7076">
  <rv s="0">
    <v>https://www.bing.com/financeapi/forcetrigger?t=a1ztzr&amp;q=XNYS%3aPH&amp;form=skydnc</v>
    <v>Learn more on Bing</v>
  </rv>
  <rv s="1">
    <v>en-US</v>
    <v>a1ztzr</v>
    <v>268435456</v>
    <v>1</v>
    <v>Powered by Refinitiv</v>
    <v>0</v>
    <v>PARKER-HANNIFIN CORPORATION (XNYS:PH)</v>
    <v>2</v>
    <v>3</v>
    <v>Finance</v>
    <v>4</v>
    <v>908.35</v>
    <v>488.45</v>
    <v>1.2537</v>
    <v>2.4700000000000002</v>
    <v>1.9130000000000001E-4</v>
    <v>2.7810000000000001E-3</v>
    <v>0.1704</v>
    <v>USD</v>
    <v>Parker-Hannifin Corporation specializes in motion and control technologies. The Company designs, manufactures, and provides aftermarket support for highly engineered solutions. Its segments include Diversified Industrial and Aerospace Systems. Diversified Industrial Segment, which is an aggregation of several business units, sells highly engineered differentiated products to both original equipment manufacturers (OEMs) and distributors who serve the aftermarket replacement markets. This segment serves various markets, including aerospace &amp; defense, off-highway, in-plant &amp; industrial equipment, energy, transportation and HVAC &amp; refrigeration. Aerospace Systems Segment sells highly engineered, differentiated airframe and engine components and systems to OEMs and aftermarket parts and maintenance directly to end users primarily in the commercial aerospace and defense market verticals. Its products include active &amp; passive vibration control, avionics, flight control systems and others.</v>
    <v>57950</v>
    <v>New York Stock Exchange</v>
    <v>XNYS</v>
    <v>XNYS</v>
    <v>6035 Parkland Boulevard, CLEVELAND, OH, 44124-4141 US</v>
    <v>893.14</v>
    <v>Machinery, Equipment &amp; Components</v>
    <v>Stock</v>
    <v>46021.036864073438</v>
    <v>0</v>
    <v>886.01</v>
    <v>112375565685</v>
    <v>PARKER-HANNIFIN CORPORATION</v>
    <v>PARKER-HANNIFIN CORPORATION</v>
    <v>887.14</v>
    <v>31.720300000000002</v>
    <v>888.08</v>
    <v>890.55</v>
    <v>890.72040000000004</v>
    <v>126186700</v>
    <v>PH</v>
    <v>PARKER-HANNIFIN CORPORATION (XNYS:PH)</v>
    <v>439570</v>
    <v>604331</v>
    <v>1938</v>
  </rv>
  <rv s="2">
    <v>1</v>
  </rv>
  <rv s="0">
    <v>https://www.bing.com/financeapi/forcetrigger?t=a1qevh&amp;q=XNYS%3aCSL&amp;form=skydnc</v>
    <v>Learn more on Bing</v>
  </rv>
  <rv s="1">
    <v>en-US</v>
    <v>a1qevh</v>
    <v>268435456</v>
    <v>1</v>
    <v>Powered by Refinitiv</v>
    <v>0</v>
    <v>CARLISLE COMPANIES INCORPORATED (XNYS:CSL)</v>
    <v>2</v>
    <v>3</v>
    <v>Finance</v>
    <v>4</v>
    <v>435.92</v>
    <v>293.43</v>
    <v>0.94830000000000003</v>
    <v>-3.43</v>
    <v>-3.0590000000000004E-5</v>
    <v>-1.0383999999999999E-2</v>
    <v>-0.01</v>
    <v>USD</v>
    <v>Carlisle Companies Incorporated is a manufacturer and supplier of building envelope products and solutions that enable energy efficiency in buildings. Its segments include Carlisle Construction Materials (CCM) and Carlisle Weatherproofing Technologies (CWT). The CCM segment produces a complete line of energy-efficient single-ply roofing products and warranted roof systems and accessories for the commercial building industry, including ethylene propylene diene monomer (EPDM), thermoplastic polyolefin (TPO) and polyvinyl chloride (PVC) membrane, polyisocyanurate (polyiso) insulation, and engineered metal roofing and wall panel systems for commercial and residential buildings. CWT segment produces building envelope solutions that drive energy efficiency and sustainability in commercial and residential applications. Its products include waterproofing and moisture protection products, protective roofing underlayments, fully integrated liquid and sheet applied air/vapor barriers and others.</v>
    <v>5500</v>
    <v>New York Stock Exchange</v>
    <v>XNYS</v>
    <v>XNYS</v>
    <v>16430 North Scottsdale Road, Suite 400, SCOTTSDALE, AZ, 85254 US</v>
    <v>333.29</v>
    <v>Homebuilding &amp; Construction Supplies</v>
    <v>Stock</v>
    <v>46021.000000010936</v>
    <v>3</v>
    <v>325.07</v>
    <v>13659350355</v>
    <v>CARLISLE COMPANIES INCORPORATED</v>
    <v>CARLISLE COMPANIES INCORPORATED</v>
    <v>330.87</v>
    <v>18.623200000000001</v>
    <v>330.32</v>
    <v>326.89</v>
    <v>326.88</v>
    <v>41785770</v>
    <v>CSL</v>
    <v>CARLISLE COMPANIES INCORPORATED (XNYS:CSL)</v>
    <v>306512</v>
    <v>453992</v>
    <v>1986</v>
  </rv>
  <rv s="2">
    <v>4</v>
  </rv>
  <rv s="0">
    <v>https://www.bing.com/financeapi/forcetrigger?t=a1wljc&amp;q=XNYS%3aKO&amp;form=skydnc</v>
    <v>Learn more on Bing</v>
  </rv>
  <rv s="1">
    <v>en-US</v>
    <v>a1wljc</v>
    <v>268435456</v>
    <v>1</v>
    <v>Powered by Refinitiv</v>
    <v>0</v>
    <v>THE COCA-COLA COMPANY (XNYS:KO)</v>
    <v>2</v>
    <v>3</v>
    <v>Finance</v>
    <v>4</v>
    <v>74.38</v>
    <v>60.615000000000002</v>
    <v>0.38219999999999998</v>
    <v>0.28999999999999998</v>
    <v>-4.2759999999999999E-4</v>
    <v>4.1510000000000002E-3</v>
    <v>-0.03</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70.42</v>
    <v>Beverages</v>
    <v>Stock</v>
    <v>46021.04121099531</v>
    <v>6</v>
    <v>69.849999999999994</v>
    <v>301800887440</v>
    <v>THE COCA-COLA COMPANY</v>
    <v>THE COCA-COLA COMPANY</v>
    <v>70</v>
    <v>23.2256</v>
    <v>69.87</v>
    <v>70.16</v>
    <v>70.13</v>
    <v>4301609000</v>
    <v>KO</v>
    <v>THE COCA-COLA COMPANY (XNYS:KO)</v>
    <v>9686936</v>
    <v>17525392</v>
    <v>1919</v>
  </rv>
  <rv s="2">
    <v>7</v>
  </rv>
  <rv s="0">
    <v>https://www.bing.com/financeapi/forcetrigger?t=a23ocw&amp;q=XNYS%3aSTE&amp;form=skydnc</v>
    <v>Learn more on Bing</v>
  </rv>
  <rv s="1">
    <v>en-US</v>
    <v>a23ocw</v>
    <v>268435456</v>
    <v>1</v>
    <v>Powered by Refinitiv</v>
    <v>0</v>
    <v>STERIS PUBLIC LIMITED COMPANY (XNYS:STE)</v>
    <v>2</v>
    <v>3</v>
    <v>Finance</v>
    <v>4</v>
    <v>268.60000000000002</v>
    <v>200.98</v>
    <v>1.0264</v>
    <v>0.8</v>
    <v>0</v>
    <v>3.1319999999999998E-3</v>
    <v>0</v>
    <v>USD</v>
    <v>STERIS Plc is a provider of products and services that support patient care with an emphasis on infection prevention. Its segments include Healthcare, Applied Sterilization Technologies (AST), and Life Sciences. Its Healthcare segment provides a comprehensive offering for healthcare providers worldwide, focused on sterile processing departments and procedural centers, such as operating rooms and endoscopy suites. AST segment supports medical device and pharmaceutical manufacturers through a global network of contract sterilization and laboratory testing facilities, and integrated sterilization equipment and control systems. Its Life Sciences segment provides a comprehensive offering of products and services designed to support biopharmaceutical and medical device research and manufacturing facilities, in particular those focused on aseptic manufacturing. Its portfolio includes a full suite of consumable products, equipment maintenance, specialty services, and capital equipment.</v>
    <v>17787</v>
    <v>New York Stock Exchange</v>
    <v>XNYS</v>
    <v>XNYS</v>
    <v>70 Sir John Rogerson's Quay, DUBLIN IE</v>
    <v>257.24</v>
    <v>Healthcare Equipment &amp; Supplies</v>
    <v>Stock</v>
    <v>46021.000000010936</v>
    <v>9</v>
    <v>255.34</v>
    <v>25147226902</v>
    <v>STERIS PUBLIC LIMITED COMPANY</v>
    <v>STERIS PUBLIC LIMITED COMPANY</v>
    <v>255.73</v>
    <v>36.689300000000003</v>
    <v>255.42</v>
    <v>256.22000000000003</v>
    <v>256.22000000000003</v>
    <v>98147010</v>
    <v>STE</v>
    <v>STERIS PUBLIC LIMITED COMPANY (XNYS:STE)</v>
    <v>366451</v>
    <v>626666</v>
    <v>2016</v>
  </rv>
  <rv s="2">
    <v>10</v>
  </rv>
  <rv s="0">
    <v>https://www.bing.com/financeapi/forcetrigger?t=a1zsjc&amp;q=XNYS%3aPG&amp;form=skydnc</v>
    <v>Learn more on Bing</v>
  </rv>
  <rv s="1">
    <v>en-US</v>
    <v>a1zsjc</v>
    <v>268435456</v>
    <v>1</v>
    <v>Powered by Refinitiv</v>
    <v>0</v>
    <v>THE PROCTER &amp; GAMBLE COMPANY (XNYS:PG)</v>
    <v>2</v>
    <v>3</v>
    <v>Finance</v>
    <v>4</v>
    <v>179.99</v>
    <v>138.13999999999999</v>
    <v>0.38500000000000001</v>
    <v>-0.17</v>
    <v>7.6090000000000001E-4</v>
    <v>-1.1749999999999998E-3</v>
    <v>0.11</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145.07</v>
    <v>Personal &amp; Household Products &amp; Services</v>
    <v>Stock</v>
    <v>46021.041326180472</v>
    <v>12</v>
    <v>143.94499999999999</v>
    <v>337821634380</v>
    <v>THE PROCTER &amp; GAMBLE COMPANY</v>
    <v>THE PROCTER &amp; GAMBLE COMPANY</v>
    <v>144.80000000000001</v>
    <v>21.104199999999999</v>
    <v>144.74</v>
    <v>144.57</v>
    <v>144.68</v>
    <v>2336734000</v>
    <v>PG</v>
    <v>THE PROCTER &amp; GAMBLE COMPANY (XNYS:PG)</v>
    <v>7662127</v>
    <v>10988615</v>
    <v>1905</v>
  </rv>
  <rv s="2">
    <v>13</v>
  </rv>
  <rv s="0">
    <v>https://www.bing.com/financeapi/forcetrigger?t=a1wi77&amp;q=XNAS%3aKHC&amp;form=skydnc</v>
    <v>Learn more on Bing</v>
  </rv>
  <rv s="1">
    <v>en-US</v>
    <v>a1wi77</v>
    <v>268435456</v>
    <v>1</v>
    <v>Powered by Refinitiv</v>
    <v>0</v>
    <v>THE KRAFT HEINZ COMPANY (XNAS:KHC)</v>
    <v>2</v>
    <v>3</v>
    <v>Finance</v>
    <v>4</v>
    <v>33.35</v>
    <v>23.6</v>
    <v>6.0199999999999997E-2</v>
    <v>0.12</v>
    <v>1.6489999999999999E-3</v>
    <v>4.973E-3</v>
    <v>0.04</v>
    <v>USD</v>
    <v>The Kraft Heinz Company manufactures and markets food and beverage products around the world through its eight consumer-driven product platforms: Taste Elevation, Easy Ready Meals, Substantial Snacking, Desserts, Hydration, Cheese, Coffee, and Meats. The Company has two reportable segments defined by geographic region: North America and International Developed Markets. Its other segments, consisting of West and East Emerging Markets (WEEM) and Asia Emerging Markets (AEM), are combined and disclosed as Emerging Markets. It manufactures its products from a wide variety of raw materials. Its brands include Kraft, Oscar Mayer, Heinz, Philadelphia, Lunchables, Velveeta, Ore-Ida, Capri Sun, Maxwell Apartment, Kool-Aid, Jell-O, Heinz, Golden Circle, Wattie’s, Plasmon, Heinz, ABC, Master, Quero, Kraft, and Pudliszki, among others. The Company’s products are sold through its own sales organizations and through independent brokers, agents, and distributors.</v>
    <v>36000</v>
    <v>Nasdaq Stock Market</v>
    <v>XNAS</v>
    <v>XNAS</v>
    <v>One Ppg Place, PITTSBURGH, PA, 15222 US</v>
    <v>24.46</v>
    <v>Food &amp; Tobacco</v>
    <v>Stock</v>
    <v>46021.041333089845</v>
    <v>15</v>
    <v>24.105</v>
    <v>28703658000</v>
    <v>THE KRAFT HEINZ COMPANY</v>
    <v>THE KRAFT HEINZ COMPANY</v>
    <v>24.15</v>
    <v>0</v>
    <v>24.13</v>
    <v>24.25</v>
    <v>24.29</v>
    <v>1183656000</v>
    <v>KHC</v>
    <v>THE KRAFT HEINZ COMPANY (XNAS:KHC)</v>
    <v>15485710</v>
    <v>12851754</v>
    <v>2013</v>
  </rv>
  <rv s="2">
    <v>16</v>
  </rv>
  <rv s="0">
    <v>https://www.bing.com/financeapi/forcetrigger?t=a24kjc&amp;q=XNYS%3aTSM&amp;form=skydnc</v>
    <v>Learn more on Bing</v>
  </rv>
  <rv s="1">
    <v>en-US</v>
    <v>a24kjc</v>
    <v>268435456</v>
    <v>1</v>
    <v>Powered by Refinitiv</v>
    <v>0</v>
    <v>Taiwan Semiconductor Manufacturing Co., Ltd. (XNYS:TSM)</v>
    <v>2</v>
    <v>3</v>
    <v>Finance</v>
    <v>4</v>
    <v>313.98</v>
    <v>134.25</v>
    <v>1.2961</v>
    <v>-1.92</v>
    <v>-1E-4</v>
    <v>-6.3400000000000001E-3</v>
    <v>-3.0099999999999998E-2</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304.5</v>
    <v>Semiconductors &amp; Semiconductor Equipment</v>
    <v>Stock</v>
    <v>46021.04109630781</v>
    <v>18</v>
    <v>298.64999999999998</v>
    <v>1246002000000</v>
    <v>Taiwan Semiconductor Manufacturing Co., Ltd.</v>
    <v>Taiwan Semiconductor Manufacturing Co., Ltd.</v>
    <v>301.77999999999997</v>
    <v>29.9435</v>
    <v>302.83999999999997</v>
    <v>300.92</v>
    <v>300.88990000000001</v>
    <v>5186505000</v>
    <v>TSM</v>
    <v>Taiwan Semiconductor Manufacturing Co., Ltd. (XNYS:TSM)</v>
    <v>6205140</v>
    <v>11463551</v>
    <v>1987</v>
  </rv>
  <rv s="2">
    <v>19</v>
  </rv>
  <rv s="0">
    <v>https://www.bing.com/financeapi/forcetrigger?t=a1qga2&amp;q=XNAS%3aCSX&amp;form=skydnc</v>
    <v>Learn more on Bing</v>
  </rv>
  <rv s="1">
    <v>en-US</v>
    <v>a1qga2</v>
    <v>268435456</v>
    <v>1</v>
    <v>Powered by Refinitiv</v>
    <v>0</v>
    <v>CSX Corporation (XNAS:CSX)</v>
    <v>2</v>
    <v>3</v>
    <v>Finance</v>
    <v>4</v>
    <v>37.54</v>
    <v>26.218399999999999</v>
    <v>1.3061</v>
    <v>0.1</v>
    <v>-3.2679999999999996E-3</v>
    <v>2.7309999999999999E-3</v>
    <v>-0.12</v>
    <v>USD</v>
    <v>CSX Corporation is a transportation company. The Company provides rail, intermodal and rail-to-truck transload services and solutions to customers across an array of markets, including energy, industrial, construction, agricultural and consumer products. It provides rail-based freight transportation services, including traditional rail service, the transport of intermodal containers and trailers, as well as other transportation services such as rail-to-truck transfers and bulk commodity operations. Through its subsidiary, CSX Transportation, Inc. (CSXT), it provides a link to the transportation supply chain through its approximately 20,000 route-mile rail network and serves major population centers in 26 states east of the Mississippi River, the District of Columbia and the Canadian provinces of Ontario and Quebec. CSXT is also engaged in real estate sales, leasing, acquisition and management and development activities. It serves merchandise, intermodal, coal, and trucking businesses.</v>
    <v>23200</v>
    <v>Nasdaq Stock Market</v>
    <v>XNAS</v>
    <v>XNAS</v>
    <v>500 Water Street, 15th Floor, JACKSONVILLE, FL, 32202 US</v>
    <v>36.76</v>
    <v>Freight &amp; Logistics Services</v>
    <v>Stock</v>
    <v>46021.03641359922</v>
    <v>21</v>
    <v>36.53</v>
    <v>68377670640</v>
    <v>CSX Corporation</v>
    <v>CSX Corporation</v>
    <v>36.65</v>
    <v>23.898499999999999</v>
    <v>36.619999999999997</v>
    <v>36.72</v>
    <v>36.6</v>
    <v>1862137000</v>
    <v>CSX</v>
    <v>CSX Corporation (XNAS:CSX)</v>
    <v>7667172</v>
    <v>12235073</v>
    <v>1978</v>
  </rv>
  <rv s="2">
    <v>22</v>
  </rv>
  <rv s="0">
    <v>https://www.bing.com/financeapi/forcetrigger?t=a1zxim&amp;q=XNAS%3aPKOH&amp;form=skydnc</v>
    <v>Learn more on Bing</v>
  </rv>
  <rv s="1">
    <v>en-US</v>
    <v>a1zxim</v>
    <v>268435456</v>
    <v>1</v>
    <v>Powered by Refinitiv</v>
    <v>0</v>
    <v>PARK-OHIO HOLDINGS CORP. (XNAS:PKOH)</v>
    <v>2</v>
    <v>3</v>
    <v>Finance</v>
    <v>4</v>
    <v>27.295000000000002</v>
    <v>15.52</v>
    <v>1.1618999999999999</v>
    <v>0.01</v>
    <v>0</v>
    <v>4.7419999999999998E-4</v>
    <v>0</v>
    <v>USD</v>
    <v>Park-Ohio Holdings Corp. is a diversified international company that provides customers with a supply chain management outsourcing service, capital equipment used on their production lines, and manufactured components used to assemble their products. Its segments include Supply Technologies, Assembly Components and Engineered Products. Supply Technologies segment provides its customers with Total Supply Management, a proactive solutions approach that manages all aspects of supplying production parts and materials to its customers manufacturing floors, from strategic planning to program implementation. Assembly Components segment designs, develops and manufactures high pressure direct fuel injection fuel rails and pipes, fuel filler pipes and flexible multi-layer plastic and rubber assemblies. Its Engineered Products segment designs and manufactures a range of engineered products, including induction heating and melting systems, pipe threading systems, and forged and machined products.</v>
    <v>6300</v>
    <v>Nasdaq Stock Market</v>
    <v>XNAS</v>
    <v>XNAS</v>
    <v>6065 PARKLAND BLVD., CLEVELAND, OH, 44124 US</v>
    <v>21.625</v>
    <v>Machinery, Equipment &amp; Components</v>
    <v>Stock</v>
    <v>46020.903873726566</v>
    <v>24</v>
    <v>20.844999999999999</v>
    <v>303928831</v>
    <v>PARK-OHIO HOLDINGS CORP.</v>
    <v>PARK-OHIO HOLDINGS CORP.</v>
    <v>21.02</v>
    <v>10.171099999999999</v>
    <v>21.09</v>
    <v>21.1</v>
    <v>21.1</v>
    <v>14404210</v>
    <v>PKOH</v>
    <v>PARK-OHIO HOLDINGS CORP. (XNAS:PKOH)</v>
    <v>22611</v>
    <v>40087</v>
    <v>1998</v>
  </rv>
  <rv s="2">
    <v>25</v>
  </rv>
  <rv s="0">
    <v>https://www.bing.com/financeapi/forcetrigger?t=a1slm7&amp;q=XNAS%3aMETA&amp;form=skydnc</v>
    <v>Learn more on Bing</v>
  </rv>
  <rv s="1">
    <v>en-US</v>
    <v>a1slm7</v>
    <v>268435456</v>
    <v>1</v>
    <v>Powered by Refinitiv</v>
    <v>0</v>
    <v>Meta Platforms, Inc. (XNAS:META)</v>
    <v>2</v>
    <v>3</v>
    <v>Finance</v>
    <v>4</v>
    <v>796.25</v>
    <v>479.8</v>
    <v>1.288</v>
    <v>-4.5999999999999996</v>
    <v>-2.7179999999999999E-3</v>
    <v>-6.9350000000000002E-3</v>
    <v>-1.79</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78450</v>
    <v>Nasdaq Stock Market</v>
    <v>XNAS</v>
    <v>XNAS</v>
    <v>1 Meta Way, MENLO PARK, CA, 94025 US</v>
    <v>660.25</v>
    <v>Software &amp; IT Services</v>
    <v>Stock</v>
    <v>46021.041641435157</v>
    <v>27</v>
    <v>654.39</v>
    <v>1660246588320</v>
    <v>Meta Platforms, Inc.</v>
    <v>Meta Platforms, Inc.</v>
    <v>658.01</v>
    <v>22.6617</v>
    <v>663.29</v>
    <v>658.69</v>
    <v>656.9</v>
    <v>2520528000</v>
    <v>META</v>
    <v>Meta Platforms, Inc. (XNAS:META)</v>
    <v>8506477</v>
    <v>17051924</v>
    <v>2004</v>
  </rv>
  <rv s="2">
    <v>28</v>
  </rv>
  <rv s="0">
    <v>https://www.bing.com/financeapi/forcetrigger?t=a21gh7&amp;q=XNYS%3aPWR&amp;form=skydnc</v>
    <v>Learn more on Bing</v>
  </rv>
  <rv s="1">
    <v>en-US</v>
    <v>a21gh7</v>
    <v>268435456</v>
    <v>1</v>
    <v>Powered by Refinitiv</v>
    <v>0</v>
    <v>QUANTA SERVICES, INC. (XNYS:PWR)</v>
    <v>2</v>
    <v>3</v>
    <v>Finance</v>
    <v>4</v>
    <v>473.99</v>
    <v>227.08</v>
    <v>1.1436999999999999</v>
    <v>-1.64</v>
    <v>8.9779999999999999E-3</v>
    <v>-3.79E-3</v>
    <v>3.87</v>
    <v>USD</v>
    <v>Quanta Services, Inc. provides specialized infrastructure solutions to the utility, renewable energy, technology, communications, pipeline, and energy industries in the United States, Canada, Australia and other international markets. Its segments include Electric Infrastructure Solutions (Electric) and Underground Utility and Infrastructure Solutions (Underground and Infrastructure). Electric provides comprehensive services for electric power, renewable energy, technology and communications markets. Services include design, procurement, new construction, upgrade and repair and maintenance services for electric power transmission and distribution infrastructure, both overhead and underground, and substation facilities, along with other engineering and technical services. The Underground and Infrastructure provides comprehensive infrastructure solutions to customers involved in the transportation, distribution, storage, development and processing of natural gas, oil and other products.</v>
    <v>58400</v>
    <v>New York Stock Exchange</v>
    <v>XNYS</v>
    <v>XNYS</v>
    <v>2727 NORTH LOOP WEST, HOUSTON, TX, 77008 US</v>
    <v>435.95</v>
    <v>Construction &amp; Engineering</v>
    <v>Stock</v>
    <v>46021.038389374997</v>
    <v>30</v>
    <v>430.09</v>
    <v>64273426376</v>
    <v>QUANTA SERVICES, INC.</v>
    <v>QUANTA SERVICES, INC.</v>
    <v>430.54</v>
    <v>63.927300000000002</v>
    <v>432.67</v>
    <v>431.03</v>
    <v>434.9</v>
    <v>149115900</v>
    <v>PWR</v>
    <v>QUANTA SERVICES, INC. (XNYS:PWR)</v>
    <v>503118</v>
    <v>978784</v>
    <v>1997</v>
  </rv>
  <rv s="2">
    <v>31</v>
  </rv>
  <rv s="0">
    <v>https://www.bing.com/financeapi/forcetrigger?t=a23rm7&amp;q=XNYS%3aSTZ&amp;form=skydnc</v>
    <v>Learn more on Bing</v>
  </rv>
  <rv s="1">
    <v>en-US</v>
    <v>a23rm7</v>
    <v>268435456</v>
    <v>1</v>
    <v>Powered by Refinitiv</v>
    <v>0</v>
    <v>CONSTELLATION BRANDS, INC. (XNYS:STZ)</v>
    <v>2</v>
    <v>3</v>
    <v>Finance</v>
    <v>4</v>
    <v>228.89</v>
    <v>126.45</v>
    <v>0.44619999999999999</v>
    <v>-0.9</v>
    <v>-7.9420000000000001E-4</v>
    <v>-6.4559999999999999E-3</v>
    <v>-0.11</v>
    <v>USD</v>
    <v>Constellation Brands, Inc. is a producer and marketer of beer, wine, and spirits with operations in the United States, Mexico, New Zealand, and Italy with brands, such as Corona Extra, Modelo Especial, Robert Mondavi Winery, Kim Crawford, The Prisoner Wine Company, High West, Casa Noble, and Mi CAMPO. Its segments include Beer, Wine and Spirits, and Corporate Operations and Other. In the Beer segment, its portfolio consists of high-end imported beer brands and ABAs. It has a perpetual brand license to produce its Mexican beer portfolio and to import, market, and sell such a portfolio in the United States. In the Wine and Spirits segment, it sells a portfolio that includes higher-end wine brands complemented by certain higher-end spirits brands. Its Corporate Operations and Other segment consists of costs of corporate development, corporate finance, corporate strategy, executive management, growth, human resources, internal audit, investor relations, IT, legal and public relations.</v>
    <v>10600</v>
    <v>New York Stock Exchange</v>
    <v>XNYS</v>
    <v>XNYS</v>
    <v>50 East Broad Street, ROCHESTER, NY, 14614 US</v>
    <v>140.46</v>
    <v>Beverages</v>
    <v>Stock</v>
    <v>46021.032442279684</v>
    <v>33</v>
    <v>137.62</v>
    <v>24106211145</v>
    <v>CONSTELLATION BRANDS, INC.</v>
    <v>CONSTELLATION BRANDS, INC.</v>
    <v>139.31</v>
    <v>20.216899999999999</v>
    <v>139.41</v>
    <v>138.51</v>
    <v>138.4</v>
    <v>174039500</v>
    <v>STZ</v>
    <v>CONSTELLATION BRANDS, INC. (XNYS:STZ)</v>
    <v>1906953</v>
    <v>2485096</v>
    <v>1972</v>
  </rv>
  <rv s="2">
    <v>34</v>
  </rv>
  <rv s="0">
    <v>https://www.bing.com/financeapi/forcetrigger?t=a1wzw7&amp;q=XNYS%3aLMT&amp;form=skydnc</v>
    <v>Learn more on Bing</v>
  </rv>
  <rv s="1">
    <v>en-US</v>
    <v>a1wzw7</v>
    <v>268435456</v>
    <v>1</v>
    <v>Powered by Refinitiv</v>
    <v>0</v>
    <v>LOCKHEED MARTIN CORPORATION (XNYS:LMT)</v>
    <v>2</v>
    <v>3</v>
    <v>Finance</v>
    <v>4</v>
    <v>516</v>
    <v>410.11</v>
    <v>0.2505</v>
    <v>5.84</v>
    <v>1.555E-3</v>
    <v>1.209E-2</v>
    <v>0.76</v>
    <v>USD</v>
    <v>Lockheed Martin Corporation is a global aerospace and defense company. The Company is engaged in the research, design, development, manufacture, integration and sustainment of advanced technology systems, products and services. Its segments include Aeronautics, Missiles and Fire Control (MFC), Rotary and Mission Systems (RMS) and Space. Aeronautics segment is engaged in the research, design, development, manufacture, integration, sustainment, support and upgrade of advanced military aircraft. MFC segment provides air and missile defense systems, manned and unmanned ground vehicles, energy management solutions, and others. RMS segment designs, manufactures, services and supports various military and commercial helicopters, surface ships, sea and land-based missile defense systems, and others. Its Space segment is engaged in the research and design, development, engineering and production of satellites, space transportation systems, and strategic, advanced strike, and defensive systems.</v>
    <v>121000</v>
    <v>New York Stock Exchange</v>
    <v>XNYS</v>
    <v>XNYS</v>
    <v>6801 ROCKLEDGE DR, BETHESDA, MD, 20817 US</v>
    <v>489.43</v>
    <v>Aerospace &amp; Defense</v>
    <v>Stock</v>
    <v>46021.041453332815</v>
    <v>36</v>
    <v>483.29</v>
    <v>113123442486</v>
    <v>LOCKHEED MARTIN CORPORATION</v>
    <v>LOCKHEED MARTIN CORPORATION</v>
    <v>483.83</v>
    <v>27.232500000000002</v>
    <v>483.03</v>
    <v>488.87</v>
    <v>489.63</v>
    <v>231397800</v>
    <v>LMT</v>
    <v>LOCKHEED MARTIN CORPORATION (XNYS:LMT)</v>
    <v>933384</v>
    <v>1372769</v>
    <v>1994</v>
  </rv>
  <rv s="2">
    <v>37</v>
  </rv>
  <rv s="0">
    <v>https://www.bing.com/financeapi/forcetrigger?t=a1u3rw&amp;q=XNAS%3aGOOGL&amp;form=skydnc</v>
    <v>Learn more on Bing</v>
  </rv>
  <rv s="1">
    <v>en-US</v>
    <v>a1u3rw</v>
    <v>268435456</v>
    <v>1</v>
    <v>Powered by Refinitiv</v>
    <v>0</v>
    <v>ALPHABET INC. (XNAS:GOOGL)</v>
    <v>2</v>
    <v>3</v>
    <v>Finance</v>
    <v>4</v>
    <v>328.83</v>
    <v>140.53</v>
    <v>1.0823</v>
    <v>0.05</v>
    <v>-2.137E-3</v>
    <v>1.595E-4</v>
    <v>-0.67</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190167</v>
    <v>Nasdaq Stock Market</v>
    <v>XNAS</v>
    <v>XNAS</v>
    <v>1600 Amphitheatre Parkway, MOUNTAIN VIEW, CA, 94043 US</v>
    <v>314.02</v>
    <v>Software &amp; IT Services</v>
    <v>Stock</v>
    <v>46021.041609501561</v>
    <v>39</v>
    <v>310.62</v>
    <v>3790965000000</v>
    <v>ALPHABET INC.</v>
    <v>ALPHABET INC.</v>
    <v>311.36500000000001</v>
    <v>30.920300000000001</v>
    <v>313.51</v>
    <v>313.56</v>
    <v>312.89</v>
    <v>12067000000</v>
    <v>GOOGL</v>
    <v>ALPHABET INC. (XNAS:GOOGL)</v>
    <v>19621777</v>
    <v>40487219</v>
    <v>2015</v>
  </rv>
  <rv s="2">
    <v>40</v>
  </rv>
  <rv s="0">
    <v>http://en.wikipedia.org/wiki/Public_domain</v>
    <v>Public domain</v>
  </rv>
  <rv s="0">
    <v>https://en.wikipedia.org/wiki/Microsoft</v>
    <v>Wikipedia</v>
  </rv>
  <rv s="3">
    <v>42</v>
    <v>43</v>
  </rv>
  <rv s="4">
    <v>9</v>
    <v>https://www.bing.com/th?id=AMMS_e6e837c7bf3a77408619758b7447855a&amp;qlt=95</v>
    <v>44</v>
    <v>0</v>
    <v>https://www.bing.com/images/search?form=xlimg&amp;q=microsoft</v>
    <v>Image of MICROSOFT CORPORATION</v>
  </rv>
  <rv s="0">
    <v>https://www.bing.com/financeapi/forcetrigger?t=a1xzim&amp;q=XNAS%3aMSFT&amp;form=skydnc</v>
    <v>Learn more on Bing</v>
  </rv>
  <rv s="5">
    <v>en-US</v>
    <v>a1xzim</v>
    <v>268435456</v>
    <v>1</v>
    <v>Powered by Refinitiv</v>
    <v>5</v>
    <v>MICROSOFT CORPORATION (XNAS:MSFT)</v>
    <v>7</v>
    <v>8</v>
    <v>Finance</v>
    <v>4</v>
    <v>555.45000000000005</v>
    <v>344.79</v>
    <v>1.071</v>
    <v>-0.61</v>
    <v>-2.464E-3</v>
    <v>-1.2509999999999999E-3</v>
    <v>-1.2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488.35</v>
    <v>45</v>
    <v>Software &amp; IT Services</v>
    <v>Stock</v>
    <v>46021.041609582811</v>
    <v>46</v>
    <v>484.18</v>
    <v>3620310836700</v>
    <v>MICROSOFT CORPORATION</v>
    <v>MICROSOFT CORPORATION</v>
    <v>484.85500000000002</v>
    <v>34.655700000000003</v>
    <v>487.71</v>
    <v>487.1</v>
    <v>485.9</v>
    <v>7432377000</v>
    <v>MSFT</v>
    <v>MICROSOFT CORPORATION (XNAS:MSFT)</v>
    <v>10893408</v>
    <v>24689094</v>
    <v>1993</v>
  </rv>
  <rv s="2">
    <v>47</v>
  </rv>
  <rv s="6">
    <fb>636.03</fb>
    <v>10</v>
  </rv>
  <rv s="6">
    <fb>368.84</fb>
    <v>10</v>
  </rv>
  <rv s="6">
    <fb>62.26</fb>
    <v>10</v>
  </rv>
  <rv s="6">
    <fb>205.56</fb>
    <v>10</v>
  </rv>
  <rv s="6">
    <fb>167.65</fb>
    <v>10</v>
  </rv>
  <rv s="6">
    <fb>30.71</fb>
    <v>10</v>
  </rv>
  <rv s="6">
    <fb>197.49</fb>
    <v>10</v>
  </rv>
  <rv s="6">
    <fb>32.270000000000003</fb>
    <v>10</v>
  </rv>
  <rv s="6">
    <fb>26.27</fb>
    <v>10</v>
  </rv>
  <rv s="6">
    <fb>585.51</fb>
    <v>10</v>
  </rv>
  <rv s="6">
    <fb>316.05</fb>
    <v>10</v>
  </rv>
  <rv s="6">
    <fb>221</fb>
    <v>10</v>
  </rv>
  <rv s="6">
    <fb>485.94</fb>
    <v>10</v>
  </rv>
  <rv s="6">
    <fb>189.3</fb>
    <v>10</v>
  </rv>
  <rv s="6">
    <fb>421.5</fb>
    <v>10</v>
  </rv>
  <rv s="6">
    <fb>238.24</fb>
    <v>10</v>
  </rv>
  <rv s="6">
    <fb>44929</fb>
    <v>11</v>
  </rv>
  <rv s="6">
    <fb>291.76</fb>
    <v>10</v>
  </rv>
  <rv s="6">
    <fb>234.29</fb>
    <v>10</v>
  </rv>
  <rv s="6">
    <fb>62.95</fb>
    <v>10</v>
  </rv>
  <rv s="6">
    <fb>185.58</fb>
    <v>10</v>
  </rv>
  <rv s="6">
    <fb>151.57</fb>
    <v>10</v>
  </rv>
  <rv s="6">
    <fb>40.78</fb>
    <v>10</v>
  </rv>
  <rv s="6">
    <fb>74.03</fb>
    <v>10</v>
  </rv>
  <rv s="6">
    <fb>30.88</fb>
    <v>10</v>
  </rv>
  <rv s="6">
    <fb>12.86</fb>
    <v>10</v>
  </rv>
  <rv s="6">
    <fb>124.74</fb>
    <v>10</v>
  </rv>
  <rv s="6">
    <fb>140.61000000000001</fb>
    <v>10</v>
  </rv>
  <rv s="6">
    <fb>227.6</fb>
    <v>10</v>
  </rv>
  <rv s="6">
    <fb>477.53</fb>
    <v>10</v>
  </rv>
  <rv s="6">
    <fb>89.12</fb>
    <v>10</v>
  </rv>
  <rv s="6">
    <fb>239.58</fb>
    <v>10</v>
  </rv>
  <rv s="6">
    <fb>44930</fb>
    <v>11</v>
  </rv>
  <rv s="6">
    <fb>296.89</fb>
    <v>10</v>
  </rv>
  <rv s="6">
    <fb>62.92</fb>
    <v>10</v>
  </rv>
  <rv s="6">
    <fb>191.32</fb>
    <v>10</v>
  </rv>
  <rv s="6">
    <fb>152.22999999999999</fb>
    <v>10</v>
  </rv>
  <rv s="6">
    <fb>41.24</fb>
    <v>10</v>
  </rv>
  <rv s="6">
    <fb>76.319999999999993</fb>
    <v>10</v>
  </rv>
  <rv s="6">
    <fb>31.28</fb>
    <v>10</v>
  </rv>
  <rv s="6">
    <fb>12.16</fb>
    <v>10</v>
  </rv>
  <rv s="6">
    <fb>127.37</fb>
    <v>10</v>
  </rv>
  <rv s="6">
    <fb>138.55000000000001</fb>
    <v>10</v>
  </rv>
  <rv s="6">
    <fb>231.16</fb>
    <v>10</v>
  </rv>
  <rv s="6">
    <fb>476.5</fb>
    <v>10</v>
  </rv>
  <rv s="6">
    <fb>88.08</fb>
    <v>10</v>
  </rv>
  <rv s="6">
    <fb>229.1</fb>
    <v>10</v>
  </rv>
  <rv s="6">
    <fb>44931</fb>
    <v>11</v>
  </rv>
  <rv s="6">
    <fb>298.10000000000002</fb>
    <v>10</v>
  </rv>
  <rv s="6">
    <fb>229.89</fb>
    <v>10</v>
  </rv>
  <rv s="6">
    <fb>62.2</fb>
    <v>10</v>
  </rv>
  <rv s="6">
    <fb>187.29</fb>
    <v>10</v>
  </rv>
  <rv s="6">
    <fb>150.34</fb>
    <v>10</v>
  </rv>
  <rv s="6">
    <fb>41.33</fb>
    <v>10</v>
  </rv>
  <rv s="6">
    <fb>75.73</fb>
    <v>10</v>
  </rv>
  <rv s="6">
    <fb>30.91</fb>
    <v>10</v>
  </rv>
  <rv s="6">
    <fb>12.58</fb>
    <v>10</v>
  </rv>
  <rv s="6">
    <fb>126.94</fb>
    <v>10</v>
  </rv>
  <rv s="6">
    <fb>135.57</fb>
    <v>10</v>
  </rv>
  <rv s="6">
    <fb>208.68</fb>
    <v>10</v>
  </rv>
  <rv s="6">
    <fb>477.07</fb>
    <v>10</v>
  </rv>
  <rv s="6">
    <fb>86.2</fb>
    <v>10</v>
  </rv>
  <rv s="6">
    <fb>222.31</fb>
    <v>10</v>
  </rv>
  <rv s="6">
    <fb>44932</fb>
    <v>11</v>
  </rv>
  <rv s="6">
    <fb>308.55</fb>
    <v>10</v>
  </rv>
  <rv s="6">
    <fb>236.63</fb>
    <v>10</v>
  </rv>
  <rv s="6">
    <fb>63.4</fb>
    <v>10</v>
  </rv>
  <rv s="6">
    <fb>191.75</fb>
    <v>10</v>
  </rv>
  <rv s="6">
    <fb>153.91999999999999</fb>
    <v>10</v>
  </rv>
  <rv s="6">
    <fb>42.59</fb>
    <v>10</v>
  </rv>
  <rv s="6">
    <fb>78.069999999999993</fb>
    <v>10</v>
  </rv>
  <rv s="6">
    <fb>32.200000000000003</fb>
    <v>10</v>
  </rv>
  <rv s="6">
    <fb>12.3</fb>
    <v>10</v>
  </rv>
  <rv s="6">
    <fb>130.02000000000001</fb>
    <v>10</v>
  </rv>
  <rv s="6">
    <fb>139.12</fb>
    <v>10</v>
  </rv>
  <rv s="6">
    <fb>214.23</fb>
    <v>10</v>
  </rv>
  <rv s="6">
    <fb>473.24</fb>
    <v>10</v>
  </rv>
  <rv s="6">
    <fb>87.34</fb>
    <v>10</v>
  </rv>
  <rv s="6">
    <fb>224.93</fb>
    <v>10</v>
  </rv>
  <rv s="6">
    <fb>44935</fb>
    <v>11</v>
  </rv>
  <rv s="6">
    <fb>309.52</fb>
    <v>10</v>
  </rv>
  <rv s="6">
    <fb>237.64</fb>
    <v>10</v>
  </rv>
  <rv s="6">
    <fb>62.61</fb>
    <v>10</v>
  </rv>
  <rv s="6">
    <fb>190.85</fb>
    <v>10</v>
  </rv>
  <rv s="6">
    <fb>152.04</fb>
    <v>10</v>
  </rv>
  <rv s="6">
    <fb>42.2</fb>
    <v>10</v>
  </rv>
  <rv s="6">
    <fb>80.31</fb>
    <v>10</v>
  </rv>
  <rv s="6">
    <fb>32.14</fb>
    <v>10</v>
  </rv>
  <rv s="6">
    <fb>12.99</fb>
    <v>10</v>
  </rv>
  <rv s="6">
    <fb>129.47</fb>
    <v>10</v>
  </rv>
  <rv s="6">
    <fb>138.63999999999999</fb>
    <v>10</v>
  </rv>
  <rv s="6">
    <fb>215.51</fb>
    <v>10</v>
  </rv>
  <rv s="6">
    <fb>458.99</fb>
    <v>10</v>
  </rv>
  <rv s="6">
    <fb>88.02</fb>
    <v>10</v>
  </rv>
  <rv s="6">
    <fb>227.12</fb>
    <v>10</v>
  </rv>
  <rv s="6">
    <fb>44936</fb>
    <v>11</v>
  </rv>
  <rv s="6">
    <fb>310.5</fb>
    <v>10</v>
  </rv>
  <rv s="6">
    <fb>238.85</fb>
    <v>10</v>
  </rv>
  <rv s="6">
    <fb>62.13</fb>
    <v>10</v>
  </rv>
  <rv s="6">
    <fb>201.52</fb>
    <v>10</v>
  </rv>
  <rv s="6">
    <fb>151.88999999999999</fb>
    <v>10</v>
  </rv>
  <rv s="6">
    <fb>42.33</fb>
    <v>10</v>
  </rv>
  <rv s="6">
    <fb>81.27</fb>
    <v>10</v>
  </rv>
  <rv s="6">
    <fb>32.4</fb>
    <v>10</v>
  </rv>
  <rv s="6">
    <fb>13.24</fb>
    <v>10</v>
  </rv>
  <rv s="6">
    <fb>132.99</fb>
    <v>10</v>
  </rv>
  <rv s="6">
    <fb>139.51</fb>
    <v>10</v>
  </rv>
  <rv s="6">
    <fb>220</fb>
    <v>10</v>
  </rv>
  <rv s="6">
    <fb>462.29</fb>
    <v>10</v>
  </rv>
  <rv s="6">
    <fb>88.42</fb>
    <v>10</v>
  </rv>
  <rv s="6">
    <fb>228.85</fb>
    <v>10</v>
  </rv>
  <rv s="6">
    <fb>44937</fb>
    <v>11</v>
  </rv>
  <rv s="6">
    <fb>311.32</fb>
    <v>10</v>
  </rv>
  <rv s="6">
    <fb>246.24</fb>
    <v>10</v>
  </rv>
  <rv s="6">
    <fb>62.01</fb>
    <v>10</v>
  </rv>
  <rv s="6">
    <fb>200.69</fb>
    <v>10</v>
  </rv>
  <rv s="6">
    <fb>150.66</fb>
    <v>10</v>
  </rv>
  <rv s="6">
    <fb>42.56</fb>
    <v>10</v>
  </rv>
  <rv s="6">
    <fb>81.78</fb>
    <v>10</v>
  </rv>
  <rv s="6">
    <fb>32.450000000000003</fb>
    <v>10</v>
  </rv>
  <rv s="6">
    <fb>12.7</fb>
    <v>10</v>
  </rv>
  <rv s="6">
    <fb>132.88999999999999</fb>
    <v>10</v>
  </rv>
  <rv s="6">
    <fb>140.69</fb>
    <v>10</v>
  </rv>
  <rv s="6">
    <fb>222.64</fb>
    <v>10</v>
  </rv>
  <rv s="6">
    <fb>463</fb>
    <v>10</v>
  </rv>
  <rv s="6">
    <fb>91.52</fb>
    <v>10</v>
  </rv>
  <rv s="6">
    <fb>235.77</fb>
    <v>10</v>
  </rv>
  <rv s="6">
    <fb>44938</fb>
    <v>11</v>
  </rv>
  <rv s="6">
    <fb>315.18</fb>
    <v>10</v>
  </rv>
  <rv s="6">
    <fb>241.93</fb>
    <v>10</v>
  </rv>
  <rv s="6">
    <fb>61.21</fb>
    <v>10</v>
  </rv>
  <rv s="6">
    <fb>200.23</fb>
    <v>10</v>
  </rv>
  <rv s="6">
    <fb>149.81</fb>
    <v>10</v>
  </rv>
  <rv s="6">
    <fb>42.43</fb>
    <v>10</v>
  </rv>
  <rv s="6">
    <fb>87</fb>
    <v>10</v>
  </rv>
  <rv s="6">
    <fb>32.49</fb>
    <v>10</v>
  </rv>
  <rv s="6">
    <fb>13.99</fb>
    <v>10</v>
  </rv>
  <rv s="6">
    <fb>136.71</fb>
    <v>10</v>
  </rv>
  <rv s="6">
    <fb>147.81</fb>
    <v>10</v>
  </rv>
  <rv s="6">
    <fb>223.19</fb>
    <v>10</v>
  </rv>
  <rv s="6">
    <fb>461.74</fb>
    <v>10</v>
  </rv>
  <rv s="6">
    <fb>91.13</fb>
    <v>10</v>
  </rv>
  <rv s="6">
    <fb>238.51</fb>
    <v>10</v>
  </rv>
  <rv s="6">
    <fb>44939</fb>
    <v>11</v>
  </rv>
  <rv s="6">
    <fb>317.49</fb>
    <v>10</v>
  </rv>
  <rv s="6">
    <fb>239.43</fb>
    <v>10</v>
  </rv>
  <rv s="6">
    <fb>61.43</fb>
    <v>10</v>
  </rv>
  <rv s="6">
    <fb>202.03</fb>
    <v>10</v>
  </rv>
  <rv s="6">
    <fb>150.88</fb>
    <v>10</v>
  </rv>
  <rv s="6">
    <fb>42.42</fb>
    <v>10</v>
  </rv>
  <rv s="6">
    <fb>86.8</fb>
    <v>10</v>
  </rv>
  <rv s="6">
    <fb>32.42</fb>
    <v>10</v>
  </rv>
  <rv s="6">
    <fb>14.15</fb>
    <v>10</v>
  </rv>
  <rv s="6">
    <fb>136.97999999999999</fb>
    <v>10</v>
  </rv>
  <rv s="6">
    <fb>148.5</fb>
    <v>10</v>
  </rv>
  <rv s="6">
    <fb>225</fb>
    <v>10</v>
  </rv>
  <rv s="6">
    <fb>449.83</fb>
    <v>10</v>
  </rv>
  <rv s="6">
    <fb>92.12</fb>
    <v>10</v>
  </rv>
  <rv s="6">
    <fb>239.23</fb>
    <v>10</v>
  </rv>
  <rv s="6">
    <fb>44943</fb>
    <v>11</v>
  </rv>
  <rv s="6">
    <fb>314.70999999999998</fb>
    <v>10</v>
  </rv>
  <rv s="6">
    <fb>238.17</fb>
    <v>10</v>
  </rv>
  <rv s="6">
    <fb>61.68</fb>
    <v>10</v>
  </rv>
  <rv s="6">
    <fb>199.88</fb>
    <v>10</v>
  </rv>
  <rv s="6">
    <fb>150.44</fb>
    <v>10</v>
  </rv>
  <rv s="6">
    <fb>88.99</fb>
    <v>10</v>
  </rv>
  <rv s="6">
    <fb>32.6</fb>
    <v>10</v>
  </rv>
  <rv s="6">
    <fb>13.86</fb>
    <v>10</v>
  </rv>
  <rv s="6">
    <fb>135.36000000000001</fb>
    <v>10</v>
  </rv>
  <rv s="6">
    <fb>148.27000000000001</fb>
    <v>10</v>
  </rv>
  <rv s="6">
    <fb>223.78</fb>
    <v>10</v>
  </rv>
  <rv s="6">
    <fb>447.16</fb>
    <v>10</v>
  </rv>
  <rv s="6">
    <fb>91.29</fb>
    <v>10</v>
  </rv>
  <rv s="6">
    <fb>240.35</fb>
    <v>10</v>
  </rv>
  <rv s="6">
    <fb>44944</fb>
    <v>11</v>
  </rv>
  <rv s="6">
    <fb>307.81</fb>
    <v>10</v>
  </rv>
  <rv s="6">
    <fb>237.01</fb>
    <v>10</v>
  </rv>
  <rv s="6">
    <fb>59.81</fb>
    <v>10</v>
  </rv>
  <rv s="6">
    <fb>195.14</fb>
    <v>10</v>
  </rv>
  <rv s="6">
    <fb>146.41</fb>
    <v>10</v>
  </rv>
  <rv s="6">
    <fb>39.659999999999997</fb>
    <v>10</v>
  </rv>
  <rv s="6">
    <fb>89.47</fb>
    <v>10</v>
  </rv>
  <rv s="6">
    <fb>32.229999999999997</fb>
    <v>10</v>
  </rv>
  <rv s="6">
    <fb>13.6</fb>
    <v>10</v>
  </rv>
  <rv s="6">
    <fb>133.02000000000001</fb>
    <v>10</v>
  </rv>
  <rv s="6">
    <fb>144.30000000000001</fb>
    <v>10</v>
  </rv>
  <rv s="6">
    <fb>219.6</fb>
    <v>10</v>
  </rv>
  <rv s="6">
    <fb>441.27</fb>
    <v>10</v>
  </rv>
  <rv s="6">
    <fb>91.12</fb>
    <v>10</v>
  </rv>
  <rv s="6">
    <fb>235.81</fb>
    <v>10</v>
  </rv>
  <rv s="6">
    <fb>44945</fb>
    <v>11</v>
  </rv>
  <rv s="6">
    <fb>297.81</fb>
    <v>10</v>
  </rv>
  <rv s="6">
    <fb>233.92</fb>
    <v>10</v>
  </rv>
  <rv s="6">
    <fb>59.72</fb>
    <v>10</v>
  </rv>
  <rv s="6">
    <fb>199.17</fb>
    <v>10</v>
  </rv>
  <rv s="6">
    <fb>142.41999999999999</fb>
    <v>10</v>
  </rv>
  <rv s="6">
    <fb>40.04</fb>
    <v>10</v>
  </rv>
  <rv s="6">
    <fb>88.4</fb>
    <v>10</v>
  </rv>
  <rv s="6">
    <fb>31.55</fb>
    <v>10</v>
  </rv>
  <rv s="6">
    <fb>12.97</fb>
    <v>10</v>
  </rv>
  <rv s="6">
    <fb>136.15</fb>
    <v>10</v>
  </rv>
  <rv s="6">
    <fb>143.49</fb>
    <v>10</v>
  </rv>
  <rv s="6">
    <fb>216.59</fb>
    <v>10</v>
  </rv>
  <rv s="6">
    <fb>439.31</fb>
    <v>10</v>
  </rv>
  <rv s="6">
    <fb>93.05</fb>
    <v>10</v>
  </rv>
  <rv s="6">
    <fb>231.93</fb>
    <v>10</v>
  </rv>
  <rv s="6">
    <fb>44946</fb>
    <v>11</v>
  </rv>
  <rv s="6">
    <fb>305.32</fb>
    <v>10</v>
  </rv>
  <rv s="6">
    <fb>235.9</fb>
    <v>10</v>
  </rv>
  <rv s="6">
    <fb>60.08</fb>
    <v>10</v>
  </rv>
  <rv s="6">
    <fb>205.11</fb>
    <v>10</v>
  </rv>
  <rv s="6">
    <fb>142.97</fb>
    <v>10</v>
  </rv>
  <rv s="6">
    <fb>39.880000000000003</fb>
    <v>10</v>
  </rv>
  <rv s="6">
    <fb>91.03</fb>
    <v>10</v>
  </rv>
  <rv s="6">
    <fb>32.01</fb>
    <v>10</v>
  </rv>
  <rv s="6">
    <fb>12.64</fb>
    <v>10</v>
  </rv>
  <rv s="6">
    <fb>139.37</fb>
    <v>10</v>
  </rv>
  <rv s="6">
    <fb>146.24</fb>
    <v>10</v>
  </rv>
  <rv s="6">
    <fb>220.88</fb>
    <v>10</v>
  </rv>
  <rv s="6">
    <fb>443.28</fb>
    <v>10</v>
  </rv>
  <rv s="6">
    <fb>98.02</fb>
    <v>10</v>
  </rv>
  <rv s="6">
    <fb>240.22</fb>
    <v>10</v>
  </rv>
  <rv s="6">
    <fb>44949</fb>
    <v>11</v>
  </rv>
  <rv s="6">
    <fb>311.70999999999998</fb>
    <v>10</v>
  </rv>
  <rv s="6">
    <fb>240.29</fb>
    <v>10</v>
  </rv>
  <rv s="6">
    <fb>60.23</fb>
    <v>10</v>
  </rv>
  <rv s="6">
    <fb>206.85</fb>
    <v>10</v>
  </rv>
  <rv s="6">
    <fb>141.05000000000001</fb>
    <v>10</v>
  </rv>
  <rv s="6">
    <fb>40.26</fb>
    <v>10</v>
  </rv>
  <rv s="6">
    <fb>95.66</fb>
    <v>10</v>
  </rv>
  <rv s="6">
    <fb>32.049999999999997</fb>
    <v>10</v>
  </rv>
  <rv s="6">
    <fb>12.76</fb>
    <v>10</v>
  </rv>
  <rv s="6">
    <fb>143.27000000000001</fb>
    <v>10</v>
  </rv>
  <rv s="6">
    <fb>149.55000000000001</fb>
    <v>10</v>
  </rv>
  <rv s="6">
    <fb>224</fb>
    <v>10</v>
  </rv>
  <rv s="6">
    <fb>441.28</fb>
    <v>10</v>
  </rv>
  <rv s="6">
    <fb>99.79</fb>
    <v>10</v>
  </rv>
  <rv s="6">
    <fb>242.58</fb>
    <v>10</v>
  </rv>
  <rv s="6">
    <fb>44950</fb>
    <v>11</v>
  </rv>
  <rv s="6">
    <fb>312.69</fb>
    <v>10</v>
  </rv>
  <rv s="6">
    <fb>240.32</fb>
    <v>10</v>
  </rv>
  <rv s="6">
    <fb>60.55</fb>
    <v>10</v>
  </rv>
  <rv s="6">
    <fb>204.82</fb>
    <v>10</v>
  </rv>
  <rv s="6">
    <fb>141.82</fb>
    <v>10</v>
  </rv>
  <rv s="6">
    <fb>39.82</fb>
    <v>10</v>
  </rv>
  <rv s="6">
    <fb>94.56</fb>
    <v>10</v>
  </rv>
  <rv s="6">
    <fb>31.86</fb>
    <v>10</v>
  </rv>
  <rv s="6">
    <fb>12.9</fb>
    <v>10</v>
  </rv>
  <rv s="6">
    <fb>143.13999999999999</fb>
    <v>10</v>
  </rv>
  <rv s="6">
    <fb>151.51</fb>
    <v>10</v>
  </rv>
  <rv s="6">
    <fb>227.5</fb>
    <v>10</v>
  </rv>
  <rv s="6">
    <fb>449.23</fb>
    <v>10</v>
  </rv>
  <rv s="6">
    <fb>97.7</fb>
    <v>10</v>
  </rv>
  <rv s="6">
    <fb>242.04</fb>
    <v>10</v>
  </rv>
  <rv s="6">
    <fb>44951</fb>
    <v>11</v>
  </rv>
  <rv s="6">
    <fb>310.2</fb>
    <v>10</v>
  </rv>
  <rv s="6">
    <fb>240.74</fb>
    <v>10</v>
  </rv>
  <rv s="6">
    <fb>60.93</fb>
    <v>10</v>
  </rv>
  <rv s="6">
    <fb>205</fb>
    <v>10</v>
  </rv>
  <rv s="6">
    <fb>141.72</fb>
    <v>10</v>
  </rv>
  <rv s="6">
    <fb>39.950000000000003</fb>
    <v>10</v>
  </rv>
  <rv s="6">
    <fb>92.41</fb>
    <v>10</v>
  </rv>
  <rv s="6">
    <fb>31.05</fb>
    <v>10</v>
  </rv>
  <rv s="6">
    <fb>12.6</fb>
    <v>10</v>
  </rv>
  <rv s="6">
    <fb>141.5</fb>
    <v>10</v>
  </rv>
  <rv s="6">
    <fb>148.88999999999999</fb>
    <v>10</v>
  </rv>
  <rv s="6">
    <fb>228.93</fb>
    <v>10</v>
  </rv>
  <rv s="6">
    <fb>454.16</fb>
    <v>10</v>
  </rv>
  <rv s="6">
    <fb>95.22</fb>
    <v>10</v>
  </rv>
  <rv s="6">
    <fb>240.61</fb>
    <v>10</v>
  </rv>
  <rv s="6">
    <fb>44952</fb>
    <v>11</v>
  </rv>
  <rv s="6">
    <fb>314.41000000000003</fb>
    <v>10</v>
  </rv>
  <rv s="6">
    <fb>243.16</fb>
    <v>10</v>
  </rv>
  <rv s="6">
    <fb>60.81</fb>
    <v>10</v>
  </rv>
  <rv s="6">
    <fb>204.92</fb>
    <v>10</v>
  </rv>
  <rv s="6">
    <fb>141.15</fb>
    <v>10</v>
  </rv>
  <rv s="6">
    <fb>93.45</fb>
    <v>10</v>
  </rv>
  <rv s="6">
    <fb>30.15</fb>
    <v>10</v>
  </rv>
  <rv s="6">
    <fb>12.71</fb>
    <v>10</v>
  </rv>
  <rv s="6">
    <fb>147.30000000000001</fb>
    <v>10</v>
  </rv>
  <rv s="6">
    <fb>150.06</fb>
    <v>10</v>
  </rv>
  <rv s="6">
    <fb>228.5</fb>
    <v>10</v>
  </rv>
  <rv s="6">
    <fb>459.81</fb>
    <v>10</v>
  </rv>
  <rv s="6">
    <fb>97.52</fb>
    <v>10</v>
  </rv>
  <rv s="6">
    <fb>248</fb>
    <v>10</v>
  </rv>
  <rv s="6">
    <fb>44953</fb>
    <v>11</v>
  </rv>
  <rv s="6">
    <fb>319.8</fb>
    <v>10</v>
  </rv>
  <rv s="6">
    <fb>248.47</fb>
    <v>10</v>
  </rv>
  <rv s="6">
    <fb>60.49</fb>
    <v>10</v>
  </rv>
  <rv s="6">
    <fb>206.1</fb>
    <v>10</v>
  </rv>
  <rv s="6">
    <fb>140.57</fb>
    <v>10</v>
  </rv>
  <rv s="6">
    <fb>39.69</fb>
    <v>10</v>
  </rv>
  <rv s="6">
    <fb>93.3</fb>
    <v>10</v>
  </rv>
  <rv s="6">
    <fb>30.08</fb>
    <v>10</v>
  </rv>
  <rv s="6">
    <fb>13.5</fb>
    <v>10</v>
  </rv>
  <rv s="6">
    <fb>151.74</fb>
    <v>10</v>
  </rv>
  <rv s="6">
    <fb>150</fb>
    <v>10</v>
  </rv>
  <rv s="6">
    <fb>228.79</fb>
    <v>10</v>
  </rv>
  <rv s="6">
    <fb>459.6</fb>
    <v>10</v>
  </rv>
  <rv s="6">
    <fb>99.37</fb>
    <v>10</v>
  </rv>
  <rv s="6">
    <fb>248.16</fb>
    <v>10</v>
  </rv>
  <rv s="6">
    <fb>44956</fb>
    <v>11</v>
  </rv>
  <rv s="6">
    <fb>317.3</fb>
    <v>10</v>
  </rv>
  <rv s="6">
    <fb>244.67</fb>
    <v>10</v>
  </rv>
  <rv s="6">
    <fb>60.64</fb>
    <v>10</v>
  </rv>
  <rv s="6">
    <fb>203.23</fb>
    <v>10</v>
  </rv>
  <rv s="6">
    <fb>141.01</fb>
    <v>10</v>
  </rv>
  <rv s="6">
    <fb>40.369999999999997</fb>
    <v>10</v>
  </rv>
  <rv s="6">
    <fb>93.13</fb>
    <v>10</v>
  </rv>
  <rv s="6">
    <fb>29.88</fb>
    <v>10</v>
  </rv>
  <rv s="6">
    <fb>13.05</fb>
    <v>10</v>
  </rv>
  <rv s="6">
    <fb>147.06</fb>
    <v>10</v>
  </rv>
  <rv s="6">
    <fb>149.1</fb>
    <v>10</v>
  </rv>
  <rv s="6">
    <fb>226.36</fb>
    <v>10</v>
  </rv>
  <rv s="6">
    <fb>460.59</fb>
    <v>10</v>
  </rv>
  <rv s="6">
    <fb>96.94</fb>
    <v>10</v>
  </rv>
  <rv s="6">
    <fb>242.71</fb>
    <v>10</v>
  </rv>
  <rv s="6">
    <fb>44957</fb>
    <v>11</v>
  </rv>
  <rv s="6">
    <fb>326</fb>
    <v>10</v>
  </rv>
  <rv s="6">
    <fb>250.86</fb>
    <v>10</v>
  </rv>
  <rv s="6">
    <fb>61.32</fb>
    <v>10</v>
  </rv>
  <rv s="6">
    <fb>206.51</fb>
    <v>10</v>
  </rv>
  <rv s="6">
    <fb>142.38</fb>
    <v>10</v>
  </rv>
  <rv s="6">
    <fb>40.53</fb>
    <v>10</v>
  </rv>
  <rv s="6">
    <fb>92.73</fb>
    <v>10</v>
  </rv>
  <rv s="6">
    <fb>30.92</fb>
    <v>10</v>
  </rv>
  <rv s="6">
    <fb>13.25</fb>
    <v>10</v>
  </rv>
  <rv s="6">
    <fb>148.97</fb>
    <v>10</v>
  </rv>
  <rv s="6">
    <fb>152.19</fb>
    <v>10</v>
  </rv>
  <rv s="6">
    <fb>231.52</fb>
    <v>10</v>
  </rv>
  <rv s="6">
    <fb>463.26</fb>
    <v>10</v>
  </rv>
  <rv s="6">
    <fb>98.84</fb>
    <v>10</v>
  </rv>
  <rv s="6">
    <fb>247.81</fb>
    <v>10</v>
  </rv>
  <rv s="6">
    <fb>44958</fb>
    <v>11</v>
  </rv>
  <rv s="6">
    <fb>328.69</fb>
    <v>10</v>
  </rv>
  <rv s="6">
    <fb>255.56</fb>
    <v>10</v>
  </rv>
  <rv s="6">
    <fb>61.33</fb>
    <v>10</v>
  </rv>
  <rv s="6">
    <fb>214.49</fb>
    <v>10</v>
  </rv>
  <rv s="6">
    <fb>143.19</fb>
    <v>10</v>
  </rv>
  <rv s="6">
    <fb>40.54</fb>
    <v>10</v>
  </rv>
  <rv s="6">
    <fb>94.74</fb>
    <v>10</v>
  </rv>
  <rv s="6">
    <fb>31.59</fb>
    <v>10</v>
  </rv>
  <rv s="6">
    <fb>13.78</fb>
    <v>10</v>
  </rv>
  <rv s="6">
    <fb>153.12</fb>
    <v>10</v>
  </rv>
  <rv s="6">
    <fb>152.87</fb>
    <v>10</v>
  </rv>
  <rv s="6">
    <fb>233.59</fb>
    <v>10</v>
  </rv>
  <rv s="6">
    <fb>462.25</fb>
    <v>10</v>
  </rv>
  <rv s="6">
    <fb>100.43</fb>
    <v>10</v>
  </rv>
  <rv s="6">
    <fb>252.75</fb>
    <v>10</v>
  </rv>
  <rv s="6">
    <fb>44959</fb>
    <v>11</v>
  </rv>
  <rv s="6">
    <fb>337.55</fb>
    <v>10</v>
  </rv>
  <rv s="6">
    <fb>257.29000000000002</fb>
    <v>10</v>
  </rv>
  <rv s="6">
    <fb>60.28</fb>
    <v>10</v>
  </rv>
  <rv s="6">
    <fb>220.86</fb>
    <v>10</v>
  </rv>
  <rv s="6">
    <fb>142.16999999999999</fb>
    <v>10</v>
  </rv>
  <rv s="6">
    <fb>39.99</fb>
    <v>10</v>
  </rv>
  <rv s="6">
    <fb>96.65</fb>
    <v>10</v>
  </rv>
  <rv s="6">
    <fb>32.64</fb>
    <v>10</v>
  </rv>
  <rv s="6">
    <fb>14.19</fb>
    <v>10</v>
  </rv>
  <rv s="6">
    <fb>188.77</fb>
    <v>10</v>
  </rv>
  <rv s="6">
    <fb>151.68</fb>
    <v>10</v>
  </rv>
  <rv s="6">
    <fb>232.45</fb>
    <v>10</v>
  </rv>
  <rv s="6">
    <fb>457.19</fb>
    <v>10</v>
  </rv>
  <rv s="6">
    <fb>107.74</fb>
    <v>10</v>
  </rv>
  <rv s="6">
    <fb>264.60000000000002</fb>
    <v>10</v>
  </rv>
  <rv s="6">
    <fb>44960</fb>
    <v>11</v>
  </rv>
  <rv s="6">
    <fb>350</fb>
    <v>10</v>
  </rv>
  <rv s="6">
    <fb>250.48</fb>
    <v>10</v>
  </rv>
  <rv s="6">
    <fb>59.83</fb>
    <v>10</v>
  </rv>
  <rv s="6">
    <fb>219.03</fb>
    <v>10</v>
  </rv>
  <rv s="6">
    <fb>142.61000000000001</fb>
    <v>10</v>
  </rv>
  <rv s="6">
    <fb>39.380000000000003</fb>
    <v>10</v>
  </rv>
  <rv s="6">
    <fb>94.66</fb>
    <v>10</v>
  </rv>
  <rv s="6">
    <fb>14.2</fb>
    <v>10</v>
  </rv>
  <rv s="6">
    <fb>186.53</fb>
    <v>10</v>
  </rv>
  <rv s="6">
    <fb>152.43</fb>
    <v>10</v>
  </rv>
  <rv s="6">
    <fb>230.82</fb>
    <v>10</v>
  </rv>
  <rv s="6">
    <fb>459.08</fb>
    <v>10</v>
  </rv>
  <rv s="6">
    <fb>104.78</fb>
    <v>10</v>
  </rv>
  <rv s="6">
    <fb>258.35000000000002</fb>
    <v>10</v>
  </rv>
  <rv s="6">
    <fb>44963</fb>
    <v>11</v>
  </rv>
  <rv s="6">
    <fb>348.99</fb>
    <v>10</v>
  </rv>
  <rv s="6">
    <fb>246.73</fb>
    <v>10</v>
  </rv>
  <rv s="6">
    <fb>60.17</fb>
    <v>10</v>
  </rv>
  <rv s="6">
    <fb>214.64</fb>
    <v>10</v>
  </rv>
  <rv s="6">
    <fb>141.4</fb>
    <v>10</v>
  </rv>
  <rv s="6">
    <fb>39.93</fb>
    <v>10</v>
  </rv>
  <rv s="6">
    <fb>91.83</fb>
    <v>10</v>
  </rv>
  <rv s="6">
    <fb>14.36</fb>
    <v>10</v>
  </rv>
  <rv s="6">
    <fb>186.06</fb>
    <v>10</v>
  </rv>
  <rv s="6">
    <fb>152.72</fb>
    <v>10</v>
  </rv>
  <rv s="6">
    <fb>231.99</fb>
    <v>10</v>
  </rv>
  <rv s="6">
    <fb>469.1</fb>
    <v>10</v>
  </rv>
  <rv s="6">
    <fb>102.9</fb>
    <v>10</v>
  </rv>
  <rv s="6">
    <fb>256.77</fb>
    <v>10</v>
  </rv>
  <rv s="6">
    <fb>44964</fb>
    <v>11</v>
  </rv>
  <rv s="6">
    <fb>349.02</fb>
    <v>10</v>
  </rv>
  <rv s="6">
    <fb>250.68</fb>
    <v>10</v>
  </rv>
  <rv s="6">
    <fb>60.07</fb>
    <v>10</v>
  </rv>
  <rv s="6">
    <fb>217.01</fb>
    <v>10</v>
  </rv>
  <rv s="6">
    <fb>140.02000000000001</fb>
    <v>10</v>
  </rv>
  <rv s="6">
    <fb>39.54</fb>
    <v>10</v>
  </rv>
  <rv s="6">
    <fb>94.55</fb>
    <v>10</v>
  </rv>
  <rv s="6">
    <fb>32.29</fb>
    <v>10</v>
  </rv>
  <rv s="6">
    <fb>14.75</fb>
    <v>10</v>
  </rv>
  <rv s="6">
    <fb>191.62</fb>
    <v>10</v>
  </rv>
  <rv s="6">
    <fb>153.57</fb>
    <v>10</v>
  </rv>
  <rv s="6">
    <fb>230.29</fb>
    <v>10</v>
  </rv>
  <rv s="6">
    <fb>468.33</fb>
    <v>10</v>
  </rv>
  <rv s="6">
    <fb>107.64</fb>
    <v>10</v>
  </rv>
  <rv s="6">
    <fb>267.56</fb>
    <v>10</v>
  </rv>
  <rv s="6">
    <fb>44965</fb>
    <v>11</v>
  </rv>
  <rv s="6">
    <fb>351.99</fb>
    <v>10</v>
  </rv>
  <rv s="6">
    <fb>251.24</fb>
    <v>10</v>
  </rv>
  <rv s="6">
    <fb>215.85</fb>
    <v>10</v>
  </rv>
  <rv s="6">
    <fb>138.57</fb>
    <v>10</v>
  </rv>
  <rv s="6">
    <fb>39.07</fb>
    <v>10</v>
  </rv>
  <rv s="6">
    <fb>94.28</fb>
    <v>10</v>
  </rv>
  <rv s="6">
    <fb>31.95</fb>
    <v>10</v>
  </rv>
  <rv s="6">
    <fb>14.94</fb>
    <v>10</v>
  </rv>
  <rv s="6">
    <fb>183.43</fb>
    <v>10</v>
  </rv>
  <rv s="6">
    <fb>152.36000000000001</fb>
    <v>10</v>
  </rv>
  <rv s="6">
    <fb>230.13</fb>
    <v>10</v>
  </rv>
  <rv s="6">
    <fb>469.65</fb>
    <v>10</v>
  </rv>
  <rv s="6">
    <fb>266.73</fb>
    <v>10</v>
  </rv>
  <rv s="6">
    <fb>44966</fb>
    <v>11</v>
  </rv>
  <rv s="6">
    <fb>351.62</fb>
    <v>10</v>
  </rv>
  <rv s="6">
    <fb>253.68</fb>
    <v>10</v>
  </rv>
  <rv s="6">
    <fb>59.62</fb>
    <v>10</v>
  </rv>
  <rv s="6">
    <fb>192.34</fb>
    <v>10</v>
  </rv>
  <rv s="6">
    <fb>137.05000000000001</fb>
    <v>10</v>
  </rv>
  <rv s="6">
    <fb>38.89</fb>
    <v>10</v>
  </rv>
  <rv s="6">
    <fb>96.69</fb>
    <v>10</v>
  </rv>
  <rv s="6">
    <fb>31.13</fb>
    <v>10</v>
  </rv>
  <rv s="6">
    <fb>14.57</fb>
    <v>10</v>
  </rv>
  <rv s="6">
    <fb>177.92</fb>
    <v>10</v>
  </rv>
  <rv s="6">
    <fb>152.46</fb>
    <v>10</v>
  </rv>
  <rv s="6">
    <fb>226.88</fb>
    <v>10</v>
  </rv>
  <rv s="6">
    <fb>470.09</fb>
    <v>10</v>
  </rv>
  <rv s="6">
    <fb>95.01</fb>
    <v>10</v>
  </rv>
  <rv s="6">
    <fb>263.62</fb>
    <v>10</v>
  </rv>
  <rv s="6">
    <fb>44967</fb>
    <v>11</v>
  </rv>
  <rv s="6">
    <fb>348.88</fb>
    <v>10</v>
  </rv>
  <rv s="6">
    <fb>255.64</fb>
    <v>10</v>
  </rv>
  <rv s="6">
    <fb>192.87</fb>
    <v>10</v>
  </rv>
  <rv s="6">
    <fb>138.26</fb>
    <v>10</v>
  </rv>
  <rv s="6">
    <fb>39.630000000000003</fb>
    <v>10</v>
  </rv>
  <rv s="6">
    <fb>95.37</fb>
    <v>10</v>
  </rv>
  <rv s="6">
    <fb>31.57</fb>
    <v>10</v>
  </rv>
  <rv s="6">
    <fb>14.9</fb>
    <v>10</v>
  </rv>
  <rv s="6">
    <fb>174.15</fb>
    <v>10</v>
  </rv>
  <rv s="6">
    <fb>151.34</fb>
    <v>10</v>
  </rv>
  <rv s="6">
    <fb>228.3</fb>
    <v>10</v>
  </rv>
  <rv s="6">
    <fb>480.83</fb>
    <v>10</v>
  </rv>
  <rv s="6">
    <fb>94.57</fb>
    <v>10</v>
  </rv>
  <rv s="6">
    <fb>263.10000000000002</fb>
    <v>10</v>
  </rv>
  <rv s="6">
    <fb>44970</fb>
    <v>11</v>
  </rv>
  <rv s="6">
    <fb>352.04</fb>
    <v>10</v>
  </rv>
  <rv s="6">
    <fb>257.35000000000002</fb>
    <v>10</v>
  </rv>
  <rv s="6">
    <fb>60.6</fb>
    <v>10</v>
  </rv>
  <rv s="6">
    <fb>196.32</fb>
    <v>10</v>
  </rv>
  <rv s="6">
    <fb>140.07</fb>
    <v>10</v>
  </rv>
  <rv s="6">
    <fb>40.33</fb>
    <v>10</v>
  </rv>
  <rv s="6">
    <fb>96.11</fb>
    <v>10</v>
  </rv>
  <rv s="6">
    <fb>31.63</fb>
    <v>10</v>
  </rv>
  <rv s="6">
    <fb>14.66</fb>
    <v>10</v>
  </rv>
  <rv s="6">
    <fb>179.43</fb>
    <v>10</v>
  </rv>
  <rv s="6">
    <fb>154.29</fb>
    <v>10</v>
  </rv>
  <rv s="6">
    <fb>228.54</fb>
    <v>10</v>
  </rv>
  <rv s="6">
    <fb>481.97</fb>
    <v>10</v>
  </rv>
  <rv s="6">
    <fb>94.61</fb>
    <v>10</v>
  </rv>
  <rv s="6">
    <fb>271.32</fb>
    <v>10</v>
  </rv>
  <rv s="6">
    <fb>44971</fb>
    <v>11</v>
  </rv>
  <rv s="6">
    <fb>352.35</fb>
    <v>10</v>
  </rv>
  <rv s="6">
    <fb>257.02999999999997</fb>
    <v>10</v>
  </rv>
  <rv s="6">
    <fb>59.59</fb>
    <v>10</v>
  </rv>
  <rv s="6">
    <fb>194.84</fb>
    <v>10</v>
  </rv>
  <rv s="6">
    <fb>139.28</fb>
    <v>10</v>
  </rv>
  <rv s="6">
    <fb>97.96</fb>
    <v>10</v>
  </rv>
  <rv s="6">
    <fb>31.44</fb>
    <v>10</v>
  </rv>
  <rv s="6">
    <fb>14.65</fb>
    <v>10</v>
  </rv>
  <rv s="6">
    <fb>179.48</fb>
    <v>10</v>
  </rv>
  <rv s="6">
    <fb>154.19999999999999</fb>
    <v>10</v>
  </rv>
  <rv s="6">
    <fb>225.75</fb>
    <v>10</v>
  </rv>
  <rv s="6">
    <fb>481.58</fb>
    <v>10</v>
  </rv>
  <rv s="6">
    <fb>94.68</fb>
    <v>10</v>
  </rv>
  <rv s="6">
    <fb>272.17</fb>
    <v>10</v>
  </rv>
  <rv s="6">
    <fb>44972</fb>
    <v>11</v>
  </rv>
  <rv s="6">
    <fb>361.16</fb>
    <v>10</v>
  </rv>
  <rv s="6">
    <fb>260.79000000000002</fb>
    <v>10</v>
  </rv>
  <rv s="6">
    <fb>198.13</fb>
    <v>10</v>
  </rv>
  <rv s="6">
    <fb>138.96</fb>
    <v>10</v>
  </rv>
  <rv s="6">
    <fb>40.130000000000003</fb>
    <v>10</v>
  </rv>
  <rv s="6">
    <fb>92.76</fb>
    <v>10</v>
  </rv>
  <rv s="6">
    <fb>31.67</fb>
    <v>10</v>
  </rv>
  <rv s="6">
    <fb>14.49</fb>
    <v>10</v>
  </rv>
  <rv s="6">
    <fb>177.16</fb>
    <v>10</v>
  </rv>
  <rv s="6">
    <fb>156</fb>
    <v>10</v>
  </rv>
  <rv s="6">
    <fb>224.88</fb>
    <v>10</v>
  </rv>
  <rv s="6">
    <fb>480.51</fb>
    <v>10</v>
  </rv>
  <rv s="6">
    <fb>269.32</fb>
    <v>10</v>
  </rv>
  <rv s="6">
    <fb>44973</fb>
    <v>11</v>
  </rv>
  <rv s="6">
    <fb>354.54</fb>
    <v>10</v>
  </rv>
  <rv s="6">
    <fb>259.85000000000002</fb>
    <v>10</v>
  </rv>
  <rv s="6">
    <fb>59.22</fb>
    <v>10</v>
  </rv>
  <rv s="6">
    <fb>191.68</fb>
    <v>10</v>
  </rv>
  <rv s="6">
    <fb>137.13999999999999</fb>
    <v>10</v>
  </rv>
  <rv s="6">
    <fb>39.78</fb>
    <v>10</v>
  </rv>
  <rv s="6">
    <fb>90.82</fb>
    <v>10</v>
  </rv>
  <rv s="6">
    <fb>31.11</fb>
    <v>10</v>
  </rv>
  <rv s="6">
    <fb>14.25</fb>
    <v>10</v>
  </rv>
  <rv s="6">
    <fb>172.44</fb>
    <v>10</v>
  </rv>
  <rv s="6">
    <fb>155.32</fb>
    <v>10</v>
  </rv>
  <rv s="6">
    <fb>227.26</fb>
    <v>10</v>
  </rv>
  <rv s="6">
    <fb>471.25</fb>
    <v>10</v>
  </rv>
  <rv s="6">
    <fb>95.51</fb>
    <v>10</v>
  </rv>
  <rv s="6">
    <fb>262.14999999999998</fb>
    <v>10</v>
  </rv>
  <rv s="6">
    <fb>44974</fb>
    <v>11</v>
  </rv>
  <rv s="6">
    <fb>355.48</fb>
    <v>10</v>
  </rv>
  <rv s="6">
    <fb>266.19</fb>
    <v>10</v>
  </rv>
  <rv s="6">
    <fb>60.12</fb>
    <v>10</v>
  </rv>
  <rv s="6">
    <fb>189.66</fb>
    <v>10</v>
  </rv>
  <rv s="6">
    <fb>140.01</fb>
    <v>10</v>
  </rv>
  <rv s="6">
    <fb>40</fb>
    <v>10</v>
  </rv>
  <rv s="6">
    <fb>90.1</fb>
    <v>10</v>
  </rv>
  <rv s="6">
    <fb>31.21</fb>
    <v>10</v>
  </rv>
  <rv s="6">
    <fb>14.4</fb>
    <v>10</v>
  </rv>
  <rv s="6">
    <fb>172.88</fb>
    <v>10</v>
  </rv>
  <rv s="6">
    <fb>154.9</fb>
    <v>10</v>
  </rv>
  <rv s="6">
    <fb>226.8</fb>
    <v>10</v>
  </rv>
  <rv s="6">
    <fb>475.63</fb>
    <v>10</v>
  </rv>
  <rv s="6">
    <fb>94.35</fb>
    <v>10</v>
  </rv>
  <rv s="6">
    <fb>258.06</fb>
    <v>10</v>
  </rv>
  <rv s="6">
    <fb>44978</fb>
    <v>11</v>
  </rv>
  <rv s="6">
    <fb>343.54</fb>
    <v>10</v>
  </rv>
  <rv s="6">
    <fb>259.73</fb>
    <v>10</v>
  </rv>
  <rv s="6">
    <fb>59.8</fb>
    <v>10</v>
  </rv>
  <rv s="6">
    <fb>185.01</fb>
    <v>10</v>
  </rv>
  <rv s="6">
    <fb>139.91</fb>
    <v>10</v>
  </rv>
  <rv s="6">
    <fb>39.869999999999997</fb>
    <v>10</v>
  </rv>
  <rv s="6">
    <fb>87.64</fb>
    <v>10</v>
  </rv>
  <rv s="6">
    <fb>30.59</fb>
    <v>10</v>
  </rv>
  <rv s="6">
    <fb>13.72</fb>
    <v>10</v>
  </rv>
  <rv s="6">
    <fb>172.08</fb>
    <v>10</v>
  </rv>
  <rv s="6">
    <fb>148.69999999999999</fb>
    <v>10</v>
  </rv>
  <rv s="6">
    <fb>223.11</fb>
    <v>10</v>
  </rv>
  <rv s="6">
    <fb>479.19</fb>
    <v>10</v>
  </rv>
  <rv s="6">
    <fb>91.79</fb>
    <v>10</v>
  </rv>
  <rv s="6">
    <fb>252.67</fb>
    <v>10</v>
  </rv>
  <rv s="6">
    <fb>44979</fb>
    <v>11</v>
  </rv>
  <rv s="6">
    <fb>345.32</fb>
    <v>10</v>
  </rv>
  <rv s="6">
    <fb>256.97000000000003</fb>
    <v>10</v>
  </rv>
  <rv s="6">
    <fb>59.98</fb>
    <v>10</v>
  </rv>
  <rv s="6">
    <fb>185.28</fb>
    <v>10</v>
  </rv>
  <rv s="6">
    <fb>140.5</fb>
    <v>10</v>
  </rv>
  <rv s="6">
    <fb>39.58</fb>
    <v>10</v>
  </rv>
  <rv s="6">
    <fb>86.83</fb>
    <v>10</v>
  </rv>
  <rv s="6">
    <fb>29.99</fb>
    <v>10</v>
  </rv>
  <rv s="6">
    <fb>14</fb>
    <v>10</v>
  </rv>
  <rv s="6">
    <fb>171.12</fb>
    <v>10</v>
  </rv>
  <rv s="6">
    <fb>148.4</fb>
    <v>10</v>
  </rv>
  <rv s="6">
    <fb>222.12</fb>
    <v>10</v>
  </rv>
  <rv s="6">
    <fb>479.53</fb>
    <v>10</v>
  </rv>
  <rv s="6">
    <fb>91.65</fb>
    <v>10</v>
  </rv>
  <rv s="6">
    <fb>251.51</fb>
    <v>10</v>
  </rv>
  <rv s="6">
    <fb>44980</fb>
    <v>11</v>
  </rv>
  <rv s="6">
    <fb>349.01</fb>
    <v>10</v>
  </rv>
  <rv s="6">
    <fb>256.69</fb>
    <v>10</v>
  </rv>
  <rv s="6">
    <fb>60.09</fb>
    <v>10</v>
  </rv>
  <rv s="6">
    <fb>187.85</fb>
    <v>10</v>
  </rv>
  <rv s="6">
    <fb>140.05000000000001</fb>
    <v>10</v>
  </rv>
  <rv s="6">
    <fb>39.75</fb>
    <v>10</v>
  </rv>
  <rv s="6">
    <fb>90.08</fb>
    <v>10</v>
  </rv>
  <rv s="6">
    <fb>30.65</fb>
    <v>10</v>
  </rv>
  <rv s="6">
    <fb>14.32</fb>
    <v>10</v>
  </rv>
  <rv s="6">
    <fb>172.04</fb>
    <v>10</v>
  </rv>
  <rv s="6">
    <fb>159.62</fb>
    <v>10</v>
  </rv>
  <rv s="6">
    <fb>225.6</fb>
    <v>10</v>
  </rv>
  <rv s="6">
    <fb>479.08</fb>
    <v>10</v>
  </rv>
  <rv s="6">
    <fb>90.89</fb>
    <v>10</v>
  </rv>
  <rv s="6">
    <fb>254.77</fb>
    <v>10</v>
  </rv>
  <rv s="6">
    <fb>44981</fb>
    <v>11</v>
  </rv>
  <rv s="6">
    <fb>348.03</fb>
    <v>10</v>
  </rv>
  <rv s="6">
    <fb>257.51</fb>
    <v>10</v>
  </rv>
  <rv s="6">
    <fb>59.84</fb>
    <v>10</v>
  </rv>
  <rv s="6">
    <fb>186.13</fb>
    <v>10</v>
  </rv>
  <rv s="6">
    <fb>139.26</fb>
    <v>10</v>
  </rv>
  <rv s="6">
    <fb>39.61</fb>
    <v>10</v>
  </rv>
  <rv s="6">
    <fb>88.11</fb>
    <v>10</v>
  </rv>
  <rv s="6">
    <fb>30.75</fb>
    <v>10</v>
  </rv>
  <rv s="6">
    <fb>13.62</fb>
    <v>10</v>
  </rv>
  <rv s="6">
    <fb>170.39</fb>
    <v>10</v>
  </rv>
  <rv s="6">
    <fb>160.63999999999999</fb>
    <v>10</v>
  </rv>
  <rv s="6">
    <fb>224.09</fb>
    <v>10</v>
  </rv>
  <rv s="6">
    <fb>480.4</fb>
    <v>10</v>
  </rv>
  <rv s="6">
    <fb>89.13</fb>
    <v>10</v>
  </rv>
  <rv s="6">
    <fb>249.22</fb>
    <v>10</v>
  </rv>
  <rv s="6">
    <fb>44984</fb>
    <v>11</v>
  </rv>
  <rv s="6">
    <fb>350.48</fb>
    <v>10</v>
  </rv>
  <rv s="6">
    <fb>259.02</fb>
    <v>10</v>
  </rv>
  <rv s="6">
    <fb>59.82</fb>
    <v>10</v>
  </rv>
  <rv s="6">
    <fb>188.33</fb>
    <v>10</v>
  </rv>
  <rv s="6">
    <fb>139.13999999999999</fb>
    <v>10</v>
  </rv>
  <rv s="6">
    <fb>87.3</fb>
    <v>10</v>
  </rv>
  <rv s="6">
    <fb>30.77</fb>
    <v>10</v>
  </rv>
  <rv s="6">
    <fb>13.85</fb>
    <v>10</v>
  </rv>
  <rv s="6">
    <fb>169.54</fb>
    <v>10</v>
  </rv>
  <rv s="6">
    <fb>162.9</fb>
    <v>10</v>
  </rv>
  <rv s="6">
    <fb>224.69</fb>
    <v>10</v>
  </rv>
  <rv s="6">
    <fb>479.49</fb>
    <v>10</v>
  </rv>
  <rv s="6">
    <fb>89.87</fb>
    <v>10</v>
  </rv>
  <rv s="6">
    <fb>250.16</fb>
    <v>10</v>
  </rv>
  <rv s="6">
    <fb>44985</fb>
    <v>11</v>
  </rv>
  <rv s="6">
    <fb>351.85</fb>
    <v>10</v>
  </rv>
  <rv s="6">
    <fb>258.22000000000003</fb>
    <v>10</v>
  </rv>
  <rv s="6">
    <fb>59.51</fb>
    <v>10</v>
  </rv>
  <rv s="6">
    <fb>188.03</fb>
    <v>10</v>
  </rv>
  <rv s="6">
    <fb>137.56</fb>
    <v>10</v>
  </rv>
  <rv s="6">
    <fb>38.94</fb>
    <v>10</v>
  </rv>
  <rv s="6">
    <fb>87.07</fb>
    <v>10</v>
  </rv>
  <rv s="6">
    <fb>30.49</fb>
    <v>10</v>
  </rv>
  <rv s="6">
    <fb>13.31</fb>
    <v>10</v>
  </rv>
  <rv s="6">
    <fb>174.94</fb>
    <v>10</v>
  </rv>
  <rv s="6">
    <fb>161.4</fb>
    <v>10</v>
  </rv>
  <rv s="6">
    <fb>223.7</fb>
    <v>10</v>
  </rv>
  <rv s="6">
    <fb>474.26</fb>
    <v>10</v>
  </rv>
  <rv s="6">
    <fb>90.06</fb>
    <v>10</v>
  </rv>
  <rv s="6">
    <fb>249.42</fb>
    <v>10</v>
  </rv>
  <rv s="6">
    <fb>44986</fb>
    <v>11</v>
  </rv>
  <rv s="6">
    <fb>353.35</fb>
    <v>10</v>
  </rv>
  <rv s="6">
    <fb>257.94</fb>
    <v>10</v>
  </rv>
  <rv s="6">
    <fb>58.86</fb>
    <v>10</v>
  </rv>
  <rv s="6">
    <fb>188.52</fb>
    <v>10</v>
  </rv>
  <rv s="6">
    <fb>137.66</fb>
    <v>10</v>
  </rv>
  <rv s="6">
    <fb>38.4</fb>
    <v>10</v>
  </rv>
  <rv s="6">
    <fb>30.86</fb>
    <v>10</v>
  </rv>
  <rv s="6">
    <fb>13.55</fb>
    <v>10</v>
  </rv>
  <rv s="6">
    <fb>173.42</fb>
    <v>10</v>
  </rv>
  <rv s="6">
    <fb>159.65</fb>
    <v>10</v>
  </rv>
  <rv s="6">
    <fb>219.7</fb>
    <v>10</v>
  </rv>
  <rv s="6">
    <fb>474.33</fb>
    <v>10</v>
  </rv>
  <rv s="6">
    <fb>90.36</fb>
    <v>10</v>
  </rv>
  <rv s="6">
    <fb>246.27</fb>
    <v>10</v>
  </rv>
  <rv s="6">
    <fb>44987</fb>
    <v>11</v>
  </rv>
  <rv s="6">
    <fb>355.5</fb>
    <v>10</v>
  </rv>
  <rv s="6">
    <fb>260.93</fb>
    <v>10</v>
  </rv>
  <rv s="6">
    <fb>188.38</fb>
    <v>10</v>
  </rv>
  <rv s="6">
    <fb>139.93</fb>
    <v>10</v>
  </rv>
  <rv s="6">
    <fb>38.659999999999997</fb>
    <v>10</v>
  </rv>
  <rv s="6">
    <fb>89.03</fb>
    <v>10</v>
  </rv>
  <rv s="6">
    <fb>13.35</fb>
    <v>10</v>
  </rv>
  <rv s="6">
    <fb>174.53</fb>
    <v>10</v>
  </rv>
  <rv s="6">
    <fb>160.05000000000001</fb>
    <v>10</v>
  </rv>
  <rv s="6">
    <fb>221.74</fb>
    <v>10</v>
  </rv>
  <rv s="6">
    <fb>478.31</fb>
    <v>10</v>
  </rv>
  <rv s="6">
    <fb>92</fb>
    <v>10</v>
  </rv>
  <rv s="6">
    <fb>251.11</fb>
    <v>10</v>
  </rv>
  <rv s="6">
    <fb>44988</fb>
    <v>11</v>
  </rv>
  <rv s="6">
    <fb>359.85</fb>
    <v>10</v>
  </rv>
  <rv s="6">
    <fb>265.44</fb>
    <v>10</v>
  </rv>
  <rv s="6">
    <fb>59.44</fb>
    <v>10</v>
  </rv>
  <rv s="6">
    <fb>189.95</fb>
    <v>10</v>
  </rv>
  <rv s="6">
    <fb>140.94999999999999</fb>
    <v>10</v>
  </rv>
  <rv s="6">
    <fb>39.04</fb>
    <v>10</v>
  </rv>
  <rv s="6">
    <fb>89.79</fb>
    <v>10</v>
  </rv>
  <rv s="6">
    <fb>31.15</fb>
    <v>10</v>
  </rv>
  <rv s="6">
    <fb>14.29</fb>
    <v>10</v>
  </rv>
  <rv s="6">
    <fb>185.25</fb>
    <v>10</v>
  </rv>
  <rv s="6">
    <fb>163.12</fb>
    <v>10</v>
  </rv>
  <rv s="6">
    <fb>223.25</fb>
    <v>10</v>
  </rv>
  <rv s="6">
    <fb>477.89</fb>
    <v>10</v>
  </rv>
  <rv s="6">
    <fb>93.65</fb>
    <v>10</v>
  </rv>
  <rv s="6">
    <fb>255.29</fb>
    <v>10</v>
  </rv>
  <rv s="6">
    <fb>44991</fb>
    <v>11</v>
  </rv>
  <rv s="6">
    <fb>360.5</fb>
    <v>10</v>
  </rv>
  <rv s="6">
    <fb>264.27999999999997</fb>
    <v>10</v>
  </rv>
  <rv s="6">
    <fb>60.36</fb>
    <v>10</v>
  </rv>
  <rv s="6">
    <fb>186.16</fb>
    <v>10</v>
  </rv>
  <rv s="6">
    <fb>140.35</fb>
    <v>10</v>
  </rv>
  <rv s="6">
    <fb>38.99</fb>
    <v>10</v>
  </rv>
  <rv s="6">
    <fb>89.58</fb>
    <v>10</v>
  </rv>
  <rv s="6">
    <fb>30.54</fb>
    <v>10</v>
  </rv>
  <rv s="6">
    <fb>14.28</fb>
    <v>10</v>
  </rv>
  <rv s="6">
    <fb>184.9</fb>
    <v>10</v>
  </rv>
  <rv s="6">
    <fb>163.37</fb>
    <v>10</v>
  </rv>
  <rv s="6">
    <fb>220.54</fb>
    <v>10</v>
  </rv>
  <rv s="6">
    <fb>480.17</fb>
    <v>10</v>
  </rv>
  <rv s="6">
    <fb>95.13</fb>
    <v>10</v>
  </rv>
  <rv s="6">
    <fb>256.87</fb>
    <v>10</v>
  </rv>
  <rv s="6">
    <fb>44992</fb>
    <v>11</v>
  </rv>
  <rv s="6">
    <fb>359.54</fb>
    <v>10</v>
  </rv>
  <rv s="6">
    <fb>260.49</fb>
    <v>10</v>
  </rv>
  <rv s="6">
    <fb>60.01</fb>
    <v>10</v>
  </rv>
  <rv s="6">
    <fb>181.69</fb>
    <v>10</v>
  </rv>
  <rv s="6">
    <fb>38.64</fb>
    <v>10</v>
  </rv>
  <rv s="6">
    <fb>88.85</fb>
    <v>10</v>
  </rv>
  <rv s="6">
    <fb>29.69</fb>
    <v>10</v>
  </rv>
  <rv s="6">
    <fb>14.26</fb>
    <v>10</v>
  </rv>
  <rv s="6">
    <fb>184.51</fb>
    <v>10</v>
  </rv>
  <rv s="6">
    <fb>162.97</fb>
    <v>10</v>
  </rv>
  <rv s="6">
    <fb>219.22</fb>
    <v>10</v>
  </rv>
  <rv s="6">
    <fb>478.66</fb>
    <v>10</v>
  </rv>
  <rv s="6">
    <fb>93.86</fb>
    <v>10</v>
  </rv>
  <rv s="6">
    <fb>254.15</fb>
    <v>10</v>
  </rv>
  <rv s="6">
    <fb>44993</fb>
    <v>11</v>
  </rv>
  <rv s="6">
    <fb>362.67</fb>
    <v>10</v>
  </rv>
  <rv s="6">
    <fb>263.81</fb>
    <v>10</v>
  </rv>
  <rv s="6">
    <fb>60.04</fb>
    <v>10</v>
  </rv>
  <rv s="6">
    <fb>180.29</fb>
    <v>10</v>
  </rv>
  <rv s="6">
    <fb>137.58000000000001</fb>
    <v>10</v>
  </rv>
  <rv s="6">
    <fb>38.32</fb>
    <v>10</v>
  </rv>
  <rv s="6">
    <fb>90.83</fb>
    <v>10</v>
  </rv>
  <rv s="6">
    <fb>30.27</fb>
    <v>10</v>
  </rv>
  <rv s="6">
    <fb>14.22</fb>
    <v>10</v>
  </rv>
  <rv s="6">
    <fb>184.97</fb>
    <v>10</v>
  </rv>
  <rv s="6">
    <fb>162.43</fb>
    <v>10</v>
  </rv>
  <rv s="6">
    <fb>219.3</fb>
    <v>10</v>
  </rv>
  <rv s="6">
    <fb>479.5</fb>
    <v>10</v>
  </rv>
  <rv s="6">
    <fb>94.25</fb>
    <v>10</v>
  </rv>
  <rv s="6">
    <fb>253.7</fb>
    <v>10</v>
  </rv>
  <rv s="6">
    <fb>44994</fb>
    <v>11</v>
  </rv>
  <rv s="6">
    <fb>350.93</fb>
    <v>10</v>
  </rv>
  <rv s="6">
    <fb>255.62</fb>
    <v>10</v>
  </rv>
  <rv s="6">
    <fb>59.46</fb>
    <v>10</v>
  </rv>
  <rv s="6">
    <fb>182.52</fb>
    <v>10</v>
  </rv>
  <rv s="6">
    <fb>136.57</fb>
    <v>10</v>
  </rv>
  <rv s="6">
    <fb>37.79</fb>
    <v>10</v>
  </rv>
  <rv s="6">
    <fb>88.88</fb>
    <v>10</v>
  </rv>
  <rv s="6">
    <fb>29.76</fb>
    <v>10</v>
  </rv>
  <rv s="6">
    <fb>14.08</fb>
    <v>10</v>
  </rv>
  <rv s="6">
    <fb>160.55000000000001</fb>
    <v>10</v>
  </rv>
  <rv s="6">
    <fb>215.8</fb>
    <v>10</v>
  </rv>
  <rv s="6">
    <fb>475.85</fb>
    <v>10</v>
  </rv>
  <rv s="6">
    <fb>92.32</fb>
    <v>10</v>
  </rv>
  <rv s="6">
    <fb>252.32</fb>
    <v>10</v>
  </rv>
  <rv s="6">
    <fb>44995</fb>
    <v>11</v>
  </rv>
  <rv s="6">
    <fb>338.47</fb>
    <v>10</v>
  </rv>
  <rv s="6">
    <fb>243.1</fb>
    <v>10</v>
  </rv>
  <rv s="6">
    <fb>59.21</fb>
    <v>10</v>
  </rv>
  <rv s="6">
    <fb>177.5</fb>
    <v>10</v>
  </rv>
  <rv s="6">
    <fb>137.19</fb>
    <v>10</v>
  </rv>
  <rv s="6">
    <fb>37.94</fb>
    <v>10</v>
  </rv>
  <rv s="6">
    <fb>87.25</fb>
    <v>10</v>
  </rv>
  <rv s="6">
    <fb>29.49</fb>
    <v>10</v>
  </rv>
  <rv s="6">
    <fb>13.43</fb>
    <v>10</v>
  </rv>
  <rv s="6">
    <fb>179.51</fb>
    <v>10</v>
  </rv>
  <rv s="6">
    <fb>157.35</fb>
    <v>10</v>
  </rv>
  <rv s="6">
    <fb>212</fb>
    <v>10</v>
  </rv>
  <rv s="6">
    <fb>475.5</fb>
    <v>10</v>
  </rv>
  <rv s="6">
    <fb>90.63</fb>
    <v>10</v>
  </rv>
  <rv s="6">
    <fb>248.59</fb>
    <v>10</v>
  </rv>
  <rv s="6">
    <fb>44998</fb>
    <v>11</v>
  </rv>
  <rv s="6">
    <fb>332.09</fb>
    <v>10</v>
  </rv>
  <rv s="6">
    <fb>237.23</fb>
    <v>10</v>
  </rv>
  <rv s="6">
    <fb>178.6</fb>
    <v>10</v>
  </rv>
  <rv s="6">
    <fb>138.13999999999999</fb>
    <v>10</v>
  </rv>
  <rv s="6">
    <fb>38.119999999999997</fb>
    <v>10</v>
  </rv>
  <rv s="6">
    <fb>87.74</fb>
    <v>10</v>
  </rv>
  <rv s="6">
    <fb>29.06</fb>
    <v>10</v>
  </rv>
  <rv s="6">
    <fb>12.1</fb>
    <v>10</v>
  </rv>
  <rv s="6">
    <fb>180.9</fb>
    <v>10</v>
  </rv>
  <rv s="6">
    <fb>155.87</fb>
    <v>10</v>
  </rv>
  <rv s="6">
    <fb>211</fb>
    <v>10</v>
  </rv>
  <rv s="6">
    <fb>477.33</fb>
    <v>10</v>
  </rv>
  <rv s="6">
    <fb>91.11</fb>
    <v>10</v>
  </rv>
  <rv s="6">
    <fb>253.92</fb>
    <v>10</v>
  </rv>
  <rv s="6">
    <fb>44999</fb>
    <v>11</v>
  </rv>
  <rv s="6">
    <fb>334.22</fb>
    <v>10</v>
  </rv>
  <rv s="6">
    <fb>237.33</fb>
    <v>10</v>
  </rv>
  <rv s="6">
    <fb>60.03</fb>
    <v>10</v>
  </rv>
  <rv s="6">
    <fb>178.54</fb>
    <v>10</v>
  </rv>
  <rv s="6">
    <fb>139.85</fb>
    <v>10</v>
  </rv>
  <rv s="6">
    <fb>38.14</fb>
    <v>10</v>
  </rv>
  <rv s="6">
    <fb>89.29</fb>
    <v>10</v>
  </rv>
  <rv s="6">
    <fb>29.26</fb>
    <v>10</v>
  </rv>
  <rv s="6">
    <fb>12.18</fb>
    <v>10</v>
  </rv>
  <rv s="6">
    <fb>194.02</fb>
    <v>10</v>
  </rv>
  <rv s="6">
    <fb>159.74</fb>
    <v>10</v>
  </rv>
  <rv s="6">
    <fb>215.05</fb>
    <v>10</v>
  </rv>
  <rv s="6">
    <fb>478.87</fb>
    <v>10</v>
  </rv>
  <rv s="6">
    <fb>93.97</fb>
    <v>10</v>
  </rv>
  <rv s="6">
    <fb>45000</fb>
    <v>11</v>
  </rv>
  <rv s="6">
    <fb>313.54000000000002</fb>
    <v>10</v>
  </rv>
  <rv s="6">
    <fb>222.63</fb>
    <v>10</v>
  </rv>
  <rv s="6">
    <fb>60.43</fb>
    <v>10</v>
  </rv>
  <rv s="6">
    <fb>176.39</fb>
    <v>10</v>
  </rv>
  <rv s="6">
    <fb>141.83000000000001</fb>
    <v>10</v>
  </rv>
  <rv s="6">
    <fb>38.11</fb>
    <v>10</v>
  </rv>
  <rv s="6">
    <fb>86.7</fb>
    <v>10</v>
  </rv>
  <rv s="6">
    <fb>28.98</fb>
    <v>10</v>
  </rv>
  <rv s="6">
    <fb>12.89</fb>
    <v>10</v>
  </rv>
  <rv s="6">
    <fb>197.75</fb>
    <v>10</v>
  </rv>
  <rv s="6">
    <fb>155.34</fb>
    <v>10</v>
  </rv>
  <rv s="6">
    <fb>216.03</fb>
    <v>10</v>
  </rv>
  <rv s="6">
    <fb>473.31</fb>
    <v>10</v>
  </rv>
  <rv s="6">
    <fb>45001</fb>
    <v>11</v>
  </rv>
  <rv s="6">
    <fb>314</fb>
    <v>10</v>
  </rv>
  <rv s="6">
    <fb>224.32</fb>
    <v>10</v>
  </rv>
  <rv s="6">
    <fb>60.3</fb>
    <v>10</v>
  </rv>
  <rv s="6">
    <fb>178.72</fb>
    <v>10</v>
  </rv>
  <rv s="6">
    <fb>142.88999999999999</fb>
    <v>10</v>
  </rv>
  <rv s="6">
    <fb>38.18</fb>
    <v>10</v>
  </rv>
  <rv s="6">
    <fb>89.3</fb>
    <v>10</v>
  </rv>
  <rv s="6">
    <fb>29.33</fb>
    <v>10</v>
  </rv>
  <rv s="6">
    <fb>12.4</fb>
    <v>10</v>
  </rv>
  <rv s="6">
    <fb>204.93</fb>
    <v>10</v>
  </rv>
  <rv s="6">
    <fb>157.21</fb>
    <v>10</v>
  </rv>
  <rv s="6">
    <fb>215.65</fb>
    <v>10</v>
  </rv>
  <rv s="6">
    <fb>100.32</fb>
    <v>10</v>
  </rv>
  <rv s="6">
    <fb>276.2</fb>
    <v>10</v>
  </rv>
  <rv s="6">
    <fb>45002</fb>
    <v>11</v>
  </rv>
  <rv s="6">
    <fb>304.92</fb>
    <v>10</v>
  </rv>
  <rv s="6">
    <fb>218.21</fb>
    <v>10</v>
  </rv>
  <rv s="6">
    <fb>60.02</fb>
    <v>10</v>
  </rv>
  <rv s="6">
    <fb>176.56</fb>
    <v>10</v>
  </rv>
  <rv s="6">
    <fb>142.93</fb>
    <v>10</v>
  </rv>
  <rv s="6">
    <fb>37.630000000000003</fb>
    <v>10</v>
  </rv>
  <rv s="6">
    <fb>28.91</fb>
    <v>10</v>
  </rv>
  <rv s="6">
    <fb>11.57</fb>
    <v>10</v>
  </rv>
  <rv s="6">
    <fb>195.61</fb>
    <v>10</v>
  </rv>
  <rv s="6">
    <fb>155.1</fb>
    <v>10</v>
  </rv>
  <rv s="6">
    <fb>210.9</fb>
    <v>10</v>
  </rv>
  <rv s="6">
    <fb>465.87</fb>
    <v>10</v>
  </rv>
  <rv s="6">
    <fb>101.62</fb>
    <v>10</v>
  </rv>
  <rv s="6">
    <fb>279.43</fb>
    <v>10</v>
  </rv>
  <rv s="6">
    <fb>45005</fb>
    <v>11</v>
  </rv>
  <rv s="6">
    <fb>315.83</fb>
    <v>10</v>
  </rv>
  <rv s="6">
    <fb>221.07</fb>
    <v>10</v>
  </rv>
  <rv s="6">
    <fb>181.26</fb>
    <v>10</v>
  </rv>
  <rv s="6">
    <fb>145.13</fb>
    <v>10</v>
  </rv>
  <rv s="6">
    <fb>90.04</fb>
    <v>10</v>
  </rv>
  <rv s="6">
    <fb>29.18</fb>
    <v>10</v>
  </rv>
  <rv s="6">
    <fb>11.7</fb>
    <v>10</v>
  </rv>
  <rv s="6">
    <fb>197.81</fb>
    <v>10</v>
  </rv>
  <rv s="6">
    <fb>157.29</fb>
    <v>10</v>
  </rv>
  <rv s="6">
    <fb>215.4</fb>
    <v>10</v>
  </rv>
  <rv s="6">
    <fb>475.7</fb>
    <v>10</v>
  </rv>
  <rv s="6">
    <fb>101.22</fb>
    <v>10</v>
  </rv>
  <rv s="6">
    <fb>272.23</fb>
    <v>10</v>
  </rv>
  <rv s="6">
    <fb>45006</fb>
    <v>11</v>
  </rv>
  <rv s="6">
    <fb>326.20999999999998</fb>
    <v>10</v>
  </rv>
  <rv s="6">
    <fb>223.26</fb>
    <v>10</v>
  </rv>
  <rv s="6">
    <fb>60.32</fb>
    <v>10</v>
  </rv>
  <rv s="6">
    <fb>184.49</fb>
    <v>10</v>
  </rv>
  <rv s="6">
    <fb>144.08000000000001</fb>
    <v>10</v>
  </rv>
  <rv s="6">
    <fb>38.04</fb>
    <v>10</v>
  </rv>
  <rv s="6">
    <fb>92.5</fb>
    <v>10</v>
  </rv>
  <rv s="6">
    <fb>29.32</fb>
    <v>10</v>
  </rv>
  <rv s="6">
    <fb>202.16</fb>
    <v>10</v>
  </rv>
  <rv s="6">
    <fb>161.62</fb>
    <v>10</v>
  </rv>
  <rv s="6">
    <fb>216.17</fb>
    <v>10</v>
  </rv>
  <rv s="6">
    <fb>474.76</fb>
    <v>10</v>
  </rv>
  <rv s="6">
    <fb>104.92</fb>
    <v>10</v>
  </rv>
  <rv s="6">
    <fb>273.77999999999997</fb>
    <v>10</v>
  </rv>
  <rv s="6">
    <fb>45007</fb>
    <v>11</v>
  </rv>
  <rv s="6">
    <fb>322.12</fb>
    <v>10</v>
  </rv>
  <rv s="6">
    <fb>217.81</fb>
    <v>10</v>
  </rv>
  <rv s="6">
    <fb>60.05</fb>
    <v>10</v>
  </rv>
  <rv s="6">
    <fb>181.44</fb>
    <v>10</v>
  </rv>
  <rv s="6">
    <fb>143.99</fb>
    <v>10</v>
  </rv>
  <rv s="6">
    <fb>37.57</fb>
    <v>10</v>
  </rv>
  <rv s="6">
    <fb>92.62</fb>
    <v>10</v>
  </rv>
  <rv s="6">
    <fb>28.29</fb>
    <v>10</v>
  </rv>
  <rv s="6">
    <fb>11.55</fb>
    <v>10</v>
  </rv>
  <rv s="6">
    <fb>199.81</fb>
    <v>10</v>
  </rv>
  <rv s="6">
    <fb>158.56</fb>
    <v>10</v>
  </rv>
  <rv s="6">
    <fb>214.14</fb>
    <v>10</v>
  </rv>
  <rv s="6">
    <fb>468.9</fb>
    <v>10</v>
  </rv>
  <rv s="6">
    <fb>103.37</fb>
    <v>10</v>
  </rv>
  <rv s="6">
    <fb>272.29000000000002</fb>
    <v>10</v>
  </rv>
  <rv s="6">
    <fb>45008</fb>
    <v>11</v>
  </rv>
  <rv s="6">
    <fb>320.42</fb>
    <v>10</v>
  </rv>
  <rv s="6">
    <fb>212.96</fb>
    <v>10</v>
  </rv>
  <rv s="6">
    <fb>59.92</fb>
    <v>10</v>
  </rv>
  <rv s="6">
    <fb>181.42</fb>
    <v>10</v>
  </rv>
  <rv s="6">
    <fb>143.79</fb>
    <v>10</v>
  </rv>
  <rv s="6">
    <fb>37.42</fb>
    <v>10</v>
  </rv>
  <rv s="6">
    <fb>94.59</fb>
    <v>10</v>
  </rv>
  <rv s="6">
    <fb>28.08</fb>
    <v>10</v>
  </rv>
  <rv s="6">
    <fb>11.05</fb>
    <v>10</v>
  </rv>
  <rv s="6">
    <fb>204.28</fb>
    <v>10</v>
  </rv>
  <rv s="6">
    <fb>158.97</fb>
    <v>10</v>
  </rv>
  <rv s="6">
    <fb>214.99</fb>
    <v>10</v>
  </rv>
  <rv s="6">
    <fb>467.9</fb>
    <v>10</v>
  </rv>
  <rv s="6">
    <fb>105.6</fb>
    <v>10</v>
  </rv>
  <rv s="6">
    <fb>277.66000000000003</fb>
    <v>10</v>
  </rv>
  <rv s="6">
    <fb>45009</fb>
    <v>11</v>
  </rv>
  <rv s="6">
    <fb>320.87</fb>
    <v>10</v>
  </rv>
  <rv s="6">
    <fb>212.05</fb>
    <v>10</v>
  </rv>
  <rv s="6">
    <fb>60.9</fb>
    <v>10</v>
  </rv>
  <rv s="6">
    <fb>185.2</fb>
    <v>10</v>
  </rv>
  <rv s="6">
    <fb>146.72</fb>
    <v>10</v>
  </rv>
  <rv s="6">
    <fb>92.79</fb>
    <v>10</v>
  </rv>
  <rv s="6">
    <fb>28.25</fb>
    <v>10</v>
  </rv>
  <rv s="6">
    <fb>11.06</fb>
    <v>10</v>
  </rv>
  <rv s="6">
    <fb>206.01</fb>
    <v>10</v>
  </rv>
  <rv s="6">
    <fb>160.78</fb>
    <v>10</v>
  </rv>
  <rv s="6">
    <fb>217.95</fb>
    <v>10</v>
  </rv>
  <rv s="6">
    <fb>474.54</fb>
    <v>10</v>
  </rv>
  <rv s="6">
    <fb>105.44</fb>
    <v>10</v>
  </rv>
  <rv s="6">
    <fb>280.57</fb>
    <v>10</v>
  </rv>
  <rv s="6">
    <fb>45012</fb>
    <v>11</v>
  </rv>
  <rv s="6">
    <fb>324.66000000000003</fb>
    <v>10</v>
  </rv>
  <rv s="6">
    <fb>217.43</fb>
    <v>10</v>
  </rv>
  <rv s="6">
    <fb>61.35</fb>
    <v>10</v>
  </rv>
  <rv s="6">
    <fb>186.32</fb>
    <v>10</v>
  </rv>
  <rv s="6">
    <fb>145.94999999999999</fb>
    <v>10</v>
  </rv>
  <rv s="6">
    <fb>38.6</fb>
    <v>10</v>
  </rv>
  <rv s="6">
    <fb>90.66</fb>
    <v>10</v>
  </rv>
  <rv s="6">
    <fb>28.75</fb>
    <v>10</v>
  </rv>
  <rv s="6">
    <fb>11.33</fb>
    <v>10</v>
  </rv>
  <rv s="6">
    <fb>202.84</fb>
    <v>10</v>
  </rv>
  <rv s="6">
    <fb>162.44999999999999</fb>
    <v>10</v>
  </rv>
  <rv s="6">
    <fb>219.49</fb>
    <v>10</v>
  </rv>
  <rv s="6">
    <fb>473.39</fb>
    <v>10</v>
  </rv>
  <rv s="6">
    <fb>102.46</fb>
    <v>10</v>
  </rv>
  <rv s="6">
    <fb>276.38</fb>
    <v>10</v>
  </rv>
  <rv s="6">
    <fb>45013</fb>
    <v>11</v>
  </rv>
  <rv s="6">
    <fb>327.74</fb>
    <v>10</v>
  </rv>
  <rv s="6">
    <fb>218.99</fb>
    <v>10</v>
  </rv>
  <rv s="6">
    <fb>61.42</fb>
    <v>10</v>
  </rv>
  <rv s="6">
    <fb>185.31</fb>
    <v>10</v>
  </rv>
  <rv s="6">
    <fb>146.36000000000001</fb>
    <v>10</v>
  </rv>
  <rv s="6">
    <fb>38.39</fb>
    <v>10</v>
  </rv>
  <rv s="6">
    <fb>90.81</fb>
    <v>10</v>
  </rv>
  <rv s="6">
    <fb>29.11</fb>
    <v>10</v>
  </rv>
  <rv s="6">
    <fb>11.43</fb>
    <v>10</v>
  </rv>
  <rv s="6">
    <fb>200.68</fb>
    <v>10</v>
  </rv>
  <rv s="6">
    <fb>163.28</fb>
    <v>10</v>
  </rv>
  <rv s="6">
    <fb>219.28</fb>
    <v>10</v>
  </rv>
  <rv s="6">
    <fb>471.44</fb>
    <v>10</v>
  </rv>
  <rv s="6">
    <fb>101.03</fb>
    <v>10</v>
  </rv>
  <rv s="6">
    <fb>275.23</fb>
    <v>10</v>
  </rv>
  <rv s="6">
    <fb>45014</fb>
    <v>11</v>
  </rv>
  <rv s="6">
    <fb>334.17</fb>
    <v>10</v>
  </rv>
  <rv s="6">
    <fb>222.75</fb>
    <v>10</v>
  </rv>
  <rv s="6">
    <fb>61.86</fb>
    <v>10</v>
  </rv>
  <rv s="6">
    <fb>187.46</fb>
    <v>10</v>
  </rv>
  <rv s="6">
    <fb>146.81</fb>
    <v>10</v>
  </rv>
  <rv s="6">
    <fb>38.67</fb>
    <v>10</v>
  </rv>
  <rv s="6">
    <fb>29.59</fb>
    <v>10</v>
  </rv>
  <rv s="6">
    <fb>11.795</fb>
    <v>10</v>
  </rv>
  <rv s="6">
    <fb>205.35</fb>
    <v>10</v>
  </rv>
  <rv s="6">
    <fb>165.46</fb>
    <v>10</v>
  </rv>
  <rv s="6">
    <fb>223.68</fb>
    <v>10</v>
  </rv>
  <rv s="6">
    <fb>474.19</fb>
    <v>10</v>
  </rv>
  <rv s="6">
    <fb>101.39</fb>
    <v>10</v>
  </rv>
  <rv s="6">
    <fb>280.51</fb>
    <v>10</v>
  </rv>
  <rv s="6">
    <fb>45015</fb>
    <v>11</v>
  </rv>
  <rv s="6">
    <fb>336.57</fb>
    <v>10</v>
  </rv>
  <rv s="6">
    <fb>225.02</fb>
    <v>10</v>
  </rv>
  <rv s="6">
    <fb>61.85</fb>
    <v>10</v>
  </rv>
  <rv s="6">
    <fb>188.8</fb>
    <v>10</v>
  </rv>
  <rv s="6">
    <fb>147.44999999999999</fb>
    <v>10</v>
  </rv>
  <rv s="6">
    <fb>38.840000000000003</fb>
    <v>10</v>
  </rv>
  <rv s="6">
    <fb>92.47</fb>
    <v>10</v>
  </rv>
  <rv s="6">
    <fb>29.5</fb>
    <v>10</v>
  </rv>
  <rv s="6">
    <fb>12.035</fb>
    <v>10</v>
  </rv>
  <rv s="6">
    <fb>207.84</fb>
    <v>10</v>
  </rv>
  <rv s="6">
    <fb>166.52</fb>
    <v>10</v>
  </rv>
  <rv s="6">
    <fb>224.91</fb>
    <v>10</v>
  </rv>
  <rv s="6">
    <fb>473.18</fb>
    <v>10</v>
  </rv>
  <rv s="6">
    <fb>100.89</fb>
    <v>10</v>
  </rv>
  <rv s="6">
    <fb>284.05</fb>
    <v>10</v>
  </rv>
  <rv s="6">
    <fb>45016</fb>
    <v>11</v>
  </rv>
  <rv s="6">
    <fb>336.11</fb>
    <v>10</v>
  </rv>
  <rv s="6">
    <fb>226.07</fb>
    <v>10</v>
  </rv>
  <rv s="6">
    <fb>62.03</fb>
    <v>10</v>
  </rv>
  <rv s="6">
    <fb>191.28</fb>
    <v>10</v>
  </rv>
  <rv s="6">
    <fb>148.69</fb>
    <v>10</v>
  </rv>
  <rv s="6">
    <fb>93.02</fb>
    <v>10</v>
  </rv>
  <rv s="6">
    <fb>29.94</fb>
    <v>10</v>
  </rv>
  <rv s="6">
    <fb>12.08</fb>
    <v>10</v>
  </rv>
  <rv s="6">
    <fb>211.94</fb>
    <v>10</v>
  </rv>
  <rv s="6">
    <fb>166.64</fb>
    <v>10</v>
  </rv>
  <rv s="6">
    <fb>225.89</fb>
    <v>10</v>
  </rv>
  <rv s="6">
    <fb>472.73</fb>
    <v>10</v>
  </rv>
  <rv s="6">
    <fb>103.73</fb>
    <v>10</v>
  </rv>
  <rv s="6">
    <fb>288.3</fb>
    <v>10</v>
  </rv>
  <rv s="6">
    <fb>45019</fb>
    <v>11</v>
  </rv>
  <rv s="6">
    <fb>339.17</fb>
    <v>10</v>
  </rv>
  <rv s="6">
    <fb>225.81</fb>
    <v>10</v>
  </rv>
  <rv s="6">
    <fb>62.4</fb>
    <v>10</v>
  </rv>
  <rv s="6">
    <fb>190.52</fb>
    <v>10</v>
  </rv>
  <rv s="6">
    <fb>149.51</fb>
    <v>10</v>
  </rv>
  <rv s="6">
    <fb>38.85</fb>
    <v>10</v>
  </rv>
  <rv s="6">
    <fb>92.84</fb>
    <v>10</v>
  </rv>
  <rv s="6">
    <fb>29.85</fb>
    <v>10</v>
  </rv>
  <rv s="6">
    <fb>11.98</fb>
    <v>10</v>
  </rv>
  <rv s="6">
    <fb>213.07</fb>
    <v>10</v>
  </rv>
  <rv s="6">
    <fb>165.79</fb>
    <v>10</v>
  </rv>
  <rv s="6">
    <fb>225.42</fb>
    <v>10</v>
  </rv>
  <rv s="6">
    <fb>486.62</fb>
    <v>10</v>
  </rv>
  <rv s="6">
    <fb>104.36</fb>
    <v>10</v>
  </rv>
  <rv s="6">
    <fb>287.23</fb>
    <v>10</v>
  </rv>
  <rv s="6">
    <fb>45020</fb>
    <v>11</v>
  </rv>
  <rv s="6">
    <fb>320.64</fb>
    <v>10</v>
  </rv>
  <rv s="6">
    <fb>212.23</fb>
    <v>10</v>
  </rv>
  <rv s="6">
    <fb>62.21</fb>
    <v>10</v>
  </rv>
  <rv s="6">
    <fb>191.27</fb>
    <v>10</v>
  </rv>
  <rv s="6">
    <fb>150.22999999999999</fb>
    <v>10</v>
  </rv>
  <rv s="6">
    <fb>38.61</fb>
    <v>10</v>
  </rv>
  <rv s="6">
    <fb>92.17</fb>
    <v>10</v>
  </rv>
  <rv s="6">
    <fb>29.51</fb>
    <v>10</v>
  </rv>
  <rv s="6">
    <fb>11.58</fb>
    <v>10</v>
  </rv>
  <rv s="6">
    <fb>214.72</fb>
    <v>10</v>
  </rv>
  <rv s="6">
    <fb>162.65</fb>
    <v>10</v>
  </rv>
  <rv s="6">
    <fb>218.23</fb>
    <v>10</v>
  </rv>
  <rv s="6">
    <fb>488.54</fb>
    <v>10</v>
  </rv>
  <rv s="6">
    <fb>104.72</fb>
    <v>10</v>
  </rv>
  <rv s="6">
    <fb>287.18</fb>
    <v>10</v>
  </rv>
  <rv s="6">
    <fb>45021</fb>
    <v>11</v>
  </rv>
  <rv s="6">
    <fb>312.58</fb>
    <v>10</v>
  </rv>
  <rv s="6">
    <fb>206.84</fb>
    <v>10</v>
  </rv>
  <rv s="6">
    <fb>62.8</fb>
    <v>10</v>
  </rv>
  <rv s="6">
    <fb>192.25</fb>
    <v>10</v>
  </rv>
  <rv s="6">
    <fb>151.26</fb>
    <v>10</v>
  </rv>
  <rv s="6">
    <fb>39.020000000000003</fb>
    <v>10</v>
  </rv>
  <rv s="6">
    <fb>90.2</fb>
    <v>10</v>
  </rv>
  <rv s="6">
    <fb>29.29</fb>
    <v>10</v>
  </rv>
  <rv s="6">
    <fb>11.8</fb>
    <v>10</v>
  </rv>
  <rv s="6">
    <fb>211.48</fb>
    <v>10</v>
  </rv>
  <rv s="6">
    <fb>159.91</fb>
    <v>10</v>
  </rv>
  <rv s="6">
    <fb>221.44</fb>
    <v>10</v>
  </rv>
  <rv s="6">
    <fb>489.99</fb>
    <v>10</v>
  </rv>
  <rv s="6">
    <fb>104.47</fb>
    <v>10</v>
  </rv>
  <rv s="6">
    <fb>284.33999999999997</fb>
    <v>10</v>
  </rv>
  <rv s="6">
    <fb>45022</fb>
    <v>11</v>
  </rv>
  <rv s="6">
    <fb>312.47000000000003</fb>
    <v>10</v>
  </rv>
  <rv s="6">
    <fb>205.6</fb>
    <v>10</v>
  </rv>
  <rv s="6">
    <fb>62.84</fb>
    <v>10</v>
  </rv>
  <rv s="6">
    <fb>193.1</fb>
    <v>10</v>
  </rv>
  <rv s="6">
    <fb>152.22</fb>
    <v>10</v>
  </rv>
  <rv s="6">
    <fb>39.14</fb>
    <v>10</v>
  </rv>
  <rv s="6">
    <fb>90.24</fb>
    <v>10</v>
  </rv>
  <rv s="6">
    <fb>30.02</fb>
    <v>10</v>
  </rv>
  <rv s="6">
    <fb>12</fb>
    <v>10</v>
  </rv>
  <rv s="6">
    <fb>216.1</fb>
    <v>10</v>
  </rv>
  <rv s="6">
    <fb>159.13</fb>
    <v>10</v>
  </rv>
  <rv s="6">
    <fb>224.64</fb>
    <v>10</v>
  </rv>
  <rv s="6">
    <fb>490.17</fb>
    <v>10</v>
  </rv>
  <rv s="6">
    <fb>108.42</fb>
    <v>10</v>
  </rv>
  <rv s="6">
    <fb>291.60000000000002</fb>
    <v>10</v>
  </rv>
  <rv s="6">
    <fb>45026</fb>
    <v>11</v>
  </rv>
  <rv s="6">
    <fb>315.17</fb>
    <v>10</v>
  </rv>
  <rv s="6">
    <fb>210.54</fb>
    <v>10</v>
  </rv>
  <rv s="6">
    <fb>62.69</fb>
    <v>10</v>
  </rv>
  <rv s="6">
    <fb>192.24</fb>
    <v>10</v>
  </rv>
  <rv s="6">
    <fb>150.96</fb>
    <v>10</v>
  </rv>
  <rv s="6">
    <fb>39.1</fb>
    <v>10</v>
  </rv>
  <rv s="6">
    <fb>89.02</fb>
    <v>10</v>
  </rv>
  <rv s="6">
    <fb>11.73</fb>
    <v>10</v>
  </rv>
  <rv s="6">
    <fb>214.75</fb>
    <v>10</v>
  </rv>
  <rv s="6">
    <fb>161.54</fb>
    <v>10</v>
  </rv>
  <rv s="6">
    <fb>224.6</fb>
    <v>10</v>
  </rv>
  <rv s="6">
    <fb>496.75</fb>
    <v>10</v>
  </rv>
  <rv s="6">
    <fb>106.44</fb>
    <v>10</v>
  </rv>
  <rv s="6">
    <fb>289.39</fb>
    <v>10</v>
  </rv>
  <rv s="6">
    <fb>45027</fb>
    <v>11</v>
  </rv>
  <rv s="6">
    <fb>317.98</fb>
    <v>10</v>
  </rv>
  <rv s="6">
    <fb>210.76</fb>
    <v>10</v>
  </rv>
  <rv s="6">
    <fb>62.58</fb>
    <v>10</v>
  </rv>
  <rv s="6">
    <fb>195.36</fb>
    <v>10</v>
  </rv>
  <rv s="6">
    <fb>39.25</fb>
    <v>10</v>
  </rv>
  <rv s="6">
    <fb>89.24</fb>
    <v>10</v>
  </rv>
  <rv s="6">
    <fb>30.31</fb>
    <v>10</v>
  </rv>
  <rv s="6">
    <fb>213.85</fb>
    <v>10</v>
  </rv>
  <rv s="6">
    <fb>163.72999999999999</fb>
    <v>10</v>
  </rv>
  <rv s="6">
    <fb>228.16</fb>
    <v>10</v>
  </rv>
  <rv s="6">
    <fb>487.84</fb>
    <v>10</v>
  </rv>
  <rv s="6">
    <fb>105.35</fb>
    <v>10</v>
  </rv>
  <rv s="6">
    <fb>282.83</fb>
    <v>10</v>
  </rv>
  <rv s="6">
    <fb>45028</fb>
    <v>11</v>
  </rv>
  <rv s="6">
    <fb>324.52</fb>
    <v>10</v>
  </rv>
  <rv s="6">
    <fb>210.6</fb>
    <v>10</v>
  </rv>
  <rv s="6">
    <fb>193.51</fb>
    <v>10</v>
  </rv>
  <rv s="6">
    <fb>151.07</fb>
    <v>10</v>
  </rv>
  <rv s="6">
    <fb>39.28</fb>
    <v>10</v>
  </rv>
  <rv s="6">
    <fb>86.87</fb>
    <v>10</v>
  </rv>
  <rv s="6">
    <fb>30.16</fb>
    <v>10</v>
  </rv>
  <rv s="6">
    <fb>12.01</fb>
    <v>10</v>
  </rv>
  <rv s="6">
    <fb>214</fb>
    <v>10</v>
  </rv>
  <rv s="6">
    <fb>165</fb>
    <v>10</v>
  </rv>
  <rv s="6">
    <fb>226.42</fb>
    <v>10</v>
  </rv>
  <rv s="6">
    <fb>488.1</fb>
    <v>10</v>
  </rv>
  <rv s="6">
    <fb>104.64</fb>
    <v>10</v>
  </rv>
  <rv s="6">
    <fb>283.49</fb>
    <v>10</v>
  </rv>
  <rv s="6">
    <fb>45029</fb>
    <v>11</v>
  </rv>
  <rv s="6">
    <fb>319.55</fb>
    <v>10</v>
  </rv>
  <rv s="6">
    <fb>210.79</fb>
    <v>10</v>
  </rv>
  <rv s="6">
    <fb>63.15</fb>
    <v>10</v>
  </rv>
  <rv s="6">
    <fb>195.12</fb>
    <v>10</v>
  </rv>
  <rv s="6">
    <fb>151.77000000000001</fb>
    <v>10</v>
  </rv>
  <rv s="6">
    <fb>39.17</fb>
    <v>10</v>
  </rv>
  <rv s="6">
    <fb>87.05</fb>
    <v>10</v>
  </rv>
  <rv s="6">
    <fb>30.42</fb>
    <v>10</v>
  </rv>
  <rv s="6">
    <fb>12.36</fb>
    <v>10</v>
  </rv>
  <rv s="6">
    <fb>220.35</fb>
    <v>10</v>
  </rv>
  <rv s="6">
    <fb>165.04</fb>
    <v>10</v>
  </rv>
  <rv s="6">
    <fb>226.2</fb>
    <v>10</v>
  </rv>
  <rv s="6">
    <fb>492.14</fb>
    <v>10</v>
  </rv>
  <rv s="6">
    <fb>107.43</fb>
    <v>10</v>
  </rv>
  <rv s="6">
    <fb>289.83999999999997</fb>
    <v>10</v>
  </rv>
  <rv s="6">
    <fb>45030</fb>
    <v>11</v>
  </rv>
  <rv s="6">
    <fb>319.11</fb>
    <v>10</v>
  </rv>
  <rv s="6">
    <fb>210.88</fb>
    <v>10</v>
  </rv>
  <rv s="6">
    <fb>63.05</fb>
    <v>10</v>
  </rv>
  <rv s="6">
    <fb>151</fb>
    <v>10</v>
  </rv>
  <rv s="6">
    <fb>87.2</fb>
    <v>10</v>
  </rv>
  <rv s="6">
    <fb>30.46</fb>
    <v>10</v>
  </rv>
  <rv s="6">
    <fb>221.49</fb>
    <v>10</v>
  </rv>
  <rv s="6">
    <fb>166.02</fb>
    <v>10</v>
  </rv>
  <rv s="6">
    <fb>228.23</fb>
    <v>10</v>
  </rv>
  <rv s="6">
    <fb>487.99</fb>
    <v>10</v>
  </rv>
  <rv s="6">
    <fb>108.87</fb>
    <v>10</v>
  </rv>
  <rv s="6">
    <fb>286.14</fb>
    <v>10</v>
  </rv>
  <rv s="6">
    <fb>45033</fb>
    <v>11</v>
  </rv>
  <rv s="6">
    <fb>325.41000000000003</fb>
    <v>10</v>
  </rv>
  <rv s="6">
    <fb>216.87</fb>
    <v>10</v>
  </rv>
  <rv s="6">
    <fb>63.46</fb>
    <v>10</v>
  </rv>
  <rv s="6">
    <fb>188.14</fb>
    <v>10</v>
  </rv>
  <rv s="6">
    <fb>151.05000000000001</fb>
    <v>10</v>
  </rv>
  <rv s="6">
    <fb>87.99</fb>
    <v>10</v>
  </rv>
  <rv s="6">
    <fb>30.45</fb>
    <v>10</v>
  </rv>
  <rv s="6">
    <fb>12.8</fb>
    <v>10</v>
  </rv>
  <rv s="6">
    <fb>218.86</fb>
    <v>10</v>
  </rv>
  <rv s="6">
    <fb>166.85</fb>
    <v>10</v>
  </rv>
  <rv s="6">
    <fb>229.68</fb>
    <v>10</v>
  </rv>
  <rv s="6">
    <fb>489.64</fb>
    <v>10</v>
  </rv>
  <rv s="6">
    <fb>105.97</fb>
    <v>10</v>
  </rv>
  <rv s="6">
    <fb>288.8</fb>
    <v>10</v>
  </rv>
  <rv s="6">
    <fb>45034</fb>
    <v>11</v>
  </rv>
  <rv s="6">
    <fb>324.7</fb>
    <v>10</v>
  </rv>
  <rv s="6">
    <fb>217.56</fb>
    <v>10</v>
  </rv>
  <rv s="6">
    <fb>63.56</fb>
    <v>10</v>
  </rv>
  <rv s="6">
    <fb>183.77</fb>
    <v>10</v>
  </rv>
  <rv s="6">
    <fb>151.21</fb>
    <v>10</v>
  </rv>
  <rv s="6">
    <fb>39.46</fb>
    <v>10</v>
  </rv>
  <rv s="6">
    <fb>88.14</fb>
    <v>10</v>
  </rv>
  <rv s="6">
    <fb>30.41</fb>
    <v>10</v>
  </rv>
  <rv s="6">
    <fb>217.89</fb>
    <v>10</v>
  </rv>
  <rv s="6">
    <fb>167.79</fb>
    <v>10</v>
  </rv>
  <rv s="6">
    <fb>227.35</fb>
    <v>10</v>
  </rv>
  <rv s="6">
    <fb>501.41</fb>
    <v>10</v>
  </rv>
  <rv s="6">
    <fb>104.5</fb>
    <v>10</v>
  </rv>
  <rv s="6">
    <fb>288.37</fb>
    <v>10</v>
  </rv>
  <rv s="6">
    <fb>45035</fb>
    <v>11</v>
  </rv>
  <rv s="6">
    <fb>323.43</fb>
    <v>10</v>
  </rv>
  <rv s="6">
    <fb>220.77</fb>
    <v>10</v>
  </rv>
  <rv s="6">
    <fb>63.68</fb>
    <v>10</v>
  </rv>
  <rv s="6">
    <fb>186.75</fb>
    <v>10</v>
  </rv>
  <rv s="6">
    <fb>151.24</fb>
    <v>10</v>
  </rv>
  <rv s="6">
    <fb>39.47</fb>
    <v>10</v>
  </rv>
  <rv s="6">
    <fb>87.23</fb>
    <v>10</v>
  </rv>
  <rv s="6">
    <fb>30.56</fb>
    <v>10</v>
  </rv>
  <rv s="6">
    <fb>12.775</fb>
    <v>10</v>
  </rv>
  <rv s="6">
    <fb>215.7</fb>
    <v>10</v>
  </rv>
  <rv s="6">
    <fb>166.01</fb>
    <v>10</v>
  </rv>
  <rv s="6">
    <fb>227.87</fb>
    <v>10</v>
  </rv>
  <rv s="6">
    <fb>495.16</fb>
    <v>10</v>
  </rv>
  <rv s="6">
    <fb>104.18</fb>
    <v>10</v>
  </rv>
  <rv s="6">
    <fb>288.45</fb>
    <v>10</v>
  </rv>
  <rv s="6">
    <fb>45036</fb>
    <v>11</v>
  </rv>
  <rv s="6">
    <fb>319.33</fb>
    <v>10</v>
  </rv>
  <rv s="6">
    <fb>220.14</fb>
    <v>10</v>
  </rv>
  <rv s="6">
    <fb>63.96</fb>
    <v>10</v>
  </rv>
  <rv s="6">
    <fb>185.44</fb>
    <v>10</v>
  </rv>
  <rv s="6">
    <fb>150.85</fb>
    <v>10</v>
  </rv>
  <rv s="6">
    <fb>39.409999999999997</fb>
    <v>10</v>
  </rv>
  <rv s="6">
    <fb>30.81</fb>
    <v>10</v>
  </rv>
  <rv s="6">
    <fb>12.51</fb>
    <v>10</v>
  </rv>
  <rv s="6">
    <fb>167.29</fb>
    <v>10</v>
  </rv>
  <rv s="6">
    <fb>226.95</fb>
    <v>10</v>
  </rv>
  <rv s="6">
    <fb>490.6</fb>
    <v>10</v>
  </rv>
  <rv s="6">
    <fb>105.29</fb>
    <v>10</v>
  </rv>
  <rv s="6">
    <fb>286.11</fb>
    <v>10</v>
  </rv>
  <rv s="6">
    <fb>45037</fb>
    <v>11</v>
  </rv>
  <rv s="6">
    <fb>320.8</fb>
    <v>10</v>
  </rv>
  <rv s="6">
    <fb>218.85</fb>
    <v>10</v>
  </rv>
  <rv s="6">
    <fb>64.05</fb>
    <v>10</v>
  </rv>
  <rv s="6">
    <fb>187.07</fb>
    <v>10</v>
  </rv>
  <rv s="6">
    <fb>156.07</fb>
    <v>10</v>
  </rv>
  <rv s="6">
    <fb>39.22</fb>
    <v>10</v>
  </rv>
  <rv s="6">
    <fb>85.37</fb>
    <v>10</v>
  </rv>
  <rv s="6">
    <fb>31.82</fb>
    <v>10</v>
  </rv>
  <rv s="6">
    <fb>12.45</fb>
    <v>10</v>
  </rv>
  <rv s="6">
    <fb>212.89</fb>
    <v>10</v>
  </rv>
  <rv s="6">
    <fb>165.8</fb>
    <v>10</v>
  </rv>
  <rv s="6">
    <fb>226.44</fb>
    <v>10</v>
  </rv>
  <rv s="6">
    <fb>482.55</fb>
    <v>10</v>
  </rv>
  <rv s="6">
    <fb>105.41</fb>
    <v>10</v>
  </rv>
  <rv s="6">
    <fb>285.76</fb>
    <v>10</v>
  </rv>
  <rv s="6">
    <fb>45040</fb>
    <v>11</v>
  </rv>
  <rv s="6">
    <fb>322.95999999999998</fb>
    <v>10</v>
  </rv>
  <rv s="6">
    <fb>217.76</fb>
    <v>10</v>
  </rv>
  <rv s="6">
    <fb>63.95</fb>
    <v>10</v>
  </rv>
  <rv s="6">
    <fb>187.5</fb>
    <v>10</v>
  </rv>
  <rv s="6">
    <fb>156.35</fb>
    <v>10</v>
  </rv>
  <rv s="6">
    <fb>39.18</fb>
    <v>10</v>
  </rv>
  <rv s="6">
    <fb>84.64</fb>
    <v>10</v>
  </rv>
  <rv s="6">
    <fb>31.38</fb>
    <v>10</v>
  </rv>
  <rv s="6">
    <fb>12.62</fb>
    <v>10</v>
  </rv>
  <rv s="6">
    <fb>212.79</fb>
    <v>10</v>
  </rv>
  <rv s="6">
    <fb>168.27</fb>
    <v>10</v>
  </rv>
  <rv s="6">
    <fb>224.38</fb>
    <v>10</v>
  </rv>
  <rv s="6">
    <fb>480.92</fb>
    <v>10</v>
  </rv>
  <rv s="6">
    <fb>281.77</fb>
    <v>10</v>
  </rv>
  <rv s="6">
    <fb>45041</fb>
    <v>11</v>
  </rv>
  <rv s="6">
    <fb>317.11</fb>
    <v>10</v>
  </rv>
  <rv s="6">
    <fb>213.59</fb>
    <v>10</v>
  </rv>
  <rv s="6">
    <fb>63.85</fb>
    <v>10</v>
  </rv>
  <rv s="6">
    <fb>181.84</fb>
    <v>10</v>
  </rv>
  <rv s="6">
    <fb>156.38999999999999</fb>
    <v>10</v>
  </rv>
  <rv s="6">
    <fb>39.44</fb>
    <v>10</v>
  </rv>
  <rv s="6">
    <fb>82.29</fb>
    <v>10</v>
  </rv>
  <rv s="6">
    <fb>30.9</fb>
    <v>10</v>
  </rv>
  <rv s="6">
    <fb>12.35</fb>
    <v>10</v>
  </rv>
  <rv s="6">
    <fb>207.55</fb>
    <v>10</v>
  </rv>
  <rv s="6">
    <fb>167.22</fb>
    <v>10</v>
  </rv>
  <rv s="6">
    <fb>226.53</fb>
    <v>10</v>
  </rv>
  <rv s="6">
    <fb>475.58</fb>
    <v>10</v>
  </rv>
  <rv s="6">
    <fb>103.85</fb>
    <v>10</v>
  </rv>
  <rv s="6">
    <fb>275.42</fb>
    <v>10</v>
  </rv>
  <rv s="6">
    <fb>45042</fb>
    <v>11</v>
  </rv>
  <rv s="6">
    <fb>311.64999999999998</fb>
    <v>10</v>
  </rv>
  <rv s="6">
    <fb>212.57</fb>
    <v>10</v>
  </rv>
  <rv s="6">
    <fb>63.55</fb>
    <v>10</v>
  </rv>
  <rv s="6">
    <fb>182.85</fb>
    <v>10</v>
  </rv>
  <rv s="6">
    <fb>154.58000000000001</fb>
    <v>10</v>
  </rv>
  <rv s="6">
    <fb>39.36</fb>
    <v>10</v>
  </rv>
  <rv s="6">
    <fb>82.25</fb>
    <v>10</v>
  </rv>
  <rv s="6">
    <fb>30.14</fb>
    <v>10</v>
  </rv>
  <rv s="6">
    <fb>209.4</fb>
    <v>10</v>
  </rv>
  <rv s="6">
    <fb>164.07</fb>
    <v>10</v>
  </rv>
  <rv s="6">
    <fb>225.44</fb>
    <v>10</v>
  </rv>
  <rv s="6">
    <fb>461.62</fb>
    <v>10</v>
  </rv>
  <rv s="6">
    <fb>103.71</fb>
    <v>10</v>
  </rv>
  <rv s="6">
    <fb>295.37</fb>
    <v>10</v>
  </rv>
  <rv s="6">
    <fb>45043</fb>
    <v>11</v>
  </rv>
  <rv s="6">
    <fb>323.3</fb>
    <v>10</v>
  </rv>
  <rv s="6">
    <fb>217.65</fb>
    <v>10</v>
  </rv>
  <rv s="6">
    <fb>185.85</fb>
    <v>10</v>
  </rv>
  <rv s="6">
    <fb>156.47</fb>
    <v>10</v>
  </rv>
  <rv s="6">
    <fb>39.68</fb>
    <v>10</v>
  </rv>
  <rv s="6">
    <fb>83.67</fb>
    <v>10</v>
  </rv>
  <rv s="6">
    <fb>30.39</fb>
    <v>10</v>
  </rv>
  <rv s="6">
    <fb>238.56</fb>
    <v>10</v>
  </rv>
  <rv s="6">
    <fb>168.97</fb>
    <v>10</v>
  </rv>
  <rv s="6">
    <fb>228.56</fb>
    <v>10</v>
  </rv>
  <rv s="6">
    <fb>465</fb>
    <v>10</v>
  </rv>
  <rv s="6">
    <fb>107.59</fb>
    <v>10</v>
  </rv>
  <rv s="6">
    <fb>304.83</fb>
    <v>10</v>
  </rv>
  <rv s="6">
    <fb>45044</fb>
    <v>11</v>
  </rv>
  <rv s="6">
    <fb>324.88</fb>
    <v>10</v>
  </rv>
  <rv s="6">
    <fb>64.150000000000006</fb>
    <v>10</v>
  </rv>
  <rv s="6">
    <fb>188.55</fb>
    <v>10</v>
  </rv>
  <rv s="6">
    <fb>156.38</fb>
    <v>10</v>
  </rv>
  <rv s="6">
    <fb>39.270000000000003</fb>
    <v>10</v>
  </rv>
  <rv s="6">
    <fb>84.3</fb>
    <v>10</v>
  </rv>
  <rv s="6">
    <fb>30.64</fb>
    <v>10</v>
  </rv>
  <rv s="6">
    <fb>169.64</fb>
    <v>10</v>
  </rv>
  <rv s="6">
    <fb>229.47</fb>
    <v>10</v>
  </rv>
  <rv s="6">
    <fb>464.45</fb>
    <v>10</v>
  </rv>
  <rv s="6">
    <fb>107.34</fb>
    <v>10</v>
  </rv>
  <rv s="6">
    <fb>307.26</fb>
    <v>10</v>
  </rv>
  <rv s="6">
    <fb>45047</fb>
    <v>11</v>
  </rv>
  <rv s="6">
    <fb>327.37</fb>
    <v>10</v>
  </rv>
  <rv s="6">
    <fb>216.44</fb>
    <v>10</v>
  </rv>
  <rv s="6">
    <fb>64.3</fb>
    <v>10</v>
  </rv>
  <rv s="6">
    <fb>192.11</fb>
    <v>10</v>
  </rv>
  <rv s="6">
    <fb>156.57</fb>
    <v>10</v>
  </rv>
  <rv s="6">
    <fb>39.76</fb>
    <v>10</v>
  </rv>
  <rv s="6">
    <fb>83.98</fb>
    <v>10</v>
  </rv>
  <rv s="6">
    <fb>31.3</fb>
    <v>10</v>
  </rv>
  <rv s="6">
    <fb>243.18</fb>
    <v>10</v>
  </rv>
  <rv s="6">
    <fb>169.21</fb>
    <v>10</v>
  </rv>
  <rv s="6">
    <fb>230.23</fb>
    <v>10</v>
  </rv>
  <rv s="6">
    <fb>469.43</fb>
    <v>10</v>
  </rv>
  <rv s="6">
    <fb>107.2</fb>
    <v>10</v>
  </rv>
  <rv s="6">
    <fb>305.56</fb>
    <v>10</v>
  </rv>
  <rv s="6">
    <fb>45048</fb>
    <v>11</v>
  </rv>
  <rv s="6">
    <fb>325.02</fb>
    <v>10</v>
  </rv>
  <rv s="6">
    <fb>211.93</fb>
    <v>10</v>
  </rv>
  <rv s="6">
    <fb>64.010000000000005</fb>
    <v>10</v>
  </rv>
  <rv s="6">
    <fb>190.05</fb>
    <v>10</v>
  </rv>
  <rv s="6">
    <fb>156.43</fb>
    <v>10</v>
  </rv>
  <rv s="6">
    <fb>39.450000000000003</fb>
    <v>10</v>
  </rv>
  <rv s="6">
    <fb>82.96</fb>
    <v>10</v>
  </rv>
  <rv s="6">
    <fb>31.07</fb>
    <v>10</v>
  </rv>
  <rv s="6">
    <fb>13</fb>
    <v>10</v>
  </rv>
  <rv s="6">
    <fb>239.24</fb>
    <v>10</v>
  </rv>
  <rv s="6">
    <fb>168.12</fb>
    <v>10</v>
  </rv>
  <rv s="6">
    <fb>458.89</fb>
    <v>10</v>
  </rv>
  <rv s="6">
    <fb>105.32</fb>
    <v>10</v>
  </rv>
  <rv s="6">
    <fb>305.41000000000003</fb>
    <v>10</v>
  </rv>
  <rv s="6">
    <fb>45049</fb>
    <v>11</v>
  </rv>
  <rv s="6">
    <fb>323.22000000000003</fb>
    <v>10</v>
  </rv>
  <rv s="6">
    <fb>213.12</fb>
    <v>10</v>
  </rv>
  <rv s="6">
    <fb>63.65</fb>
    <v>10</v>
  </rv>
  <rv s="6">
    <fb>187.68</fb>
    <v>10</v>
  </rv>
  <rv s="6">
    <fb>156.22999999999999</fb>
    <v>10</v>
  </rv>
  <rv s="6">
    <fb>40.25</fb>
    <v>10</v>
  </rv>
  <rv s="6">
    <fb>82.7</fb>
    <v>10</v>
  </rv>
  <rv s="6">
    <fb>30.93</fb>
    <v>10</v>
  </rv>
  <rv s="6">
    <fb>13.19</fb>
    <v>10</v>
  </rv>
  <rv s="6">
    <fb>237.03</fb>
    <v>10</v>
  </rv>
  <rv s="6">
    <fb>168.22</fb>
    <v>10</v>
  </rv>
  <rv s="6">
    <fb>225.5</fb>
    <v>10</v>
  </rv>
  <rv s="6">
    <fb>453.07</fb>
    <v>10</v>
  </rv>
  <rv s="6">
    <fb>304.39999999999998</fb>
    <v>10</v>
  </rv>
  <rv s="6">
    <fb>45050</fb>
    <v>11</v>
  </rv>
  <rv s="6">
    <fb>322.29000000000002</fb>
    <v>10</v>
  </rv>
  <rv s="6">
    <fb>209.75</fb>
    <v>10</v>
  </rv>
  <rv s="6">
    <fb>63.72</fb>
    <v>10</v>
  </rv>
  <rv s="6">
    <fb>188.88</fb>
    <v>10</v>
  </rv>
  <rv s="6">
    <fb>155.51</fb>
    <v>10</v>
  </rv>
  <rv s="6">
    <fb>40.840000000000003</fb>
    <v>10</v>
  </rv>
  <rv s="6">
    <fb>83.49</fb>
    <v>10</v>
  </rv>
  <rv s="6">
    <fb>31.31</fb>
    <v>10</v>
  </rv>
  <rv s="6">
    <fb>14.95</fb>
    <v>10</v>
  </rv>
  <rv s="6">
    <fb>233.52</fb>
    <v>10</v>
  </rv>
  <rv s="6">
    <fb>165.35</fb>
    <v>10</v>
  </rv>
  <rv s="6">
    <fb>222.41</fb>
    <v>10</v>
  </rv>
  <rv s="6">
    <fb>451.93</fb>
    <v>10</v>
  </rv>
  <rv s="6">
    <fb>104.69</fb>
    <v>10</v>
  </rv>
  <rv s="6">
    <fb>45051</fb>
    <v>11</v>
  </rv>
  <rv s="6">
    <fb>333.3</fb>
    <v>10</v>
  </rv>
  <rv s="6">
    <fb>213.58</fb>
    <v>10</v>
  </rv>
  <rv s="6">
    <fb>64.02</fb>
    <v>10</v>
  </rv>
  <rv s="6">
    <fb>189.18</fb>
    <v>10</v>
  </rv>
  <rv s="6">
    <fb>156.03</fb>
    <v>10</v>
  </rv>
  <rv s="6">
    <fb>41.32</fb>
    <v>10</v>
  </rv>
  <rv s="6">
    <fb>84.97</fb>
    <v>10</v>
  </rv>
  <rv s="6">
    <fb>15.215</fb>
    <v>10</v>
  </rv>
  <rv s="6">
    <fb>232.78</fb>
    <v>10</v>
  </rv>
  <rv s="6">
    <fb>171.07</fb>
    <v>10</v>
  </rv>
  <rv s="6">
    <fb>223.44</fb>
    <v>10</v>
  </rv>
  <rv s="6">
    <fb>455.54</fb>
    <v>10</v>
  </rv>
  <rv s="6">
    <fb>105.57</fb>
    <v>10</v>
  </rv>
  <rv s="6">
    <fb>310.64999999999998</fb>
    <v>10</v>
  </rv>
  <rv s="6">
    <fb>45054</fb>
    <v>11</v>
  </rv>
  <rv s="6">
    <fb>334.84</fb>
    <v>10</v>
  </rv>
  <rv s="6">
    <fb>211.92</fb>
    <v>10</v>
  </rv>
  <rv s="6">
    <fb>63.92</fb>
    <v>10</v>
  </rv>
  <rv s="6">
    <fb>188.98</fb>
    <v>10</v>
  </rv>
  <rv s="6">
    <fb>155.30000000000001</fb>
    <v>10</v>
  </rv>
  <rv s="6">
    <fb>41.08</fb>
    <v>10</v>
  </rv>
  <rv s="6">
    <fb>85.54</fb>
    <v>10</v>
  </rv>
  <rv s="6">
    <fb>31.88</fb>
    <v>10</v>
  </rv>
  <rv s="6">
    <fb>15.58</fb>
    <v>10</v>
  </rv>
  <rv s="6">
    <fb>233.27</fb>
    <v>10</v>
  </rv>
  <rv s="6">
    <fb>168.88</fb>
    <v>10</v>
  </rv>
  <rv s="6">
    <fb>228.2</fb>
    <v>10</v>
  </rv>
  <rv s="6">
    <fb>450.96</fb>
    <v>10</v>
  </rv>
  <rv s="6">
    <fb>107.77</fb>
    <v>10</v>
  </rv>
  <rv s="6">
    <fb>308.64999999999998</fb>
    <v>10</v>
  </rv>
  <rv s="6">
    <fb>45055</fb>
    <v>11</v>
  </rv>
  <rv s="6">
    <fb>339.11</fb>
    <v>10</v>
  </rv>
  <rv s="6">
    <fb>210.81</fb>
    <v>10</v>
  </rv>
  <rv s="6">
    <fb>63.39</fb>
    <v>10</v>
  </rv>
  <rv s="6">
    <fb>187.12</fb>
    <v>10</v>
  </rv>
  <rv s="6">
    <fb>153.71</fb>
    <v>10</v>
  </rv>
  <rv s="6">
    <fb>40.880000000000003</fb>
    <v>10</v>
  </rv>
  <rv s="6">
    <fb>85.06</fb>
    <v>10</v>
  </rv>
  <rv s="6">
    <fb>32.020000000000003</fb>
    <v>10</v>
  </rv>
  <rv s="6">
    <fb>15.56</fb>
    <v>10</v>
  </rv>
  <rv s="6">
    <fb>233.37</fb>
    <v>10</v>
  </rv>
  <rv s="6">
    <fb>171</fb>
    <v>10</v>
  </rv>
  <rv s="6">
    <fb>225.46</fb>
    <v>10</v>
  </rv>
  <rv s="6">
    <fb>452.04</fb>
    <v>10</v>
  </rv>
  <rv s="6">
    <fb>107.35</fb>
    <v>10</v>
  </rv>
  <rv s="6">
    <fb>307</fb>
    <v>10</v>
  </rv>
  <rv s="6">
    <fb>45056</fb>
    <v>11</v>
  </rv>
  <rv s="6">
    <fb>326.88</fb>
    <v>10</v>
  </rv>
  <rv s="6">
    <fb>208.39</fb>
    <v>10</v>
  </rv>
  <rv s="6">
    <fb>63.5</fb>
    <v>10</v>
  </rv>
  <rv s="6">
    <fb>189.39</fb>
    <v>10</v>
  </rv>
  <rv s="6">
    <fb>154.03</fb>
    <v>10</v>
  </rv>
  <rv s="6">
    <fb>40.68</fb>
    <v>10</v>
  </rv>
  <rv s="6">
    <fb>84.9</fb>
    <v>10</v>
  </rv>
  <rv s="6">
    <fb>31.81</fb>
    <v>10</v>
  </rv>
  <rv s="6">
    <fb>15.42</fb>
    <v>10</v>
  </rv>
  <rv s="6">
    <fb>233.08</fb>
    <v>10</v>
  </rv>
  <rv s="6">
    <fb>171.43</fb>
    <v>10</v>
  </rv>
  <rv s="6">
    <fb>226.19</fb>
    <v>10</v>
  </rv>
  <rv s="6">
    <fb>453.15</fb>
    <v>10</v>
  </rv>
  <rv s="6">
    <fb>111.75</fb>
    <v>10</v>
  </rv>
  <rv s="6">
    <fb>312.31</fb>
    <v>10</v>
  </rv>
  <rv s="6">
    <fb>45057</fb>
    <v>11</v>
  </rv>
  <rv s="6">
    <fb>324.58999999999997</fb>
    <v>10</v>
  </rv>
  <rv s="6">
    <fb>207.64</fb>
    <v>10</v>
  </rv>
  <rv s="6">
    <fb>63.86</fb>
    <v>10</v>
  </rv>
  <rv s="6">
    <fb>208</fb>
    <v>10</v>
  </rv>
  <rv s="6">
    <fb>154.38999999999999</fb>
    <v>10</v>
  </rv>
  <rv s="6">
    <fb>40.65</fb>
    <v>10</v>
  </rv>
  <rv s="6">
    <fb>83.43</fb>
    <v>10</v>
  </rv>
  <rv s="6">
    <fb>31.79</fb>
    <v>10</v>
  </rv>
  <rv s="6">
    <fb>16.16</fb>
    <v>10</v>
  </rv>
  <rv s="6">
    <fb>235.79</fb>
    <v>10</v>
  </rv>
  <rv s="6">
    <fb>171.59</fb>
    <v>10</v>
  </rv>
  <rv s="6">
    <fb>224.87</fb>
    <v>10</v>
  </rv>
  <rv s="6">
    <fb>450.69</fb>
    <v>10</v>
  </rv>
  <rv s="6">
    <fb>116.57</fb>
    <v>10</v>
  </rv>
  <rv s="6">
    <fb>310.11</fb>
    <v>10</v>
  </rv>
  <rv s="6">
    <fb>45058</fb>
    <v>11</v>
  </rv>
  <rv s="6">
    <fb>323.99</fb>
    <v>10</v>
  </rv>
  <rv s="6">
    <fb>210.07</fb>
    <v>10</v>
  </rv>
  <rv s="6">
    <fb>64.11</fb>
    <v>10</v>
  </rv>
  <rv s="6">
    <fb>210.85</fb>
    <v>10</v>
  </rv>
  <rv s="6">
    <fb>155.96</fb>
    <v>10</v>
  </rv>
  <rv s="6">
    <fb>40.659999999999997</fb>
    <v>10</v>
  </rv>
  <rv s="6">
    <fb>16.02</fb>
    <v>10</v>
  </rv>
  <rv s="6">
    <fb>233.81</fb>
    <v>10</v>
  </rv>
  <rv s="6">
    <fb>173.85</fb>
    <v>10</v>
  </rv>
  <rv s="6">
    <fb>227.75</fb>
    <v>10</v>
  </rv>
  <rv s="6">
    <fb>450.79</fb>
    <v>10</v>
  </rv>
  <rv s="6">
    <fb>117.51</fb>
    <v>10</v>
  </rv>
  <rv s="6">
    <fb>308.97000000000003</fb>
    <v>10</v>
  </rv>
  <rv s="6">
    <fb>45061</fb>
    <v>11</v>
  </rv>
  <rv s="6">
    <fb>327.7</fb>
    <v>10</v>
  </rv>
  <rv s="6">
    <fb>213.45</fb>
    <v>10</v>
  </rv>
  <rv s="6">
    <fb>63.94</fb>
    <v>10</v>
  </rv>
  <rv s="6">
    <fb>210.83</fb>
    <v>10</v>
  </rv>
  <rv s="6">
    <fb>156.01</fb>
    <v>10</v>
  </rv>
  <rv s="6">
    <fb>40.17</fb>
    <v>10</v>
  </rv>
  <rv s="6">
    <fb>85.66</fb>
    <v>10</v>
  </rv>
  <rv s="6">
    <fb>16.09</fb>
    <v>10</v>
  </rv>
  <rv s="6">
    <fb>238.86</fb>
    <v>10</v>
  </rv>
  <rv s="6">
    <fb>174.81</fb>
    <v>10</v>
  </rv>
  <rv s="6">
    <fb>230.33</fb>
    <v>10</v>
  </rv>
  <rv s="6">
    <fb>451.92</fb>
    <v>10</v>
  </rv>
  <rv s="6">
    <fb>116.51</fb>
    <v>10</v>
  </rv>
  <rv s="6">
    <fb>309.45999999999998</fb>
    <v>10</v>
  </rv>
  <rv s="6">
    <fb>45062</fb>
    <v>11</v>
  </rv>
  <rv s="6">
    <fb>321.54000000000002</fb>
    <v>10</v>
  </rv>
  <rv s="6">
    <fb>205.75</fb>
    <v>10</v>
  </rv>
  <rv s="6">
    <fb>63.22</fb>
    <v>10</v>
  </rv>
  <rv s="6">
    <fb>207.93</fb>
    <v>10</v>
  </rv>
  <rv s="6">
    <fb>155.74</fb>
    <v>10</v>
  </rv>
  <rv s="6">
    <fb>39</fb>
    <v>10</v>
  </rv>
  <rv s="6">
    <fb>85.88</fb>
    <v>10</v>
  </rv>
  <rv s="6">
    <fb>31.68</fb>
    <v>10</v>
  </rv>
  <rv s="6">
    <fb>15.89</fb>
    <v>10</v>
  </rv>
  <rv s="6">
    <fb>238.82</fb>
    <v>10</v>
  </rv>
  <rv s="6">
    <fb>169.69</fb>
    <v>10</v>
  </rv>
  <rv s="6">
    <fb>226.69</fb>
    <v>10</v>
  </rv>
  <rv s="6">
    <fb>447.73</fb>
    <v>10</v>
  </rv>
  <rv s="6">
    <fb>119.51</fb>
    <v>10</v>
  </rv>
  <rv s="6">
    <fb>311.74</fb>
    <v>10</v>
  </rv>
  <rv s="6">
    <fb>45063</fb>
    <v>11</v>
  </rv>
  <rv s="6">
    <fb>330.92</fb>
    <v>10</v>
  </rv>
  <rv s="6">
    <fb>210.31</fb>
    <v>10</v>
  </rv>
  <rv s="6">
    <fb>205.82</fb>
    <v>10</v>
  </rv>
  <rv s="6">
    <fb>155.08000000000001</fb>
    <v>10</v>
  </rv>
  <rv s="6">
    <fb>38.909999999999997</fb>
    <v>10</v>
  </rv>
  <rv s="6">
    <fb>90.88</fb>
    <v>10</v>
  </rv>
  <rv s="6">
    <fb>15.81</fb>
    <v>10</v>
  </rv>
  <rv s="6">
    <fb>242.48500000000001</fb>
    <v>10</v>
  </rv>
  <rv s="6">
    <fb>169.76</fb>
    <v>10</v>
  </rv>
  <rv s="6">
    <fb>230.72</fb>
    <v>10</v>
  </rv>
  <rv s="6">
    <fb>457.3</fb>
    <v>10</v>
  </rv>
  <rv s="6">
    <fb>120.84</fb>
    <v>10</v>
  </rv>
  <rv s="6">
    <fb>45064</fb>
    <v>11</v>
  </rv>
  <rv s="6">
    <fb>335.15</fb>
    <v>10</v>
  </rv>
  <rv s="6">
    <fb>215.03</fb>
    <v>10</v>
  </rv>
  <rv s="6">
    <fb>206.77</fb>
    <v>10</v>
  </rv>
  <rv s="6">
    <fb>152.53</fb>
    <v>10</v>
  </rv>
  <rv s="6">
    <fb>92.65</fb>
    <v>10</v>
  </rv>
  <rv s="6">
    <fb>32.39</fb>
    <v>10</v>
  </rv>
  <rv s="6">
    <fb>16.11</fb>
    <v>10</v>
  </rv>
  <rv s="6">
    <fb>246.85</fb>
    <v>10</v>
  </rv>
  <rv s="6">
    <fb>171.89</fb>
    <v>10</v>
  </rv>
  <rv s="6">
    <fb>232.15</fb>
    <v>10</v>
  </rv>
  <rv s="6">
    <fb>455.75</fb>
    <v>10</v>
  </rv>
  <rv s="6">
    <fb>122.83</fb>
    <v>10</v>
  </rv>
  <rv s="6">
    <fb>318.52</fb>
    <v>10</v>
  </rv>
  <rv s="6">
    <fb>45065</fb>
    <v>11</v>
  </rv>
  <rv s="6">
    <fb>332.84</fb>
    <v>10</v>
  </rv>
  <rv s="6">
    <fb>212.31</fb>
    <v>10</v>
  </rv>
  <rv s="6">
    <fb>62.83</fb>
    <v>10</v>
  </rv>
  <rv s="6">
    <fb>205.7</fb>
    <v>10</v>
  </rv>
  <rv s="6">
    <fb>153.16999999999999</fb>
    <v>10</v>
  </rv>
  <rv s="6">
    <fb>92.58</fb>
    <v>10</v>
  </rv>
  <rv s="6">
    <fb>32.31</fb>
    <v>10</v>
  </rv>
  <rv s="6">
    <fb>15.57</fb>
    <v>10</v>
  </rv>
  <rv s="6">
    <fb>245.64</fb>
    <v>10</v>
  </rv>
  <rv s="6">
    <fb>171.71</fb>
    <v>10</v>
  </rv>
  <rv s="6">
    <fb>235.29</fb>
    <v>10</v>
  </rv>
  <rv s="6">
    <fb>454.49</fb>
    <v>10</v>
  </rv>
  <rv s="6">
    <fb>122.76</fb>
    <v>10</v>
  </rv>
  <rv s="6">
    <fb>318.33999999999997</fb>
    <v>10</v>
  </rv>
  <rv s="6">
    <fb>45068</fb>
    <v>11</v>
  </rv>
  <rv s="6">
    <fb>334.14</fb>
    <v>10</v>
  </rv>
  <rv s="6">
    <fb>213.39</fb>
    <v>10</v>
  </rv>
  <rv s="6">
    <fb>61.51</fb>
    <v>10</v>
  </rv>
  <rv s="6">
    <fb>206.92</fb>
    <v>10</v>
  </rv>
  <rv s="6">
    <fb>149.16</fb>
    <v>10</v>
  </rv>
  <rv s="6">
    <fb>38.74</fb>
    <v>10</v>
  </rv>
  <rv s="6">
    <fb>91.72</fb>
    <v>10</v>
  </rv>
  <rv s="6">
    <fb>31.9</fb>
    <v>10</v>
  </rv>
  <rv s="6">
    <fb>15.45</fb>
    <v>10</v>
  </rv>
  <rv s="6">
    <fb>248.32</fb>
    <v>10</v>
  </rv>
  <rv s="6">
    <fb>170.99</fb>
    <v>10</v>
  </rv>
  <rv s="6">
    <fb>235.46</fb>
    <v>10</v>
  </rv>
  <rv s="6">
    <fb>454.72</fb>
    <v>10</v>
  </rv>
  <rv s="6">
    <fb>125.05</fb>
    <v>10</v>
  </rv>
  <rv s="6">
    <fb>321.18</fb>
    <v>10</v>
  </rv>
  <rv s="6">
    <fb>45069</fb>
    <v>11</v>
  </rv>
  <rv s="6">
    <fb>328.78</fb>
    <v>10</v>
  </rv>
  <rv s="6">
    <fb>211.47</fb>
    <v>10</v>
  </rv>
  <rv s="6">
    <fb>61.4</fb>
    <v>10</v>
  </rv>
  <rv s="6">
    <fb>201.88</fb>
    <v>10</v>
  </rv>
  <rv s="6">
    <fb>147.55000000000001</fb>
    <v>10</v>
  </rv>
  <rv s="6">
    <fb>38.69</fb>
    <v>10</v>
  </rv>
  <rv s="6">
    <fb>90.44</fb>
    <v>10</v>
  </rv>
  <rv s="6">
    <fb>31.61</fb>
    <v>10</v>
  </rv>
  <rv s="6">
    <fb>15.74</fb>
    <v>10</v>
  </rv>
  <rv s="6">
    <fb>246.74</fb>
    <v>10</v>
  </rv>
  <rv s="6">
    <fb>166.61</fb>
    <v>10</v>
  </rv>
  <rv s="6">
    <fb>235.91</fb>
    <v>10</v>
  </rv>
  <rv s="6">
    <fb>452.63</fb>
    <v>10</v>
  </rv>
  <rv s="6">
    <fb>122.56</fb>
    <v>10</v>
  </rv>
  <rv s="6">
    <fb>315.26</fb>
    <v>10</v>
  </rv>
  <rv s="6">
    <fb>45070</fb>
    <v>11</v>
  </rv>
  <rv s="6">
    <fb>322.01</fb>
    <v>10</v>
  </rv>
  <rv s="6">
    <fb>211.07</fb>
    <v>10</v>
  </rv>
  <rv s="6">
    <fb>60.88</fb>
    <v>10</v>
  </rv>
  <rv s="6">
    <fb>200.84</fb>
    <v>10</v>
  </rv>
  <rv s="6">
    <fb>146.33000000000001</fb>
    <v>10</v>
  </rv>
  <rv s="6">
    <fb>38.72</fb>
    <v>10</v>
  </rv>
  <rv s="6">
    <fb>90.13</fb>
    <v>10</v>
  </rv>
  <rv s="6">
    <fb>30.89</fb>
    <v>10</v>
  </rv>
  <rv s="6">
    <fb>15.36</fb>
    <v>10</v>
  </rv>
  <rv s="6">
    <fb>249.21</fb>
    <v>10</v>
  </rv>
  <rv s="6">
    <fb>166.56</fb>
    <v>10</v>
  </rv>
  <rv s="6">
    <fb>232.3</fb>
    <v>10</v>
  </rv>
  <rv s="6">
    <fb>452.72</fb>
    <v>10</v>
  </rv>
  <rv s="6">
    <fb>120.9</fb>
    <v>10</v>
  </rv>
  <rv s="6">
    <fb>313.85000000000002</fb>
    <v>10</v>
  </rv>
  <rv s="6">
    <fb>45071</fb>
    <v>11</v>
  </rv>
  <rv s="6">
    <fb>327.13</fb>
    <v>10</v>
  </rv>
  <rv s="6">
    <fb>215.3</fb>
    <v>10</v>
  </rv>
  <rv s="6">
    <fb>60.41</fb>
    <v>10</v>
  </rv>
  <rv s="6">
    <fb>201.21</fb>
    <v>10</v>
  </rv>
  <rv s="6">
    <fb>145.38999999999999</fb>
    <v>10</v>
  </rv>
  <rv s="6">
    <fb>38.26</fb>
    <v>10</v>
  </rv>
  <rv s="6">
    <fb>100.95</fb>
    <v>10</v>
  </rv>
  <rv s="6">
    <fb>252.69</fb>
    <v>10</v>
  </rv>
  <rv s="6">
    <fb>172.85</fb>
    <v>10</v>
  </rv>
  <rv s="6">
    <fb>232.14</fb>
    <v>10</v>
  </rv>
  <rv s="6">
    <fb>442.83</fb>
    <v>10</v>
  </rv>
  <rv s="6">
    <fb>123.48</fb>
    <v>10</v>
  </rv>
  <rv s="6">
    <fb>325.92</fb>
    <v>10</v>
  </rv>
  <rv s="6">
    <fb>45072</fb>
    <v>11</v>
  </rv>
  <rv s="6">
    <fb>332.88</fb>
    <v>10</v>
  </rv>
  <rv s="6">
    <fb>216.83</fb>
    <v>10</v>
  </rv>
  <rv s="6">
    <fb>60.26</fb>
    <v>10</v>
  </rv>
  <rv s="6">
    <fb>200.44</fb>
    <v>10</v>
  </rv>
  <rv s="6">
    <fb>145.4</fb>
    <v>10</v>
  </rv>
  <rv s="6">
    <fb>38.340000000000003</fb>
    <v>10</v>
  </rv>
  <rv s="6">
    <fb>103.21</fb>
    <v>10</v>
  </rv>
  <rv s="6">
    <fb>15.55</fb>
    <v>10</v>
  </rv>
  <rv s="6">
    <fb>262.04000000000002</fb>
    <v>10</v>
  </rv>
  <rv s="6">
    <fb>174</fb>
    <v>10</v>
  </rv>
  <rv s="6">
    <fb>232.88</fb>
    <v>10</v>
  </rv>
  <rv s="6">
    <fb>448.45</fb>
    <v>10</v>
  </rv>
  <rv s="6">
    <fb>124.61</fb>
    <v>10</v>
  </rv>
  <rv s="6">
    <fb>332.89</fb>
    <v>10</v>
  </rv>
  <rv s="6">
    <fb>45076</fb>
    <v>11</v>
  </rv>
  <rv s="6">
    <fb>330.25</fb>
    <v>10</v>
  </rv>
  <rv s="6">
    <fb>215.87</fb>
    <v>10</v>
  </rv>
  <rv s="6">
    <fb>59.78</fb>
    <v>10</v>
  </rv>
  <rv s="6">
    <fb>199.55</fb>
    <v>10</v>
  </rv>
  <rv s="6">
    <fb>143.18</fb>
    <v>10</v>
  </rv>
  <rv s="6">
    <fb>37.85</fb>
    <v>10</v>
  </rv>
  <rv s="6">
    <fb>101.98</fb>
    <v>10</v>
  </rv>
  <rv s="6">
    <fb>30.97</fb>
    <v>10</v>
  </rv>
  <rv s="6">
    <fb>15.13</fb>
    <v>10</v>
  </rv>
  <rv s="6">
    <fb>262.52</fb>
    <v>10</v>
  </rv>
  <rv s="6">
    <fb>181.17</fb>
    <v>10</v>
  </rv>
  <rv s="6">
    <fb>237.06</fb>
    <v>10</v>
  </rv>
  <rv s="6">
    <fb>447.97</fb>
    <v>10</v>
  </rv>
  <rv s="6">
    <fb>123.67</fb>
    <v>10</v>
  </rv>
  <rv s="6">
    <fb>331.21</fb>
    <v>10</v>
  </rv>
  <rv s="6">
    <fb>45077</fb>
    <v>11</v>
  </rv>
  <rv s="6">
    <fb>320.44</fb>
    <v>10</v>
  </rv>
  <rv s="6">
    <fb>212.44</fb>
    <v>10</v>
  </rv>
  <rv s="6">
    <fb>59.66</fb>
    <v>10</v>
  </rv>
  <rv s="6">
    <fb>199.97</fb>
    <v>10</v>
  </rv>
  <rv s="6">
    <fb>142.5</fb>
    <v>10</v>
  </rv>
  <rv s="6">
    <fb>38.22</fb>
    <v>10</v>
  </rv>
  <rv s="6">
    <fb>98.59</fb>
    <v>10</v>
  </rv>
  <rv s="6">
    <fb>30.67</fb>
    <v>10</v>
  </rv>
  <rv s="6">
    <fb>15.77</fb>
    <v>10</v>
  </rv>
  <rv s="6">
    <fb>264.72000000000003</fb>
    <v>10</v>
  </rv>
  <rv s="6">
    <fb>177.58</fb>
    <v>10</v>
  </rv>
  <rv s="6">
    <fb>242.97</fb>
    <v>10</v>
  </rv>
  <rv s="6">
    <fb>444.01</fb>
    <v>10</v>
  </rv>
  <rv s="6">
    <fb>122.87</fb>
    <v>10</v>
  </rv>
  <rv s="6">
    <fb>328.39</fb>
    <v>10</v>
  </rv>
  <rv s="6">
    <fb>45078</fb>
    <v>11</v>
  </rv>
  <rv s="6">
    <fb>325.99</fb>
    <v>10</v>
  </rv>
  <rv s="6">
    <fb>216.5</fb>
    <v>10</v>
  </rv>
  <rv s="6">
    <fb>60</fb>
    <v>10</v>
  </rv>
  <rv s="6">
    <fb>202.42</fb>
    <v>10</v>
  </rv>
  <rv s="6">
    <fb>143.96</fb>
    <v>10</v>
  </rv>
  <rv s="6">
    <fb>38.19</fb>
    <v>10</v>
  </rv>
  <rv s="6">
    <fb>16.420000000000002</fb>
    <v>10</v>
  </rv>
  <rv s="6">
    <fb>272.61</fb>
    <v>10</v>
  </rv>
  <rv s="6">
    <fb>176.05</fb>
    <v>10</v>
  </rv>
  <rv s="6">
    <fb>242.7</fb>
    <v>10</v>
  </rv>
  <rv s="6">
    <fb>449.67</fb>
    <v>10</v>
  </rv>
  <rv s="6">
    <fb>123.72</fb>
    <v>10</v>
  </rv>
  <rv s="6">
    <fb>332.58</fb>
    <v>10</v>
  </rv>
  <rv s="6">
    <fb>45079</fb>
    <v>11</v>
  </rv>
  <rv s="6">
    <fb>340.73</fb>
    <v>10</v>
  </rv>
  <rv s="6">
    <fb>225.93</fb>
    <v>10</v>
  </rv>
  <rv s="6">
    <fb>61.16</fb>
    <v>10</v>
  </rv>
  <rv s="6">
    <fb>205.47</fb>
    <v>10</v>
  </rv>
  <rv s="6">
    <fb>146.52000000000001</fb>
    <v>10</v>
  </rv>
  <rv s="6">
    <fb>38.51</fb>
    <v>10</v>
  </rv>
  <rv s="6">
    <fb>98.94</fb>
    <v>10</v>
  </rv>
  <rv s="6">
    <fb>31.92</fb>
    <v>10</v>
  </rv>
  <rv s="6">
    <fb>17.14</fb>
    <v>10</v>
  </rv>
  <rv s="6">
    <fb>180.08</fb>
    <v>10</v>
  </rv>
  <rv s="6">
    <fb>245.42</fb>
    <v>10</v>
  </rv>
  <rv s="6">
    <fb>124.67</fb>
    <v>10</v>
  </rv>
  <rv s="6">
    <fb>335.4</fb>
    <v>10</v>
  </rv>
  <rv s="6">
    <fb>45082</fb>
    <v>11</v>
  </rv>
  <rv s="6">
    <fb>337.38</fb>
    <v>10</v>
  </rv>
  <rv s="6">
    <fb>224.53</fb>
    <v>10</v>
  </rv>
  <rv s="6">
    <fb>60.75</fb>
    <v>10</v>
  </rv>
  <rv s="6">
    <fb>206.05</fb>
    <v>10</v>
  </rv>
  <rv s="6">
    <fb>145.94</fb>
    <v>10</v>
  </rv>
  <rv s="6">
    <fb>38.06</fb>
    <v>10</v>
  </rv>
  <rv s="6">
    <fb>98.05</fb>
    <v>10</v>
  </rv>
  <rv s="6">
    <fb>32.130000000000003</fb>
    <v>10</v>
  </rv>
  <rv s="6">
    <fb>16.53</fb>
    <v>10</v>
  </rv>
  <rv s="6">
    <fb>271.39</fb>
    <v>10</v>
  </rv>
  <rv s="6">
    <fb>179.23</fb>
    <v>10</v>
  </rv>
  <rv s="6">
    <fb>244.17</fb>
    <v>10</v>
  </rv>
  <rv s="6">
    <fb>454.69</fb>
    <v>10</v>
  </rv>
  <rv s="6">
    <fb>126.01</fb>
    <v>10</v>
  </rv>
  <rv s="6">
    <fb>335.94</fb>
    <v>10</v>
  </rv>
  <rv s="6">
    <fb>45083</fb>
    <v>11</v>
  </rv>
  <rv s="6">
    <fb>346.58</fb>
    <v>10</v>
  </rv>
  <rv s="6">
    <fb>226.45</fb>
    <v>10</v>
  </rv>
  <rv s="6">
    <fb>60.31</fb>
    <v>10</v>
  </rv>
  <rv s="6">
    <fb>207.3</fb>
    <v>10</v>
  </rv>
  <rv s="6">
    <fb>144.49</fb>
    <v>10</v>
  </rv>
  <rv s="6">
    <fb>99.82</fb>
    <v>10</v>
  </rv>
  <rv s="6">
    <fb>31.94</fb>
    <v>10</v>
  </rv>
  <rv s="6">
    <fb>271.12</fb>
    <v>10</v>
  </rv>
  <rv s="6">
    <fb>181.62</fb>
    <v>10</v>
  </rv>
  <rv s="6">
    <fb>242.5</fb>
    <v>10</v>
  </rv>
  <rv s="6">
    <fb>458.63</fb>
    <v>10</v>
  </rv>
  <rv s="6">
    <fb>127.31</fb>
    <v>10</v>
  </rv>
  <rv s="6">
    <fb>333.68</fb>
    <v>10</v>
  </rv>
  <rv s="6">
    <fb>45084</fb>
    <v>11</v>
  </rv>
  <rv s="6">
    <fb>358.94</fb>
    <v>10</v>
  </rv>
  <rv s="6">
    <fb>231.6</fb>
    <v>10</v>
  </rv>
  <rv s="6">
    <fb>60.22</fb>
    <v>10</v>
  </rv>
  <rv s="6">
    <fb>144.80000000000001</fb>
    <v>10</v>
  </rv>
  <rv s="6">
    <fb>36.950000000000003</fb>
    <v>10</v>
  </rv>
  <rv s="6">
    <fb>100.29</fb>
    <v>10</v>
  </rv>
  <rv s="6">
    <fb>32.58</fb>
    <v>10</v>
  </rv>
  <rv s="6">
    <fb>17.364999999999998</fb>
    <v>10</v>
  </rv>
  <rv s="6">
    <fb>263.60000000000002</fb>
    <v>10</v>
  </rv>
  <rv s="6">
    <fb>183.93</fb>
    <v>10</v>
  </rv>
  <rv s="6">
    <fb>243.32</fb>
    <v>10</v>
  </rv>
  <rv s="6">
    <fb>461.75</fb>
    <v>10</v>
  </rv>
  <rv s="6">
    <fb>122.5</fb>
    <v>10</v>
  </rv>
  <rv s="6">
    <fb>323.38</fb>
    <v>10</v>
  </rv>
  <rv s="6">
    <fb>45085</fb>
    <v>11</v>
  </rv>
  <rv s="6">
    <fb>355.83</fb>
    <v>10</v>
  </rv>
  <rv s="6">
    <fb>233.58</fb>
    <v>10</v>
  </rv>
  <rv s="6">
    <fb>60.37</fb>
    <v>10</v>
  </rv>
  <rv s="6">
    <fb>206.21</fb>
    <v>10</v>
  </rv>
  <rv s="6">
    <fb>146.44</fb>
    <v>10</v>
  </rv>
  <rv s="6">
    <fb>37.19</fb>
    <v>10</v>
  </rv>
  <rv s="6">
    <fb>99.94</fb>
    <v>10</v>
  </rv>
  <rv s="6">
    <fb>32.56</fb>
    <v>10</v>
  </rv>
  <rv s="6">
    <fb>17.54</fb>
    <v>10</v>
  </rv>
  <rv s="6">
    <fb>264.58</fb>
    <v>10</v>
  </rv>
  <rv s="6">
    <fb>183.37</fb>
    <v>10</v>
  </rv>
  <rv s="6">
    <fb>244.41</fb>
    <v>10</v>
  </rv>
  <rv s="6">
    <fb>464.17</fb>
    <v>10</v>
  </rv>
  <rv s="6">
    <fb>122.14</fb>
    <v>10</v>
  </rv>
  <rv s="6">
    <fb>325.26</fb>
    <v>10</v>
  </rv>
  <rv s="6">
    <fb>45086</fb>
    <v>11</v>
  </rv>
  <rv s="6">
    <fb>356.13</fb>
    <v>10</v>
  </rv>
  <rv s="6">
    <fb>232.66</fb>
    <v>10</v>
  </rv>
  <rv s="6">
    <fb>60.47</fb>
    <v>10</v>
  </rv>
  <rv s="6">
    <fb>206.98</fb>
    <v>10</v>
  </rv>
  <rv s="6">
    <fb>146.56</fb>
    <v>10</v>
  </rv>
  <rv s="6">
    <fb>36.880000000000003</fb>
    <v>10</v>
  </rv>
  <rv s="6">
    <fb>102.8</fb>
    <v>10</v>
  </rv>
  <rv s="6">
    <fb>17.25</fb>
    <v>10</v>
  </rv>
  <rv s="6">
    <fb>264.95</fb>
    <v>10</v>
  </rv>
  <rv s="6">
    <fb>182.83</fb>
    <v>10</v>
  </rv>
  <rv s="6">
    <fb>241.61</fb>
    <v>10</v>
  </rv>
  <rv s="6">
    <fb>462.69</fb>
    <v>10</v>
  </rv>
  <rv s="6">
    <fb>122.23</fb>
    <v>10</v>
  </rv>
  <rv s="6">
    <fb>326.79000000000002</fb>
    <v>10</v>
  </rv>
  <rv s="6">
    <fb>45089</fb>
    <v>11</v>
  </rv>
  <rv s="6">
    <fb>358.59</fb>
    <v>10</v>
  </rv>
  <rv s="6">
    <fb>60.21</fb>
    <v>10</v>
  </rv>
  <rv s="6">
    <fb>207.89</fb>
    <v>10</v>
  </rv>
  <rv s="6">
    <fb>145.41</fb>
    <v>10</v>
  </rv>
  <rv s="6">
    <fb>36.58</fb>
    <v>10</v>
  </rv>
  <rv s="6">
    <fb>107.06</fb>
    <v>10</v>
  </rv>
  <rv s="6">
    <fb>17.34</fb>
    <v>10</v>
  </rv>
  <rv s="6">
    <fb>271.05</fb>
    <v>10</v>
  </rv>
  <rv s="6">
    <fb>185.38</fb>
    <v>10</v>
  </rv>
  <rv s="6">
    <fb>244.44</fb>
    <v>10</v>
  </rv>
  <rv s="6">
    <fb>459.87</fb>
    <v>10</v>
  </rv>
  <rv s="6">
    <fb>123.64</fb>
    <v>10</v>
  </rv>
  <rv s="6">
    <fb>331.85</fb>
    <v>10</v>
  </rv>
  <rv s="6">
    <fb>45090</fb>
    <v>11</v>
  </rv>
  <rv s="6">
    <fb>368.23</fb>
    <v>10</v>
  </rv>
  <rv s="6">
    <fb>237.57</fb>
    <v>10</v>
  </rv>
  <rv s="6">
    <fb>60.45</fb>
    <v>10</v>
  </rv>
  <rv s="6">
    <fb>207.59</fb>
    <v>10</v>
  </rv>
  <rv s="6">
    <fb>145.06</fb>
    <v>10</v>
  </rv>
  <rv s="6">
    <fb>36.799999999999997</fb>
    <v>10</v>
  </rv>
  <rv s="6">
    <fb>106.8</fb>
    <v>10</v>
  </rv>
  <rv s="6">
    <fb>32.659999999999997</fb>
    <v>10</v>
  </rv>
  <rv s="6">
    <fb>17.62</fb>
    <v>10</v>
  </rv>
  <rv s="6">
    <fb>185</fb>
    <v>10</v>
  </rv>
  <rv s="6">
    <fb>247.41</fb>
    <v>10</v>
  </rv>
  <rv s="6">
    <fb>452.37</fb>
    <v>10</v>
  </rv>
  <rv s="6">
    <fb>123.83</fb>
    <v>10</v>
  </rv>
  <rv s="6">
    <fb>334.29</fb>
    <v>10</v>
  </rv>
  <rv s="6">
    <fb>45091</fb>
    <v>11</v>
  </rv>
  <rv s="6">
    <fb>367.55</fb>
    <v>10</v>
  </rv>
  <rv s="6">
    <fb>236.1</fb>
    <v>10</v>
  </rv>
  <rv s="6">
    <fb>60.86</fb>
    <v>10</v>
  </rv>
  <rv s="6">
    <fb>146.41999999999999</fb>
    <v>10</v>
  </rv>
  <rv s="6">
    <fb>36.67</fb>
    <v>10</v>
  </rv>
  <rv s="6">
    <fb>107.41</fb>
    <v>10</v>
  </rv>
  <rv s="6">
    <fb>33.090000000000003</fb>
    <v>10</v>
  </rv>
  <rv s="6">
    <fb>17.670000000000002</fb>
    <v>10</v>
  </rv>
  <rv s="6">
    <fb>273.35000000000002</fb>
    <v>10</v>
  </rv>
  <rv s="6">
    <fb>185.09</fb>
    <v>10</v>
  </rv>
  <rv s="6">
    <fb>247.01</fb>
    <v>10</v>
  </rv>
  <rv s="6">
    <fb>452.55</fb>
    <v>10</v>
  </rv>
  <rv s="6">
    <fb>337.34</fb>
    <v>10</v>
  </rv>
  <rv s="6">
    <fb>45092</fb>
    <v>11</v>
  </rv>
  <rv s="6">
    <fb>374.04</fb>
    <v>10</v>
  </rv>
  <rv s="6">
    <fb>240.48</fb>
    <v>10</v>
  </rv>
  <rv s="6">
    <fb>61.23</fb>
    <v>10</v>
  </rv>
  <rv s="6">
    <fb>213.53</fb>
    <v>10</v>
  </rv>
  <rv s="6">
    <fb>148.44999999999999</fb>
    <v>10</v>
  </rv>
  <rv s="6">
    <fb>36.869999999999997</fb>
    <v>10</v>
  </rv>
  <rv s="6">
    <fb>105.18</fb>
    <v>10</v>
  </rv>
  <rv s="6">
    <fb>33.56</fb>
    <v>10</v>
  </rv>
  <rv s="6">
    <fb>17.68</fb>
    <v>10</v>
  </rv>
  <rv s="6">
    <fb>281.83</fb>
    <v>10</v>
  </rv>
  <rv s="6">
    <fb>185.8</fb>
    <v>10</v>
  </rv>
  <rv s="6">
    <fb>249.19</fb>
    <v>10</v>
  </rv>
  <rv s="6">
    <fb>455.95</fb>
    <v>10</v>
  </rv>
  <rv s="6">
    <fb>125.09</fb>
    <v>10</v>
  </rv>
  <rv s="6">
    <fb>348.1</fb>
    <v>10</v>
  </rv>
  <rv s="6">
    <fb>45093</fb>
    <v>11</v>
  </rv>
  <rv s="6">
    <fb>369.1</fb>
    <v>10</v>
  </rv>
  <rv s="6">
    <fb>61.67</fb>
    <v>10</v>
  </rv>
  <rv s="6">
    <fb>213.61</fb>
    <v>10</v>
  </rv>
  <rv s="6">
    <fb>149.54</fb>
    <v>10</v>
  </rv>
  <rv s="6">
    <fb>36.99</fb>
    <v>10</v>
  </rv>
  <rv s="6">
    <fb>104.57</fb>
    <v>10</v>
  </rv>
  <rv s="6">
    <fb>33.21</fb>
    <v>10</v>
  </rv>
  <rv s="6">
    <fb>281</fb>
    <v>10</v>
  </rv>
  <rv s="6">
    <fb>185.95</fb>
    <v>10</v>
  </rv>
  <rv s="6">
    <fb>246.03</fb>
    <v>10</v>
  </rv>
  <rv s="6">
    <fb>459.17</fb>
    <v>10</v>
  </rv>
  <rv s="6">
    <fb>123.53</fb>
    <v>10</v>
  </rv>
  <rv s="6">
    <fb>342.33</fb>
    <v>10</v>
  </rv>
  <rv s="6">
    <fb>45097</fb>
    <v>11</v>
  </rv>
  <rv s="6">
    <fb>371.85</fb>
    <v>10</v>
  </rv>
  <rv s="6">
    <fb>239.56</fb>
    <v>10</v>
  </rv>
  <rv s="6">
    <fb>61.26</fb>
    <v>10</v>
  </rv>
  <rv s="6">
    <fb>148.16</fb>
    <v>10</v>
  </rv>
  <rv s="6">
    <fb>36.619999999999997</fb>
    <v>10</v>
  </rv>
  <rv s="6">
    <fb>103.98</fb>
    <v>10</v>
  </rv>
  <rv s="6">
    <fb>32.909999999999997</fb>
    <v>10</v>
  </rv>
  <rv s="6">
    <fb>18.079999999999998</fb>
    <v>10</v>
  </rv>
  <rv s="6">
    <fb>284.33</fb>
    <v>10</v>
  </rv>
  <rv s="6">
    <fb>185.75</fb>
    <v>10</v>
  </rv>
  <rv s="6">
    <fb>243.74</fb>
    <v>10</v>
  </rv>
  <rv s="6">
    <fb>458.38</fb>
    <v>10</v>
  </rv>
  <rv s="6">
    <fb>123.1</fb>
    <v>10</v>
  </rv>
  <rv s="6">
    <fb>338.05</fb>
    <v>10</v>
  </rv>
  <rv s="6">
    <fb>45098</fb>
    <v>11</v>
  </rv>
  <rv s="6">
    <fb>374.25</fb>
    <v>10</v>
  </rv>
  <rv s="6">
    <fb>241.7</fb>
    <v>10</v>
  </rv>
  <rv s="6">
    <fb>212.07</fb>
    <v>10</v>
  </rv>
  <rv s="6">
    <fb>149.44</fb>
    <v>10</v>
  </rv>
  <rv s="6">
    <fb>36.07</fb>
    <v>10</v>
  </rv>
  <rv s="6">
    <fb>101.64</fb>
    <v>10</v>
  </rv>
  <rv s="6">
    <fb>33.130000000000003</fb>
    <v>10</v>
  </rv>
  <rv s="6">
    <fb>18.399999999999999</fb>
    <v>10</v>
  </rv>
  <rv s="6">
    <fb>281.64</fb>
    <v>10</v>
  </rv>
  <rv s="6">
    <fb>190.94</fb>
    <v>10</v>
  </rv>
  <rv s="6">
    <fb>246.28</fb>
    <v>10</v>
  </rv>
  <rv s="6">
    <fb>466.04</fb>
    <v>10</v>
  </rv>
  <rv s="6">
    <fb>120.55</fb>
    <v>10</v>
  </rv>
  <rv s="6">
    <fb>333.56</fb>
    <v>10</v>
  </rv>
  <rv s="6">
    <fb>45099</fb>
    <v>11</v>
  </rv>
  <rv s="6">
    <fb>371.01</fb>
    <v>10</v>
  </rv>
  <rv s="6">
    <fb>240.83</fb>
    <v>10</v>
  </rv>
  <rv s="6">
    <fb>149.94999999999999</fb>
    <v>10</v>
  </rv>
  <rv s="6">
    <fb>103.13</fb>
    <v>10</v>
  </rv>
  <rv s="6">
    <fb>33.11</fb>
    <v>10</v>
  </rv>
  <rv s="6">
    <fb>18.78</fb>
    <v>10</v>
  </rv>
  <rv s="6">
    <fb>284.88</fb>
    <v>10</v>
  </rv>
  <rv s="6">
    <fb>189.31</fb>
    <v>10</v>
  </rv>
  <rv s="6">
    <fb>245.27</fb>
    <v>10</v>
  </rv>
  <rv s="6">
    <fb>463.43</fb>
    <v>10</v>
  </rv>
  <rv s="6">
    <fb>123.15</fb>
    <v>10</v>
  </rv>
  <rv s="6">
    <fb>339.71</fb>
    <v>10</v>
  </rv>
  <rv s="6">
    <fb>45100</fb>
    <v>11</v>
  </rv>
  <rv s="6">
    <fb>370.12</fb>
    <v>10</v>
  </rv>
  <rv s="6">
    <fb>241.66</fb>
    <v>10</v>
  </rv>
  <rv s="6">
    <fb>61.2</fb>
    <v>10</v>
  </rv>
  <rv s="6">
    <fb>148.46</fb>
    <v>10</v>
  </rv>
  <rv s="6">
    <fb>35.909999999999997</fb>
    <v>10</v>
  </rv>
  <rv s="6">
    <fb>101.91</fb>
    <v>10</v>
  </rv>
  <rv s="6">
    <fb>32.74</fb>
    <v>10</v>
  </rv>
  <rv s="6">
    <fb>17.63</fb>
    <v>10</v>
  </rv>
  <rv s="6">
    <fb>288.73</fb>
    <v>10</v>
  </rv>
  <rv s="6">
    <fb>186.61</fb>
    <v>10</v>
  </rv>
  <rv s="6">
    <fb>242.38</fb>
    <v>10</v>
  </rv>
  <rv s="6">
    <fb>459.36</fb>
    <v>10</v>
  </rv>
  <rv s="6">
    <fb>122.34</fb>
    <v>10</v>
  </rv>
  <rv s="6">
    <fb>335.02</fb>
    <v>10</v>
  </rv>
  <rv s="6">
    <fb>45103</fb>
    <v>11</v>
  </rv>
  <rv s="6">
    <fb>375.47</fb>
    <v>10</v>
  </rv>
  <rv s="6">
    <fb>241.07</fb>
    <v>10</v>
  </rv>
  <rv s="6">
    <fb>61.22</fb>
    <v>10</v>
  </rv>
  <rv s="6">
    <fb>148.61000000000001</fb>
    <v>10</v>
  </rv>
  <rv s="6">
    <fb>35.549999999999997</fb>
    <v>10</v>
  </rv>
  <rv s="6">
    <fb>100.11</fb>
    <v>10</v>
  </rv>
  <rv s="6">
    <fb>17.88</fb>
    <v>10</v>
  </rv>
  <rv s="6">
    <fb>278.47000000000003</fb>
    <v>10</v>
  </rv>
  <rv s="6">
    <fb>190.51</fb>
    <v>10</v>
  </rv>
  <rv s="6">
    <fb>242.42</fb>
    <v>10</v>
  </rv>
  <rv s="6">
    <fb>452.8</fb>
    <v>10</v>
  </rv>
  <rv s="6">
    <fb>118.34</fb>
    <v>10</v>
  </rv>
  <rv s="6">
    <fb>328.6</fb>
    <v>10</v>
  </rv>
  <rv s="6">
    <fb>45104</fb>
    <v>11</v>
  </rv>
  <rv s="6">
    <fb>380.19</fb>
    <v>10</v>
  </rv>
  <rv s="6">
    <fb>247.8</fb>
    <v>10</v>
  </rv>
  <rv s="6">
    <fb>61.09</fb>
    <v>10</v>
  </rv>
  <rv s="6">
    <fb>216.82</fb>
    <v>10</v>
  </rv>
  <rv s="6">
    <fb>150.02000000000001</fb>
    <v>10</v>
  </rv>
  <rv s="6">
    <fb>35.58</fb>
    <v>10</v>
  </rv>
  <rv s="6">
    <fb>102.08</fb>
    <v>10</v>
  </rv>
  <rv s="6">
    <fb>33.47</fb>
    <v>10</v>
  </rv>
  <rv s="6">
    <fb>19.04</fb>
    <v>10</v>
  </rv>
  <rv s="6">
    <fb>287.05</fb>
    <v>10</v>
  </rv>
  <rv s="6">
    <fb>194.66</fb>
    <v>10</v>
  </rv>
  <rv s="6">
    <fb>246.99</fb>
    <v>10</v>
  </rv>
  <rv s="6">
    <fb>118.33</fb>
    <v>10</v>
  </rv>
  <rv s="6">
    <fb>334.57</fb>
    <v>10</v>
  </rv>
  <rv s="6">
    <fb>45105</fb>
    <v>11</v>
  </rv>
  <rv s="6">
    <fb>382.45</fb>
    <v>10</v>
  </rv>
  <rv s="6">
    <fb>248.33</fb>
    <v>10</v>
  </rv>
  <rv s="6">
    <fb>60.52</fb>
    <v>10</v>
  </rv>
  <rv s="6">
    <fb>216.89</fb>
    <v>10</v>
  </rv>
  <rv s="6">
    <fb>149.99</fb>
    <v>10</v>
  </rv>
  <rv s="6">
    <fb>35.020000000000003</fb>
    <v>10</v>
  </rv>
  <rv s="6">
    <fb>100.92</fb>
    <v>10</v>
  </rv>
  <rv s="6">
    <fb>33.590000000000003</fb>
    <v>10</v>
  </rv>
  <rv s="6">
    <fb>18.670000000000002</fb>
    <v>10</v>
  </rv>
  <rv s="6">
    <fb>285.29000000000002</fb>
    <v>10</v>
  </rv>
  <rv s="6">
    <fb>193.72</fb>
    <v>10</v>
  </rv>
  <rv s="6">
    <fb>246.78</fb>
    <v>10</v>
  </rv>
  <rv s="6">
    <fb>449.66</fb>
    <v>10</v>
  </rv>
  <rv s="6">
    <fb>120.18</fb>
    <v>10</v>
  </rv>
  <rv s="6">
    <fb>335.85</fb>
    <v>10</v>
  </rv>
  <rv s="6">
    <fb>45106</fb>
    <v>11</v>
  </rv>
  <rv s="6">
    <fb>386.75</fb>
    <v>10</v>
  </rv>
  <rv s="6">
    <fb>255.65</fb>
    <v>10</v>
  </rv>
  <rv s="6">
    <fb>220.99</fb>
    <v>10</v>
  </rv>
  <rv s="6">
    <fb>149.38</fb>
    <v>10</v>
  </rv>
  <rv s="6">
    <fb>100.64</fb>
    <v>10</v>
  </rv>
  <rv s="6">
    <fb>33.869999999999997</fb>
    <v>10</v>
  </rv>
  <rv s="6">
    <fb>18.93</fb>
    <v>10</v>
  </rv>
  <rv s="6">
    <fb>281.52999999999997</fb>
    <v>10</v>
  </rv>
  <rv s="6">
    <fb>194.85</fb>
    <v>10</v>
  </rv>
  <rv s="6">
    <fb>457.44</fb>
    <v>10</v>
  </rv>
  <rv s="6">
    <fb>119.1</fb>
    <v>10</v>
  </rv>
  <rv s="6">
    <fb>335.05</fb>
    <v>10</v>
  </rv>
  <rv s="6">
    <fb>45107</fb>
    <v>11</v>
  </rv>
  <rv s="6">
    <fb>390.04</fb>
    <v>10</v>
  </rv>
  <rv s="6">
    <fb>256.52999999999997</fb>
    <v>10</v>
  </rv>
  <rv s="6">
    <fb>224.98</fb>
    <v>10</v>
  </rv>
  <rv s="6">
    <fb>35.5</fb>
    <v>10</v>
  </rv>
  <rv s="6">
    <fb>34.1</fb>
    <v>10</v>
  </rv>
  <rv s="6">
    <fb>19</fb>
    <v>10</v>
  </rv>
  <rv s="6">
    <fb>286.98</fb>
    <v>10</v>
  </rv>
  <rv s="6">
    <fb>196.45</fb>
    <v>10</v>
  </rv>
  <rv s="6">
    <fb>246.13</fb>
    <v>10</v>
  </rv>
  <rv s="6">
    <fb>460.38</fb>
    <v>10</v>
  </rv>
  <rv s="6">
    <fb>119.7</fb>
    <v>10</v>
  </rv>
  <rv s="6">
    <fb>340.54</fb>
    <v>10</v>
  </rv>
  <rv s="6">
    <fb>45110</fb>
    <v>11</v>
  </rv>
  <rv s="6">
    <fb>391.01</fb>
    <v>10</v>
  </rv>
  <rv s="6">
    <fb>257.89999999999998</fb>
    <v>10</v>
  </rv>
  <rv s="6">
    <fb>60.58</fb>
    <v>10</v>
  </rv>
  <rv s="6">
    <fb>219.14</fb>
    <v>10</v>
  </rv>
  <rv s="6">
    <fb>152.5</fb>
    <v>10</v>
  </rv>
  <rv s="6">
    <fb>35.81</fb>
    <v>10</v>
  </rv>
  <rv s="6">
    <fb>103.15</fb>
    <v>10</v>
  </rv>
  <rv s="6">
    <fb>34.340000000000003</fb>
    <v>10</v>
  </rv>
  <rv s="6">
    <fb>19.11</fb>
    <v>10</v>
  </rv>
  <rv s="6">
    <fb>286.02</fb>
    <v>10</v>
  </rv>
  <rv s="6">
    <fb>195.71</fb>
    <v>10</v>
  </rv>
  <rv s="6">
    <fb>247.47</fb>
    <v>10</v>
  </rv>
  <rv s="6">
    <fb>462.58</fb>
    <v>10</v>
  </rv>
  <rv s="6">
    <fb>119.9</fb>
    <v>10</v>
  </rv>
  <rv s="6">
    <fb>337.99</fb>
    <v>10</v>
  </rv>
  <rv s="6">
    <fb>45112</fb>
    <v>11</v>
  </rv>
  <rv s="6">
    <fb>382.85</fb>
    <v>10</v>
  </rv>
  <rv s="6">
    <fb>256.06</fb>
    <v>10</v>
  </rv>
  <rv s="6">
    <fb>61.03</fb>
    <v>10</v>
  </rv>
  <rv s="6">
    <fb>218.92</fb>
    <v>10</v>
  </rv>
  <rv s="6">
    <fb>152.24</fb>
    <v>10</v>
  </rv>
  <rv s="6">
    <fb>35.85</fb>
    <v>10</v>
  </rv>
  <rv s="6">
    <fb>100.99</fb>
    <v>10</v>
  </rv>
  <rv s="6">
    <fb>18.559999999999999</fb>
    <v>10</v>
  </rv>
  <rv s="6">
    <fb>294.37</fb>
    <v>10</v>
  </rv>
  <rv s="6">
    <fb>195.15</fb>
    <v>10</v>
  </rv>
  <rv s="6">
    <fb>251</fb>
    <v>10</v>
  </rv>
  <rv s="6">
    <fb>462.76</fb>
    <v>10</v>
  </rv>
  <rv s="6">
    <fb>121.75</fb>
    <v>10</v>
  </rv>
  <rv s="6">
    <fb>338.15</fb>
    <v>10</v>
  </rv>
  <rv s="6">
    <fb>45113</fb>
    <v>11</v>
  </rv>
  <rv s="6">
    <fb>378.96</fb>
    <v>10</v>
  </rv>
  <rv s="6">
    <fb>252.15</fb>
    <v>10</v>
  </rv>
  <rv s="6">
    <fb>60.56</fb>
    <v>10</v>
  </rv>
  <rv s="6">
    <fb>218.45</fb>
    <v>10</v>
  </rv>
  <rv s="6">
    <fb>151.99</fb>
    <v>10</v>
  </rv>
  <rv s="6">
    <fb>35.659999999999997</fb>
    <v>10</v>
  </rv>
  <rv s="6">
    <fb>99.41</fb>
    <v>10</v>
  </rv>
  <rv s="6">
    <fb>33.46</fb>
    <v>10</v>
  </rv>
  <rv s="6">
    <fb>18.13</fb>
    <v>10</v>
  </rv>
  <rv s="6">
    <fb>291.99</fb>
    <v>10</v>
  </rv>
  <rv s="6">
    <fb>192.53</fb>
    <v>10</v>
  </rv>
  <rv s="6">
    <fb>252.59</fb>
    <v>10</v>
  </rv>
  <rv s="6">
    <fb>461.64</fb>
    <v>10</v>
  </rv>
  <rv s="6">
    <fb>120.11</fb>
    <v>10</v>
  </rv>
  <rv s="6">
    <fb>341.27</fb>
    <v>10</v>
  </rv>
  <rv s="6">
    <fb>45114</fb>
    <v>11</v>
  </rv>
  <rv s="6">
    <fb>384.17</fb>
    <v>10</v>
  </rv>
  <rv s="6">
    <fb>257.22000000000003</fb>
    <v>10</v>
  </rv>
  <rv s="6">
    <fb>59.76</fb>
    <v>10</v>
  </rv>
  <rv s="6">
    <fb>217.85</fb>
    <v>10</v>
  </rv>
  <rv s="6">
    <fb>148.80000000000001</fb>
    <v>10</v>
  </rv>
  <rv s="6">
    <fb>35.46</fb>
    <v>10</v>
  </rv>
  <rv s="6">
    <fb>100.23</fb>
    <v>10</v>
  </rv>
  <rv s="6">
    <fb>33.299999999999997</fb>
    <v>10</v>
  </rv>
  <rv s="6">
    <fb>18.63</fb>
    <v>10</v>
  </rv>
  <rv s="6">
    <fb>290.52999999999997</fb>
    <v>10</v>
  </rv>
  <rv s="6">
    <fb>193.6</fb>
    <v>10</v>
  </rv>
  <rv s="6">
    <fb>253.49</fb>
    <v>10</v>
  </rv>
  <rv s="6">
    <fb>458.71</fb>
    <v>10</v>
  </rv>
  <rv s="6">
    <fb>119.48</fb>
    <v>10</v>
  </rv>
  <rv s="6">
    <fb>337.22</fb>
    <v>10</v>
  </rv>
  <rv s="6">
    <fb>45117</fb>
    <v>11</v>
  </rv>
  <rv s="6">
    <fb>392.64</fb>
    <v>10</v>
  </rv>
  <rv s="6">
    <fb>260.41000000000003</fb>
    <v>10</v>
  </rv>
  <rv s="6">
    <fb>59.31</fb>
    <v>10</v>
  </rv>
  <rv s="6">
    <fb>223.05</fb>
    <v>10</v>
  </rv>
  <rv s="6">
    <fb>148.86000000000001</fb>
    <v>10</v>
  </rv>
  <rv s="6">
    <fb>35.4</fb>
    <v>10</v>
  </rv>
  <rv s="6">
    <fb>99.77</fb>
    <v>10</v>
  </rv>
  <rv s="6">
    <fb>33.61</fb>
    <v>10</v>
  </rv>
  <rv s="6">
    <fb>18.440000000000001</fb>
    <v>10</v>
  </rv>
  <rv s="6">
    <fb>294.10000000000002</fb>
    <v>10</v>
  </rv>
  <rv s="6">
    <fb>199.79</fb>
    <v>10</v>
  </rv>
  <rv s="6">
    <fb>251.72</fb>
    <v>10</v>
  </rv>
  <rv s="6">
    <fb>116.45</fb>
    <v>10</v>
  </rv>
  <rv s="6">
    <fb>331.83</fb>
    <v>10</v>
  </rv>
  <rv s="6">
    <fb>45118</fb>
    <v>11</v>
  </rv>
  <rv s="6">
    <fb>398.7</fb>
    <v>10</v>
  </rv>
  <rv s="6">
    <fb>262.27999999999997</fb>
    <v>10</v>
  </rv>
  <rv s="6">
    <fb>59.52</fb>
    <v>10</v>
  </rv>
  <rv s="6">
    <fb>148.08000000000001</fb>
    <v>10</v>
  </rv>
  <rv s="6">
    <fb>35.630000000000003</fb>
    <v>10</v>
  </rv>
  <rv s="6">
    <fb>101.26</fb>
    <v>10</v>
  </rv>
  <rv s="6">
    <fb>33.770000000000003</fb>
    <v>10</v>
  </rv>
  <rv s="6">
    <fb>18.47</fb>
    <v>10</v>
  </rv>
  <rv s="6">
    <fb>298.29000000000002</fb>
    <v>10</v>
  </rv>
  <rv s="6">
    <fb>199.95</fb>
    <v>10</v>
  </rv>
  <rv s="6">
    <fb>252.47</fb>
    <v>10</v>
  </rv>
  <rv s="6">
    <fb>466.29</fb>
    <v>10</v>
  </rv>
  <rv s="6">
    <fb>117.14</fb>
    <v>10</v>
  </rv>
  <rv s="6">
    <fb>332.47</fb>
    <v>10</v>
  </rv>
  <rv s="6">
    <fb>45119</fb>
    <v>11</v>
  </rv>
  <rv s="6">
    <fb>397.09</fb>
    <v>10</v>
  </rv>
  <rv s="6">
    <fb>263.99</fb>
    <v>10</v>
  </rv>
  <rv s="6">
    <fb>226.7</fb>
    <v>10</v>
  </rv>
  <rv s="6">
    <fb>148.85</fb>
    <v>10</v>
  </rv>
  <rv s="6">
    <fb>35.76</fb>
    <v>10</v>
  </rv>
  <rv s="6">
    <fb>103.9</fb>
    <v>10</v>
  </rv>
  <rv s="6">
    <fb>33.53</fb>
    <v>10</v>
  </rv>
  <rv s="6">
    <fb>18.989999999999998</fb>
    <v>10</v>
  </rv>
  <rv s="6">
    <fb>309.33999999999997</fb>
    <v>10</v>
  </rv>
  <rv s="6">
    <fb>198.43</fb>
    <v>10</v>
  </rv>
  <rv s="6">
    <fb>250.9</fb>
    <v>10</v>
  </rv>
  <rv s="6">
    <fb>461.96</fb>
    <v>10</v>
  </rv>
  <rv s="6">
    <fb>118.93</fb>
    <v>10</v>
  </rv>
  <rv s="6">
    <fb>337.2</fb>
    <v>10</v>
  </rv>
  <rv s="6">
    <fb>45120</fb>
    <v>11</v>
  </rv>
  <rv s="6">
    <fb>398.66</fb>
    <v>10</v>
  </rv>
  <rv s="6">
    <fb>268.39999999999998</fb>
    <v>10</v>
  </rv>
  <rv s="6">
    <fb>60.35</fb>
    <v>10</v>
  </rv>
  <rv s="6">
    <fb>228.74</fb>
    <v>10</v>
  </rv>
  <rv s="6">
    <fb>148.94999999999999</fb>
    <v>10</v>
  </rv>
  <rv s="6">
    <fb>35.64</fb>
    <v>10</v>
  </rv>
  <rv s="6">
    <fb>33.72</fb>
    <v>10</v>
  </rv>
  <rv s="6">
    <fb>18.98</fb>
    <v>10</v>
  </rv>
  <rv s="6">
    <fb>313.41000000000003</fb>
    <v>10</v>
  </rv>
  <rv s="6">
    <fb>198.27</fb>
    <v>10</v>
  </rv>
  <rv s="6">
    <fb>466.38</fb>
    <v>10</v>
  </rv>
  <rv s="6">
    <fb>124.54</fb>
    <v>10</v>
  </rv>
  <rv s="6">
    <fb>342.66</fb>
    <v>10</v>
  </rv>
  <rv s="6">
    <fb>45121</fb>
    <v>11</v>
  </rv>
  <rv s="6">
    <fb>396.2</fb>
    <v>10</v>
  </rv>
  <rv s="6">
    <fb>266.97000000000003</fb>
    <v>10</v>
  </rv>
  <rv s="6">
    <fb>229.08</fb>
    <v>10</v>
  </rv>
  <rv s="6">
    <fb>150.05000000000001</fb>
    <v>10</v>
  </rv>
  <rv s="6">
    <fb>105.14</fb>
    <v>10</v>
  </rv>
  <rv s="6">
    <fb>33.630000000000003</fb>
    <v>10</v>
  </rv>
  <rv s="6">
    <fb>18.09</fb>
    <v>10</v>
  </rv>
  <rv s="6">
    <fb>308.87</fb>
    <v>10</v>
  </rv>
  <rv s="6">
    <fb>196.13</fb>
    <v>10</v>
  </rv>
  <rv s="6">
    <fb>255.47</fb>
    <v>10</v>
  </rv>
  <rv s="6">
    <fb>464.31</fb>
    <v>10</v>
  </rv>
  <rv s="6">
    <fb>125.42</fb>
    <v>10</v>
  </rv>
  <rv s="6">
    <fb>345.24</fb>
    <v>10</v>
  </rv>
  <rv s="6">
    <fb>45124</fb>
    <v>11</v>
  </rv>
  <rv s="6">
    <fb>400.95</fb>
    <v>10</v>
  </rv>
  <rv s="6">
    <fb>268.74</fb>
    <v>10</v>
  </rv>
  <rv s="6">
    <fb>228.35</fb>
    <v>10</v>
  </rv>
  <rv s="6">
    <fb>148.99</fb>
    <v>10</v>
  </rv>
  <rv s="6">
    <fb>35.51</fb>
    <v>10</v>
  </rv>
  <rv s="6">
    <fb>104.79</fb>
    <v>10</v>
  </rv>
  <rv s="6">
    <fb>33.22</fb>
    <v>10</v>
  </rv>
  <rv s="6">
    <fb>310.62</fb>
    <v>10</v>
  </rv>
  <rv s="6">
    <fb>199.31</fb>
    <v>10</v>
  </rv>
  <rv s="6">
    <fb>254.56</fb>
    <v>10</v>
  </rv>
  <rv s="6">
    <fb>469.97</fb>
    <v>10</v>
  </rv>
  <rv s="6">
    <fb>124.65</fb>
    <v>10</v>
  </rv>
  <rv s="6">
    <fb>345.73</fb>
    <v>10</v>
  </rv>
  <rv s="6">
    <fb>45125</fb>
    <v>11</v>
  </rv>
  <rv s="6">
    <fb>408.56</fb>
    <v>10</v>
  </rv>
  <rv s="6">
    <fb>269.27</fb>
    <v>10</v>
  </rv>
  <rv s="6">
    <fb>60.57</fb>
    <v>10</v>
  </rv>
  <rv s="6">
    <fb>149.27000000000001</fb>
    <v>10</v>
  </rv>
  <rv s="6">
    <fb>33.75</fb>
    <v>10</v>
  </rv>
  <rv s="6">
    <fb>19.02</fb>
    <v>10</v>
  </rv>
  <rv s="6">
    <fb>312.05</fb>
    <v>10</v>
  </rv>
  <rv s="6">
    <fb>199.61</fb>
    <v>10</v>
  </rv>
  <rv s="6">
    <fb>254.33</fb>
    <v>10</v>
  </rv>
  <rv s="6">
    <fb>455.7</fb>
    <v>10</v>
  </rv>
  <rv s="6">
    <fb>123.76</fb>
    <v>10</v>
  </rv>
  <rv s="6">
    <fb>359.49</fb>
    <v>10</v>
  </rv>
  <rv s="6">
    <fb>45126</fb>
    <v>11</v>
  </rv>
  <rv s="6">
    <fb>403.68</fb>
    <v>10</v>
  </rv>
  <rv s="6">
    <fb>268.86</fb>
    <v>10</v>
  </rv>
  <rv s="6">
    <fb>61.64</fb>
    <v>10</v>
  </rv>
  <rv s="6">
    <fb>227.44</fb>
    <v>10</v>
  </rv>
  <rv s="6">
    <fb>150.29</fb>
    <v>10</v>
  </rv>
  <rv s="6">
    <fb>36.14</fb>
    <v>10</v>
  </rv>
  <rv s="6">
    <fb>103.06</fb>
    <v>10</v>
  </rv>
  <rv s="6">
    <fb>33.799999999999997</fb>
    <v>10</v>
  </rv>
  <rv s="6">
    <fb>18.8</fb>
    <v>10</v>
  </rv>
  <rv s="6">
    <fb>316.01</fb>
    <v>10</v>
  </rv>
  <rv s="6">
    <fb>267.93</fb>
    <v>10</v>
  </rv>
  <rv s="6">
    <fb>451.51</fb>
    <v>10</v>
  </rv>
  <rv s="6">
    <fb>122.03</fb>
    <v>10</v>
  </rv>
  <rv s="6">
    <fb>355.08</fb>
    <v>10</v>
  </rv>
  <rv s="6">
    <fb>45127</fb>
    <v>11</v>
  </rv>
  <rv s="6">
    <fb>402.81</fb>
    <v>10</v>
  </rv>
  <rv s="6">
    <fb>268.75</fb>
    <v>10</v>
  </rv>
  <rv s="6">
    <fb>62.39</fb>
    <v>10</v>
  </rv>
  <rv s="6">
    <fb>230.15</fb>
    <v>10</v>
  </rv>
  <rv s="6">
    <fb>150.56</fb>
    <v>10</v>
  </rv>
  <rv s="6">
    <fb>36.4</fb>
    <v>10</v>
  </rv>
  <rv s="6">
    <fb>97.86</fb>
    <v>10</v>
  </rv>
  <rv s="6">
    <fb>33.71</fb>
    <v>10</v>
  </rv>
  <rv s="6">
    <fb>19.27</fb>
    <v>10</v>
  </rv>
  <rv s="6">
    <fb>302.52</fb>
    <v>10</v>
  </rv>
  <rv s="6">
    <fb>199.98</fb>
    <v>10</v>
  </rv>
  <rv s="6">
    <fb>269.2</fb>
    <v>10</v>
  </rv>
  <rv s="6">
    <fb>456.01</fb>
    <v>10</v>
  </rv>
  <rv s="6">
    <fb>119.2</fb>
    <v>10</v>
  </rv>
  <rv s="6">
    <fb>346.87</fb>
    <v>10</v>
  </rv>
  <rv s="6">
    <fb>45128</fb>
    <v>11</v>
  </rv>
  <rv s="6">
    <fb>397.65</fb>
    <v>10</v>
  </rv>
  <rv s="6">
    <fb>269.58999999999997</fb>
    <v>10</v>
  </rv>
  <rv s="6">
    <fb>62.44</fb>
    <v>10</v>
  </rv>
  <rv s="6">
    <fb>232.09</fb>
    <v>10</v>
  </rv>
  <rv s="6">
    <fb>152.93</fb>
    <v>10</v>
  </rv>
  <rv s="6">
    <fb>36.32</fb>
    <v>10</v>
  </rv>
  <rv s="6">
    <fb>97.25</fb>
    <v>10</v>
  </rv>
  <rv s="6">
    <fb>32.46</fb>
    <v>10</v>
  </rv>
  <rv s="6">
    <fb>18.75</fb>
    <v>10</v>
  </rv>
  <rv s="6">
    <fb>294.26</fb>
    <v>10</v>
  </rv>
  <rv s="6">
    <fb>201.49</fb>
    <v>10</v>
  </rv>
  <rv s="6">
    <fb>269.5</fb>
    <v>10</v>
  </rv>
  <rv s="6">
    <fb>454.76</fb>
    <v>10</v>
  </rv>
  <rv s="6">
    <fb>120.02</fb>
    <v>10</v>
  </rv>
  <rv s="6">
    <fb>343.77</fb>
    <v>10</v>
  </rv>
  <rv s="6">
    <fb>45131</fb>
    <v>11</v>
  </rv>
  <rv s="6">
    <fb>397.87</fb>
    <v>10</v>
  </rv>
  <rv s="6">
    <fb>266.69</fb>
    <v>10</v>
  </rv>
  <rv s="6">
    <fb>62.46</fb>
    <v>10</v>
  </rv>
  <rv s="6">
    <fb>232.17</fb>
    <v>10</v>
  </rv>
  <rv s="6">
    <fb>153.41999999999999</fb>
    <v>10</v>
  </rv>
  <rv s="6">
    <fb>36.35</fb>
    <v>10</v>
  </rv>
  <rv s="6">
    <fb>98.25</fb>
    <v>10</v>
  </rv>
  <rv s="6">
    <fb>32.520000000000003</fb>
    <v>10</v>
  </rv>
  <rv s="6">
    <fb>291.61</fb>
    <v>10</v>
  </rv>
  <rv s="6">
    <fb>203.81</fb>
    <v>10</v>
  </rv>
  <rv s="6">
    <fb>271.26</fb>
    <v>10</v>
  </rv>
  <rv s="6">
    <fb>456.8</fb>
    <v>10</v>
  </rv>
  <rv s="6">
    <fb>121.53</fb>
    <v>10</v>
  </rv>
  <rv s="6">
    <fb>345.11</fb>
    <v>10</v>
  </rv>
  <rv s="6">
    <fb>45132</fb>
    <v>11</v>
  </rv>
  <rv s="6">
    <fb>398.09</fb>
    <v>10</v>
  </rv>
  <rv s="6">
    <fb>268.79000000000002</fb>
    <v>10</v>
  </rv>
  <rv s="6">
    <fb>62.25</fb>
    <v>10</v>
  </rv>
  <rv s="6">
    <fb>233.02</fb>
    <v>10</v>
  </rv>
  <rv s="6">
    <fb>153.78</fb>
    <v>10</v>
  </rv>
  <rv s="6">
    <fb>36.549999999999997</fb>
    <v>10</v>
  </rv>
  <rv s="6">
    <fb>33.17</fb>
    <v>10</v>
  </rv>
  <rv s="6">
    <fb>18.64</fb>
    <v>10</v>
  </rv>
  <rv s="6">
    <fb>294.47000000000003</fb>
    <v>10</v>
  </rv>
  <rv s="6">
    <fb>205.4</fb>
    <v>10</v>
  </rv>
  <rv s="6">
    <fb>271.38</fb>
    <v>10</v>
  </rv>
  <rv s="6">
    <fb>454.15</fb>
    <v>10</v>
  </rv>
  <rv s="6">
    <fb>122.21</fb>
    <v>10</v>
  </rv>
  <rv s="6">
    <fb>350.98</fb>
    <v>10</v>
  </rv>
  <rv s="6">
    <fb>45133</fb>
    <v>11</v>
  </rv>
  <rv s="6">
    <fb>393.76</fb>
    <v>10</v>
  </rv>
  <rv s="6">
    <fb>273.39999999999998</fb>
    <v>10</v>
  </rv>
  <rv s="6">
    <fb>231.86</fb>
    <v>10</v>
  </rv>
  <rv s="6">
    <fb>153.94</fb>
    <v>10</v>
  </rv>
  <rv s="6">
    <fb>36.36</fb>
    <v>10</v>
  </rv>
  <rv s="6">
    <fb>32.950000000000003</fb>
    <v>10</v>
  </rv>
  <rv s="6">
    <fb>19.13</fb>
    <v>10</v>
  </rv>
  <rv s="6">
    <fb>298.57</fb>
    <v>10</v>
  </rv>
  <rv s="6">
    <fb>202.65</fb>
    <v>10</v>
  </rv>
  <rv s="6">
    <fb>272.2</fb>
    <v>10</v>
  </rv>
  <rv s="6">
    <fb>452.81</fb>
    <v>10</v>
  </rv>
  <rv s="6">
    <fb>129.27000000000001</fb>
    <v>10</v>
  </rv>
  <rv s="6">
    <fb>337.77</fb>
    <v>10</v>
  </rv>
  <rv s="6">
    <fb>45134</fb>
    <v>11</v>
  </rv>
  <rv s="6">
    <fb>397.31</fb>
    <v>10</v>
  </rv>
  <rv s="6">
    <fb>276.79000000000002</fb>
    <v>10</v>
  </rv>
  <rv s="6">
    <fb>229.78</fb>
    <v>10</v>
  </rv>
  <rv s="6">
    <fb>152.11000000000001</fb>
    <v>10</v>
  </rv>
  <rv s="6">
    <fb>36.200000000000003</fb>
    <v>10</v>
  </rv>
  <rv s="6">
    <fb>99.35</fb>
    <v>10</v>
  </rv>
  <rv s="6">
    <fb>33.03</fb>
    <v>10</v>
  </rv>
  <rv s="6">
    <fb>18.66</fb>
    <v>10</v>
  </rv>
  <rv s="6">
    <fb>201.63</fb>
    <v>10</v>
  </rv>
  <rv s="6">
    <fb>270.57</fb>
    <v>10</v>
  </rv>
  <rv s="6">
    <fb>448.64</fb>
    <v>10</v>
  </rv>
  <rv s="6">
    <fb>129.4</fb>
    <v>10</v>
  </rv>
  <rv s="6">
    <fb>330.72</fb>
    <v>10</v>
  </rv>
  <rv s="6">
    <fb>45135</fb>
    <v>11</v>
  </rv>
  <rv s="6">
    <fb>399.57</fb>
    <v>10</v>
  </rv>
  <rv s="6">
    <fb>277.42</fb>
    <v>10</v>
  </rv>
  <rv s="6">
    <fb>62.48</fb>
    <v>10</v>
  </rv>
  <rv s="6">
    <fb>230.04</fb>
    <v>10</v>
  </rv>
  <rv s="6">
    <fb>156.41</fb>
    <v>10</v>
  </rv>
  <rv s="6">
    <fb>36.159999999999997</fb>
    <v>10</v>
  </rv>
  <rv s="6">
    <fb>100.86</fb>
    <v>10</v>
  </rv>
  <rv s="6">
    <fb>19.3</fb>
    <v>10</v>
  </rv>
  <rv s="6">
    <fb>325.48</fb>
    <v>10</v>
  </rv>
  <rv s="6">
    <fb>200.48</fb>
    <v>10</v>
  </rv>
  <rv s="6">
    <fb>272.5</fb>
    <v>10</v>
  </rv>
  <rv s="6">
    <fb>449</fb>
    <v>10</v>
  </rv>
  <rv s="6">
    <fb>132.58000000000001</fb>
    <v>10</v>
  </rv>
  <rv s="6">
    <fb>338.37</fb>
    <v>10</v>
  </rv>
  <rv s="6">
    <fb>45138</fb>
    <v>11</v>
  </rv>
  <rv s="6">
    <fb>410.01</fb>
    <v>10</v>
  </rv>
  <rv s="6">
    <fb>277.2</fb>
    <v>10</v>
  </rv>
  <rv s="6">
    <fb>61.93</fb>
    <v>10</v>
  </rv>
  <rv s="6">
    <fb>225.55</fb>
    <v>10</v>
  </rv>
  <rv s="6">
    <fb>156.30000000000001</fb>
    <v>10</v>
  </rv>
  <rv s="6">
    <fb>36.18</fb>
    <v>10</v>
  </rv>
  <rv s="6">
    <fb>99.15</fb>
    <v>10</v>
  </rv>
  <rv s="6">
    <fb>33.32</fb>
    <v>10</v>
  </rv>
  <rv s="6">
    <fb>318.60000000000002</fb>
    <v>10</v>
  </rv>
  <rv s="6">
    <fb>201.62</fb>
    <v>10</v>
  </rv>
  <rv s="6">
    <fb>272.8</fb>
    <v>10</v>
  </rv>
  <rv s="6">
    <fb>446.37</fb>
    <v>10</v>
  </rv>
  <rv s="6">
    <fb>132.72</fb>
    <v>10</v>
  </rv>
  <rv s="6">
    <fb>335.92</fb>
    <v>10</v>
  </rv>
  <rv s="6">
    <fb>45139</fb>
    <v>11</v>
  </rv>
  <rv s="6">
    <fb>414.17</fb>
    <v>10</v>
  </rv>
  <rv s="6">
    <fb>278.32</fb>
    <v>10</v>
  </rv>
  <rv s="6">
    <fb>61.77</fb>
    <v>10</v>
  </rv>
  <rv s="6">
    <fb>224.01</fb>
    <v>10</v>
  </rv>
  <rv s="6">
    <fb>156.25</fb>
    <v>10</v>
  </rv>
  <rv s="6">
    <fb>35.880000000000003</fb>
    <v>10</v>
  </rv>
  <rv s="6">
    <fb>98.4</fb>
    <v>10</v>
  </rv>
  <rv s="6">
    <fb>33.31</fb>
    <v>10</v>
  </rv>
  <rv s="6">
    <fb>19.61</fb>
    <v>10</v>
  </rv>
  <rv s="6">
    <fb>322.70999999999998</fb>
    <v>10</v>
  </rv>
  <rv s="6">
    <fb>201.89</fb>
    <v>10</v>
  </rv>
  <rv s="6">
    <fb>270.02999999999997</fb>
    <v>10</v>
  </rv>
  <rv s="6">
    <fb>451.28</fb>
    <v>10</v>
  </rv>
  <rv s="6">
    <fb>131.55000000000001</fb>
    <v>10</v>
  </rv>
  <rv s="6">
    <fb>336.34</fb>
    <v>10</v>
  </rv>
  <rv s="6">
    <fb>45140</fb>
    <v>11</v>
  </rv>
  <rv s="6">
    <fb>405.87</fb>
    <v>10</v>
  </rv>
  <rv s="6">
    <fb>278.31</fb>
    <v>10</v>
  </rv>
  <rv s="6">
    <fb>61.96</fb>
    <v>10</v>
  </rv>
  <rv s="6">
    <fb>227.8</fb>
    <v>10</v>
  </rv>
  <rv s="6">
    <fb>156.59</fb>
    <v>10</v>
  </rv>
  <rv s="6">
    <fb>95.7</fb>
    <v>10</v>
  </rv>
  <rv s="6">
    <fb>32.96</fb>
    <v>10</v>
  </rv>
  <rv s="6">
    <fb>19.670000000000002</fb>
    <v>10</v>
  </rv>
  <rv s="6">
    <fb>314.31</fb>
    <v>10</v>
  </rv>
  <rv s="6">
    <fb>202.32</fb>
    <v>10</v>
  </rv>
  <rv s="6">
    <fb>269.52999999999997</fb>
    <v>10</v>
  </rv>
  <rv s="6">
    <fb>448.56</fb>
    <v>10</v>
  </rv>
  <rv s="6">
    <fb>128.38</fb>
    <v>10</v>
  </rv>
  <rv s="6">
    <fb>327.5</fb>
    <v>10</v>
  </rv>
  <rv s="6">
    <fb>45141</fb>
    <v>11</v>
  </rv>
  <rv s="6">
    <fb>418.18</fb>
    <v>10</v>
  </rv>
  <rv s="6">
    <fb>278.41000000000003</fb>
    <v>10</v>
  </rv>
  <rv s="6">
    <fb>157</fb>
    <v>10</v>
  </rv>
  <rv s="6">
    <fb>35.57</fb>
    <v>10</v>
  </rv>
  <rv s="6">
    <fb>94.98</fb>
    <v>10</v>
  </rv>
  <rv s="6">
    <fb>19.420000000000002</fb>
    <v>10</v>
  </rv>
  <rv s="6">
    <fb>313.19</fb>
    <v>10</v>
  </rv>
  <rv s="6">
    <fb>203.34</fb>
    <v>10</v>
  </rv>
  <rv s="6">
    <fb>268.73</fb>
    <v>10</v>
  </rv>
  <rv s="6">
    <fb>447.92</fb>
    <v>10</v>
  </rv>
  <rv s="6">
    <fb>128.44999999999999</fb>
    <v>10</v>
  </rv>
  <rv s="6">
    <fb>326.66000000000003</fb>
    <v>10</v>
  </rv>
  <rv s="6">
    <fb>45142</fb>
    <v>11</v>
  </rv>
  <rv s="6">
    <fb>414.15</fb>
    <v>10</v>
  </rv>
  <rv s="6">
    <fb>283.66000000000003</fb>
    <v>10</v>
  </rv>
  <rv s="6">
    <fb>60.71</fb>
    <v>10</v>
  </rv>
  <rv s="6">
    <fb>226.01</fb>
    <v>10</v>
  </rv>
  <rv s="6">
    <fb>155.28</fb>
    <v>10</v>
  </rv>
  <rv s="6">
    <fb>35.28</fb>
    <v>10</v>
  </rv>
  <rv s="6">
    <fb>96.16</fb>
    <v>10</v>
  </rv>
  <rv s="6">
    <fb>31.52</fb>
    <v>10</v>
  </rv>
  <rv s="6">
    <fb>18.53</fb>
    <v>10</v>
  </rv>
  <rv s="6">
    <fb>310.73</fb>
    <v>10</v>
  </rv>
  <rv s="6">
    <fb>200.28</fb>
    <v>10</v>
  </rv>
  <rv s="6">
    <fb>268.02</fb>
    <v>10</v>
  </rv>
  <rv s="6">
    <fb>445.72</fb>
    <v>10</v>
  </rv>
  <rv s="6">
    <fb>128.11000000000001</fb>
    <v>10</v>
  </rv>
  <rv s="6">
    <fb>327.78</fb>
    <v>10</v>
  </rv>
  <rv s="6">
    <fb>45145</fb>
    <v>11</v>
  </rv>
  <rv s="6">
    <fb>424.95</fb>
    <v>10</v>
  </rv>
  <rv s="6">
    <fb>285.70999999999998</fb>
    <v>10</v>
  </rv>
  <rv s="6">
    <fb>61.19</fb>
    <v>10</v>
  </rv>
  <rv s="6">
    <fb>156.91999999999999</fb>
    <v>10</v>
  </rv>
  <rv s="6">
    <fb>35</fb>
    <v>10</v>
  </rv>
  <rv s="6">
    <fb>96.35</fb>
    <v>10</v>
  </rv>
  <rv s="6">
    <fb>31.78</fb>
    <v>10</v>
  </rv>
  <rv s="6">
    <fb>18.21</fb>
    <v>10</v>
  </rv>
  <rv s="6">
    <fb>316.56</fb>
    <v>10</v>
  </rv>
  <rv s="6">
    <fb>202.12</fb>
    <v>10</v>
  </rv>
  <rv s="6">
    <fb>270.63</fb>
    <v>10</v>
  </rv>
  <rv s="6">
    <fb>449.78</fb>
    <v>10</v>
  </rv>
  <rv s="6">
    <fb>131.53</fb>
    <v>10</v>
  </rv>
  <rv s="6">
    <fb>330.11</fb>
    <v>10</v>
  </rv>
  <rv s="6">
    <fb>45146</fb>
    <v>11</v>
  </rv>
  <rv s="6">
    <fb>425.12</fb>
    <v>10</v>
  </rv>
  <rv s="6">
    <fb>285.11</fb>
    <v>10</v>
  </rv>
  <rv s="6">
    <fb>60.92</fb>
    <v>10</v>
  </rv>
  <rv s="6">
    <fb>225.24</fb>
    <v>10</v>
  </rv>
  <rv s="6">
    <fb>157.09</fb>
    <v>10</v>
  </rv>
  <rv s="6">
    <fb>34.46</fb>
    <v>10</v>
  </rv>
  <rv s="6">
    <fb>94.49</fb>
    <v>10</v>
  </rv>
  <rv s="6">
    <fb>312.64</fb>
    <v>10</v>
  </rv>
  <rv s="6">
    <fb>202.7</fb>
    <v>10</v>
  </rv>
  <rv s="6">
    <fb>270.99</fb>
    <v>10</v>
  </rv>
  <rv s="6">
    <fb>449.47</fb>
    <v>10</v>
  </rv>
  <rv s="6">
    <fb>131.4</fb>
    <v>10</v>
  </rv>
  <rv s="6">
    <fb>326.05</fb>
    <v>10</v>
  </rv>
  <rv s="6">
    <fb>45147</fb>
    <v>11</v>
  </rv>
  <rv s="6">
    <fb>422.26</fb>
    <v>10</v>
  </rv>
  <rv s="6">
    <fb>285.22000000000003</fb>
    <v>10</v>
  </rv>
  <rv s="6">
    <fb>61.06</fb>
    <v>10</v>
  </rv>
  <rv s="6">
    <fb>226.97</fb>
    <v>10</v>
  </rv>
  <rv s="6">
    <fb>156.88999999999999</fb>
    <v>10</v>
  </rv>
  <rv s="6">
    <fb>34.520000000000003</fb>
    <v>10</v>
  </rv>
  <rv s="6">
    <fb>93.98</fb>
    <v>10</v>
  </rv>
  <rv s="6">
    <fb>18.57</fb>
    <v>10</v>
  </rv>
  <rv s="6">
    <fb>305.20999999999998</fb>
    <v>10</v>
  </rv>
  <rv s="6">
    <fb>203.44</fb>
    <v>10</v>
  </rv>
  <rv s="6">
    <fb>270.55</fb>
    <v>10</v>
  </rv>
  <rv s="6">
    <fb>129.66</fb>
    <v>10</v>
  </rv>
  <rv s="6">
    <fb>322.23</fb>
    <v>10</v>
  </rv>
  <rv s="6">
    <fb>45148</fb>
    <v>11</v>
  </rv>
  <rv s="6">
    <fb>412.76</fb>
    <v>10</v>
  </rv>
  <rv s="6">
    <fb>285.8</fb>
    <v>10</v>
  </rv>
  <rv s="6">
    <fb>227.23</fb>
    <v>10</v>
  </rv>
  <rv s="6">
    <fb>156.11000000000001</fb>
    <v>10</v>
  </rv>
  <rv s="6">
    <fb>34.39</fb>
    <v>10</v>
  </rv>
  <rv s="6">
    <fb>94.8</fb>
    <v>10</v>
  </rv>
  <rv s="6">
    <fb>18.41</fb>
    <v>10</v>
  </rv>
  <rv s="6">
    <fb>305.74</fb>
    <v>10</v>
  </rv>
  <rv s="6">
    <fb>200.43</fb>
    <v>10</v>
  </rv>
  <rv s="6">
    <fb>268.61</fb>
    <v>10</v>
  </rv>
  <rv s="6">
    <fb>450.05</fb>
    <v>10</v>
  </rv>
  <rv s="6">
    <fb>129.69</fb>
    <v>10</v>
  </rv>
  <rv s="6">
    <fb>322.93</fb>
    <v>10</v>
  </rv>
  <rv s="6">
    <fb>45149</fb>
    <v>11</v>
  </rv>
  <rv s="6">
    <fb>416.51</fb>
    <v>10</v>
  </rv>
  <rv s="6">
    <fb>61.17</fb>
    <v>10</v>
  </rv>
  <rv s="6">
    <fb>228</fb>
    <v>10</v>
  </rv>
  <rv s="6">
    <fb>157.02000000000001</fb>
    <v>10</v>
  </rv>
  <rv s="6">
    <fb>34.549999999999997</fb>
    <v>10</v>
  </rv>
  <rv s="6">
    <fb>91.99</fb>
    <v>10</v>
  </rv>
  <rv s="6">
    <fb>18.28</fb>
    <v>10</v>
  </rv>
  <rv s="6">
    <fb>301.64</fb>
    <v>10</v>
  </rv>
  <rv s="6">
    <fb>200.17</fb>
    <v>10</v>
  </rv>
  <rv s="6">
    <fb>267.68</fb>
    <v>10</v>
  </rv>
  <rv s="6">
    <fb>454.05</fb>
    <v>10</v>
  </rv>
  <rv s="6">
    <fb>129.56</fb>
    <v>10</v>
  </rv>
  <rv s="6">
    <fb>321.01</fb>
    <v>10</v>
  </rv>
  <rv s="6">
    <fb>45152</fb>
    <v>11</v>
  </rv>
  <rv s="6">
    <fb>413.82</fb>
    <v>10</v>
  </rv>
  <rv s="6">
    <fb>286.60000000000002</fb>
    <v>10</v>
  </rv>
  <rv s="6">
    <fb>229.14</fb>
    <v>10</v>
  </rv>
  <rv s="6">
    <fb>155.79</fb>
    <v>10</v>
  </rv>
  <rv s="6">
    <fb>34.24</fb>
    <v>10</v>
  </rv>
  <rv s="6">
    <fb>93.07</fb>
    <v>10</v>
  </rv>
  <rv s="6">
    <fb>30.82</fb>
    <v>10</v>
  </rv>
  <rv s="6">
    <fb>306.19</fb>
    <v>10</v>
  </rv>
  <rv s="6">
    <fb>203.54</fb>
    <v>10</v>
  </rv>
  <rv s="6">
    <fb>267.64999999999998</fb>
    <v>10</v>
  </rv>
  <rv s="6">
    <fb>450.08</fb>
    <v>10</v>
  </rv>
  <rv s="6">
    <fb>131.33000000000001</fb>
    <v>10</v>
  </rv>
  <rv s="6">
    <fb>324.04000000000002</fb>
    <v>10</v>
  </rv>
  <rv s="6">
    <fb>45153</fb>
    <v>11</v>
  </rv>
  <rv s="6">
    <fb>408.76</fb>
    <v>10</v>
  </rv>
  <rv s="6">
    <fb>281.87</fb>
    <v>10</v>
  </rv>
  <rv s="6">
    <fb>229.5</fb>
    <v>10</v>
  </rv>
  <rv s="6">
    <fb>154.79</fb>
    <v>10</v>
  </rv>
  <rv s="6">
    <fb>33.76</fb>
    <v>10</v>
  </rv>
  <rv s="6">
    <fb>91.68</fb>
    <v>10</v>
  </rv>
  <rv s="6">
    <fb>30.28</fb>
    <v>10</v>
  </rv>
  <rv s="6">
    <fb>301.95</fb>
    <v>10</v>
  </rv>
  <rv s="6">
    <fb>203.2</fb>
    <v>10</v>
  </rv>
  <rv s="6">
    <fb>265.7</fb>
    <v>10</v>
  </rv>
  <rv s="6">
    <fb>443.58</fb>
    <v>10</v>
  </rv>
  <rv s="6">
    <fb>129.78</fb>
    <v>10</v>
  </rv>
  <rv s="6">
    <fb>321.86</fb>
    <v>10</v>
  </rv>
  <rv s="6">
    <fb>45154</fb>
    <v>11</v>
  </rv>
  <rv s="6">
    <fb>406.32</fb>
    <v>10</v>
  </rv>
  <rv s="6">
    <fb>280.10000000000002</fb>
    <v>10</v>
  </rv>
  <rv s="6">
    <fb>60.48</fb>
    <v>10</v>
  </rv>
  <rv s="6">
    <fb>227.27</fb>
    <v>10</v>
  </rv>
  <rv s="6">
    <fb>153.21</fb>
    <v>10</v>
  </rv>
  <rv s="6">
    <fb>91.78</fb>
    <v>10</v>
  </rv>
  <rv s="6">
    <fb>30.19</fb>
    <v>10</v>
  </rv>
  <rv s="6">
    <fb>294.29000000000002</fb>
    <v>10</v>
  </rv>
  <rv s="6">
    <fb>200.77</fb>
    <v>10</v>
  </rv>
  <rv s="6">
    <fb>262.82</fb>
    <v>10</v>
  </rv>
  <rv s="6">
    <fb>445.13</fb>
    <v>10</v>
  </rv>
  <rv s="6">
    <fb>128.69999999999999</fb>
    <v>10</v>
  </rv>
  <rv s="6">
    <fb>320.39999999999998</fb>
    <v>10</v>
  </rv>
  <rv s="6">
    <fb>45155</fb>
    <v>11</v>
  </rv>
  <rv s="6">
    <fb>399.05</fb>
    <v>10</v>
  </rv>
  <rv s="6">
    <fb>271.58</fb>
    <v>10</v>
  </rv>
  <rv s="6">
    <fb>60.61</fb>
    <v>10</v>
  </rv>
  <rv s="6">
    <fb>224.05</fb>
    <v>10</v>
  </rv>
  <rv s="6">
    <fb>33.49</fb>
    <v>10</v>
  </rv>
  <rv s="6">
    <fb>91.64</fb>
    <v>10</v>
  </rv>
  <rv s="6">
    <fb>18.86</fb>
    <v>10</v>
  </rv>
  <rv s="6">
    <fb>285.08999999999997</fb>
    <v>10</v>
  </rv>
  <rv s="6">
    <fb>200.41</fb>
    <v>10</v>
  </rv>
  <rv s="6">
    <fb>257.36</fb>
    <v>10</v>
  </rv>
  <rv s="6">
    <fb>446.68</fb>
    <v>10</v>
  </rv>
  <rv s="6">
    <fb>129.91999999999999</fb>
    <v>10</v>
  </rv>
  <rv s="6">
    <fb>316.88</fb>
    <v>10</v>
  </rv>
  <rv s="6">
    <fb>45156</fb>
    <v>11</v>
  </rv>
  <rv s="6">
    <fb>397.76</fb>
    <v>10</v>
  </rv>
  <rv s="6">
    <fb>266.58999999999997</fb>
    <v>10</v>
  </rv>
  <rv s="6">
    <fb>60.95</fb>
    <v>10</v>
  </rv>
  <rv s="6">
    <fb>223.87</fb>
    <v>10</v>
  </rv>
  <rv s="6">
    <fb>152.54</fb>
    <v>10</v>
  </rv>
  <rv s="6">
    <fb>33.659999999999997</fb>
    <v>10</v>
  </rv>
  <rv s="6">
    <fb>91.1</fb>
    <v>10</v>
  </rv>
  <rv s="6">
    <fb>30.87</fb>
    <v>10</v>
  </rv>
  <rv s="6">
    <fb>19.2</fb>
    <v>10</v>
  </rv>
  <rv s="6">
    <fb>283.25</fb>
    <v>10</v>
  </rv>
  <rv s="6">
    <fb>203.07</fb>
    <v>10</v>
  </rv>
  <rv s="6">
    <fb>257.07</fb>
    <v>10</v>
  </rv>
  <rv s="6">
    <fb>450.06</fb>
    <v>10</v>
  </rv>
  <rv s="6">
    <fb>127.46</fb>
    <v>10</v>
  </rv>
  <rv s="6">
    <fb>316.48</fb>
    <v>10</v>
  </rv>
  <rv s="6">
    <fb>45159</fb>
    <v>11</v>
  </rv>
  <rv s="6">
    <fb>397.47</fb>
    <v>10</v>
  </rv>
  <rv s="6">
    <fb>265.95</fb>
    <v>10</v>
  </rv>
  <rv s="6">
    <fb>222.76</fb>
    <v>10</v>
  </rv>
  <rv s="6">
    <fb>33.479999999999997</fb>
    <v>10</v>
  </rv>
  <rv s="6">
    <fb>92.56</fb>
    <v>10</v>
  </rv>
  <rv s="6">
    <fb>18.54</fb>
    <v>10</v>
  </rv>
  <rv s="6">
    <fb>289.89999999999998</fb>
    <v>10</v>
  </rv>
  <rv s="6">
    <fb>203.57</fb>
    <v>10</v>
  </rv>
  <rv s="6">
    <fb>258.99</fb>
    <v>10</v>
  </rv>
  <rv s="6">
    <fb>451.49</fb>
    <v>10</v>
  </rv>
  <rv s="6">
    <fb>128.37</fb>
    <v>10</v>
  </rv>
  <rv s="6">
    <fb>321.88</fb>
    <v>10</v>
  </rv>
  <rv s="6">
    <fb>45160</fb>
    <v>11</v>
  </rv>
  <rv s="6">
    <fb>398.1</fb>
    <v>10</v>
  </rv>
  <rv s="6">
    <fb>259.52999999999997</fb>
    <v>10</v>
  </rv>
  <rv s="6">
    <fb>60.06</fb>
    <v>10</v>
  </rv>
  <rv s="6">
    <fb>223.33</fb>
    <v>10</v>
  </rv>
  <rv s="6">
    <fb>151.83000000000001</fb>
    <v>10</v>
  </rv>
  <rv s="6">
    <fb>92.24</fb>
    <v>10</v>
  </rv>
  <rv s="6">
    <fb>30.51</fb>
    <v>10</v>
  </rv>
  <rv s="6">
    <fb>18.87</fb>
    <v>10</v>
  </rv>
  <rv s="6">
    <fb>287.60000000000002</fb>
    <v>10</v>
  </rv>
  <rv s="6">
    <fb>206.63</fb>
    <v>10</v>
  </rv>
  <rv s="6">
    <fb>257.32</fb>
    <v>10</v>
  </rv>
  <rv s="6">
    <fb>452.94</fb>
    <v>10</v>
  </rv>
  <rv s="6">
    <fb>129.08000000000001</fb>
    <v>10</v>
  </rv>
  <rv s="6">
    <fb>322.45999999999998</fb>
    <v>10</v>
  </rv>
  <rv s="6">
    <fb>45161</fb>
    <v>11</v>
  </rv>
  <rv s="6">
    <fb>404.15</fb>
    <v>10</v>
  </rv>
  <rv s="6">
    <fb>261.24</fb>
    <v>10</v>
  </rv>
  <rv s="6">
    <fb>60.27</fb>
    <v>10</v>
  </rv>
  <rv s="6">
    <fb>225.52</fb>
    <v>10</v>
  </rv>
  <rv s="6">
    <fb>153.25</fb>
    <v>10</v>
  </rv>
  <rv s="6">
    <fb>94.22</fb>
    <v>10</v>
  </rv>
  <rv s="6">
    <fb>31</fb>
    <v>10</v>
  </rv>
  <rv s="6">
    <fb>294.24</fb>
    <v>10</v>
  </rv>
  <rv s="6">
    <fb>208.25</fb>
    <v>10</v>
  </rv>
  <rv s="6">
    <fb>262.05</fb>
    <v>10</v>
  </rv>
  <rv s="6">
    <fb>454.57</fb>
    <v>10</v>
  </rv>
  <rv s="6">
    <fb>132.37</fb>
    <v>10</v>
  </rv>
  <rv s="6">
    <fb>327</fb>
    <v>10</v>
  </rv>
  <rv s="6">
    <fb>45162</fb>
    <v>11</v>
  </rv>
  <rv s="6">
    <fb>398.33</fb>
    <v>10</v>
  </rv>
  <rv s="6">
    <fb>259.76</fb>
    <v>10</v>
  </rv>
  <rv s="6">
    <fb>60.11</fb>
    <v>10</v>
  </rv>
  <rv s="6">
    <fb>224.57</fb>
    <v>10</v>
  </rv>
  <rv s="6">
    <fb>33.520000000000003</fb>
    <v>10</v>
  </rv>
  <rv s="6">
    <fb>92.53</fb>
    <v>10</v>
  </rv>
  <rv s="6">
    <fb>18.59</fb>
    <v>10</v>
  </rv>
  <rv s="6">
    <fb>286.75</fb>
    <v>10</v>
  </rv>
  <rv s="6">
    <fb>201.56</fb>
    <v>10</v>
  </rv>
  <rv s="6">
    <fb>258.27</fb>
    <v>10</v>
  </rv>
  <rv s="6">
    <fb>319.97000000000003</fb>
    <v>10</v>
  </rv>
  <rv s="6">
    <fb>45163</fb>
    <v>11</v>
  </rv>
  <rv s="6">
    <fb>403.21</fb>
    <v>10</v>
  </rv>
  <rv s="6">
    <fb>259.27999999999997</fb>
    <v>10</v>
  </rv>
  <rv s="6">
    <fb>60.39</fb>
    <v>10</v>
  </rv>
  <rv s="6">
    <fb>226.4</fb>
    <v>10</v>
  </rv>
  <rv s="6">
    <fb>153.54</fb>
    <v>10</v>
  </rv>
  <rv s="6">
    <fb>33.85</fb>
    <v>10</v>
  </rv>
  <rv s="6">
    <fb>93.1</fb>
    <v>10</v>
  </rv>
  <rv s="6">
    <fb>285.5</fb>
    <v>10</v>
  </rv>
  <rv s="6">
    <fb>205.27</fb>
    <v>10</v>
  </rv>
  <rv s="6">
    <fb>259.49</fb>
    <v>10</v>
  </rv>
  <rv s="6">
    <fb>451.09</fb>
    <v>10</v>
  </rv>
  <rv s="6">
    <fb>129.88</fb>
    <v>10</v>
  </rv>
  <rv s="6">
    <fb>322.98</fb>
    <v>10</v>
  </rv>
  <rv s="6">
    <fb>45166</fb>
    <v>11</v>
  </rv>
  <rv s="6">
    <fb>408.54</fb>
    <v>10</v>
  </rv>
  <rv s="6">
    <fb>262.61</fb>
    <v>10</v>
  </rv>
  <rv s="6">
    <fb>227.83</fb>
    <v>10</v>
  </rv>
  <rv s="6">
    <fb>33.840000000000003</fb>
    <v>10</v>
  </rv>
  <rv s="6">
    <fb>94</fb>
    <v>10</v>
  </rv>
  <rv s="6">
    <fb>290.26</fb>
    <v>10</v>
  </rv>
  <rv s="6">
    <fb>207.68</fb>
    <v>10</v>
  </rv>
  <rv s="6">
    <fb>261.89999999999998</fb>
    <v>10</v>
  </rv>
  <rv s="6">
    <fb>452.32</fb>
    <v>10</v>
  </rv>
  <rv s="6">
    <fb>131.01</fb>
    <v>10</v>
  </rv>
  <rv s="6">
    <fb>323.7</fb>
    <v>10</v>
  </rv>
  <rv s="6">
    <fb>45167</fb>
    <v>11</v>
  </rv>
  <rv s="6">
    <fb>416.5</fb>
    <v>10</v>
  </rv>
  <rv s="6">
    <fb>266.27</fb>
    <v>10</v>
  </rv>
  <rv s="6">
    <fb>60.5</fb>
    <v>10</v>
  </rv>
  <rv s="6">
    <fb>231.38</fb>
    <v>10</v>
  </rv>
  <rv s="6">
    <fb>153.87</fb>
    <v>10</v>
  </rv>
  <rv s="6">
    <fb>95.08</fb>
    <v>10</v>
  </rv>
  <rv s="6">
    <fb>18.23</fb>
    <v>10</v>
  </rv>
  <rv s="6">
    <fb>297.99</fb>
    <v>10</v>
  </rv>
  <rv s="6">
    <fb>208.6</fb>
    <v>10</v>
  </rv>
  <rv s="6">
    <fb>261.27</fb>
    <v>10</v>
  </rv>
  <rv s="6">
    <fb>448.4</fb>
    <v>10</v>
  </rv>
  <rv s="6">
    <fb>134.57</fb>
    <v>10</v>
  </rv>
  <rv s="6">
    <fb>328.41</fb>
    <v>10</v>
  </rv>
  <rv s="6">
    <fb>45168</fb>
    <v>11</v>
  </rv>
  <rv s="6">
    <fb>418.83</fb>
    <v>10</v>
  </rv>
  <rv s="6">
    <fb>264.11</fb>
    <v>10</v>
  </rv>
  <rv s="6">
    <fb>232</fb>
    <v>10</v>
  </rv>
  <rv s="6">
    <fb>154.04</fb>
    <v>10</v>
  </rv>
  <rv s="6">
    <fb>33.67</fb>
    <v>10</v>
  </rv>
  <rv s="6">
    <fb>94.78</fb>
    <v>10</v>
  </rv>
  <rv s="6">
    <fb>30.73</fb>
    <v>10</v>
  </rv>
  <rv s="6">
    <fb>18.96</fb>
    <v>10</v>
  </rv>
  <rv s="6">
    <fb>295.10000000000002</fb>
    <v>10</v>
  </rv>
  <rv s="6">
    <fb>209.64</fb>
    <v>10</v>
  </rv>
  <rv s="6">
    <fb>260.86</fb>
    <v>10</v>
  </rv>
  <rv s="6">
    <fb>452.41</fb>
    <v>10</v>
  </rv>
  <rv s="6">
    <fb>135.88</fb>
    <v>10</v>
  </rv>
  <rv s="6">
    <fb>328.79</fb>
    <v>10</v>
  </rv>
  <rv s="6">
    <fb>45169</fb>
    <v>11</v>
  </rv>
  <rv s="6">
    <fb>416.9</fb>
    <v>10</v>
  </rv>
  <rv s="6">
    <fb>263.02</fb>
    <v>10</v>
  </rv>
  <rv s="6">
    <fb>229.59</fb>
    <v>10</v>
  </rv>
  <rv s="6">
    <fb>154.34</fb>
    <v>10</v>
  </rv>
  <rv s="6">
    <fb>93.57</fb>
    <v>10</v>
  </rv>
  <rv s="6">
    <fb>30.2</fb>
    <v>10</v>
  </rv>
  <rv s="6">
    <fb>18.71</fb>
    <v>10</v>
  </rv>
  <rv s="6">
    <fb>295.89</fb>
    <v>10</v>
  </rv>
  <rv s="6">
    <fb>209.87</fb>
    <v>10</v>
  </rv>
  <rv s="6">
    <fb>260.56</fb>
    <v>10</v>
  </rv>
  <rv s="6">
    <fb>448.35</fb>
    <v>10</v>
  </rv>
  <rv s="6">
    <fb>136.16999999999999</fb>
    <v>10</v>
  </rv>
  <rv s="6">
    <fb>327.76</fb>
    <v>10</v>
  </rv>
  <rv s="6">
    <fb>45170</fb>
    <v>11</v>
  </rv>
  <rv s="6">
    <fb>422.46</fb>
    <v>10</v>
  </rv>
  <rv s="6">
    <fb>268.58999999999997</fb>
    <v>10</v>
  </rv>
  <rv s="6">
    <fb>230.87</fb>
    <v>10</v>
  </rv>
  <rv s="6">
    <fb>154.51</fb>
    <v>10</v>
  </rv>
  <rv s="6">
    <fb>93.19</fb>
    <v>10</v>
  </rv>
  <rv s="6">
    <fb>30.63</fb>
    <v>10</v>
  </rv>
  <rv s="6">
    <fb>296.38</fb>
    <v>10</v>
  </rv>
  <rv s="6">
    <fb>212.36</fb>
    <v>10</v>
  </rv>
  <rv s="6">
    <fb>259.48</fb>
    <v>10</v>
  </rv>
  <rv s="6">
    <fb>448.18</fb>
    <v>10</v>
  </rv>
  <rv s="6">
    <fb>135.66</fb>
    <v>10</v>
  </rv>
  <rv s="6">
    <fb>328.66</fb>
    <v>10</v>
  </rv>
  <rv s="6">
    <fb>45174</fb>
    <v>11</v>
  </rv>
  <rv s="6">
    <fb>411.67</fb>
    <v>10</v>
  </rv>
  <rv s="6">
    <fb>257.87</fb>
    <v>10</v>
  </rv>
  <rv s="6">
    <fb>58.82</fb>
    <v>10</v>
  </rv>
  <rv s="6">
    <fb>223.64</fb>
    <v>10</v>
  </rv>
  <rv s="6">
    <fb>152.44</fb>
    <v>10</v>
  </rv>
  <rv s="6">
    <fb>32.549999999999997</fb>
    <v>10</v>
  </rv>
  <rv s="6">
    <fb>94.6</fb>
    <v>10</v>
  </rv>
  <rv s="6">
    <fb>29.92</fb>
    <v>10</v>
  </rv>
  <rv s="6">
    <fb>18.29</fb>
    <v>10</v>
  </rv>
  <rv s="6">
    <fb>300.14999999999998</fb>
    <v>10</v>
  </rv>
  <rv s="6">
    <fb>208.81</fb>
    <v>10</v>
  </rv>
  <rv s="6">
    <fb>257.5</fb>
    <v>10</v>
  </rv>
  <rv s="6">
    <fb>445.19</fb>
    <v>10</v>
  </rv>
  <rv s="6">
    <fb>135.77000000000001</fb>
    <v>10</v>
  </rv>
  <rv s="6">
    <fb>333.55</fb>
    <v>10</v>
  </rv>
  <rv s="6">
    <fb>45175</fb>
    <v>11</v>
  </rv>
  <rv s="6">
    <fb>411.86</fb>
    <v>10</v>
  </rv>
  <rv s="6">
    <fb>253.65</fb>
    <v>10</v>
  </rv>
  <rv s="6">
    <fb>58.78</fb>
    <v>10</v>
  </rv>
  <rv s="6">
    <fb>223.79</fb>
    <v>10</v>
  </rv>
  <rv s="6">
    <fb>152.13999999999999</fb>
    <v>10</v>
  </rv>
  <rv s="6">
    <fb>32.57</fb>
    <v>10</v>
  </rv>
  <rv s="6">
    <fb>92.26</fb>
    <v>10</v>
  </rv>
  <rv s="6">
    <fb>29.73</fb>
    <v>10</v>
  </rv>
  <rv s="6">
    <fb>18.11</fb>
    <v>10</v>
  </rv>
  <rv s="6">
    <fb>299.17</fb>
    <v>10</v>
  </rv>
  <rv s="6">
    <fb>209.09</fb>
    <v>10</v>
  </rv>
  <rv s="6">
    <fb>258.81</fb>
    <v>10</v>
  </rv>
  <rv s="6">
    <fb>423.94</fb>
    <v>10</v>
  </rv>
  <rv s="6">
    <fb>134.46</fb>
    <v>10</v>
  </rv>
  <rv s="6">
    <fb>45176</fb>
    <v>11</v>
  </rv>
  <rv s="6">
    <fb>409.11</fb>
    <v>10</v>
  </rv>
  <rv s="6">
    <fb>248.26</fb>
    <v>10</v>
  </rv>
  <rv s="6">
    <fb>58.33</fb>
    <v>10</v>
  </rv>
  <rv s="6">
    <fb>224.46</fb>
    <v>10</v>
  </rv>
  <rv s="6">
    <fb>153.59</fb>
    <v>10</v>
  </rv>
  <rv s="6">
    <fb>32.68</fb>
    <v>10</v>
  </rv>
  <rv s="6">
    <fb>90.05</fb>
    <v>10</v>
  </rv>
  <rv s="6">
    <fb>18.309999999999999</fb>
    <v>10</v>
  </rv>
  <rv s="6">
    <fb>298.67</fb>
    <v>10</v>
  </rv>
  <rv s="6">
    <fb>208.7</fb>
    <v>10</v>
  </rv>
  <rv s="6">
    <fb>259.56</fb>
    <v>10</v>
  </rv>
  <rv s="6">
    <fb>425.94</fb>
    <v>10</v>
  </rv>
  <rv s="6">
    <fb>135.26</fb>
    <v>10</v>
  </rv>
  <rv s="6">
    <fb>329.91</fb>
    <v>10</v>
  </rv>
  <rv s="6">
    <fb>45177</fb>
    <v>11</v>
  </rv>
  <rv s="6">
    <fb>409.2</fb>
    <v>10</v>
  </rv>
  <rv s="6">
    <fb>251.36</fb>
    <v>10</v>
  </rv>
  <rv s="6">
    <fb>89.64</fb>
    <v>10</v>
  </rv>
  <rv s="6">
    <fb>29.95</fb>
    <v>10</v>
  </rv>
  <rv s="6">
    <fb>18.350000000000001</fb>
    <v>10</v>
  </rv>
  <rv s="6">
    <fb>297.89</fb>
    <v>10</v>
  </rv>
  <rv s="6">
    <fb>206.5</fb>
    <v>10</v>
  </rv>
  <rv s="6">
    <fb>259.2</fb>
    <v>10</v>
  </rv>
  <rv s="6">
    <fb>423.09</fb>
    <v>10</v>
  </rv>
  <rv s="6">
    <fb>136.38</fb>
    <v>10</v>
  </rv>
  <rv s="6">
    <fb>334.27</fb>
    <v>10</v>
  </rv>
  <rv s="6">
    <fb>45180</fb>
    <v>11</v>
  </rv>
  <rv s="6">
    <fb>406.17</fb>
    <v>10</v>
  </rv>
  <rv s="6">
    <fb>278.37</fb>
    <v>10</v>
  </rv>
  <rv s="6">
    <fb>58.88</fb>
    <v>10</v>
  </rv>
  <rv s="6">
    <fb>228.78</fb>
    <v>10</v>
  </rv>
  <rv s="6">
    <fb>154.75</fb>
    <v>10</v>
  </rv>
  <rv s="6">
    <fb>89.6</fb>
    <v>10</v>
  </rv>
  <rv s="6">
    <fb>30.18</fb>
    <v>10</v>
  </rv>
  <rv s="6">
    <fb>17.940000000000001</fb>
    <v>10</v>
  </rv>
  <rv s="6">
    <fb>307.56</fb>
    <v>10</v>
  </rv>
  <rv s="6">
    <fb>205.04</fb>
    <v>10</v>
  </rv>
  <rv s="6">
    <fb>259.5</fb>
    <v>10</v>
  </rv>
  <rv s="6">
    <fb>420.66</fb>
    <v>10</v>
  </rv>
  <rv s="6">
    <fb>136.91999999999999</fb>
    <v>10</v>
  </rv>
  <rv s="6">
    <fb>337.94</fb>
    <v>10</v>
  </rv>
  <rv s="6">
    <fb>45181</fb>
    <v>11</v>
  </rv>
  <rv s="6">
    <fb>405.38</fb>
    <v>10</v>
  </rv>
  <rv s="6">
    <fb>280.68</fb>
    <v>10</v>
  </rv>
  <rv s="6">
    <fb>58.3</fb>
    <v>10</v>
  </rv>
  <rv s="6">
    <fb>226.86</fb>
    <v>10</v>
  </rv>
  <rv s="6">
    <fb>152.03</fb>
    <v>10</v>
  </rv>
  <rv s="6">
    <fb>90.48</fb>
    <v>10</v>
  </rv>
  <rv s="6">
    <fb>18.02</fb>
    <v>10</v>
  </rv>
  <rv s="6">
    <fb>301.66000000000003</fb>
    <v>10</v>
  </rv>
  <rv s="6">
    <fb>204.49</fb>
    <v>10</v>
  </rv>
  <rv s="6">
    <fb>260.67</fb>
    <v>10</v>
  </rv>
  <rv s="6">
    <fb>417.83</fb>
    <v>10</v>
  </rv>
  <rv s="6">
    <fb>135.34</fb>
    <v>10</v>
  </rv>
  <rv s="6">
    <fb>331.77</fb>
    <v>10</v>
  </rv>
  <rv s="6">
    <fb>45182</fb>
    <v>11</v>
  </rv>
  <rv s="6">
    <fb>390.03</fb>
    <v>10</v>
  </rv>
  <rv s="6">
    <fb>277.52999999999997</fb>
    <v>10</v>
  </rv>
  <rv s="6">
    <fb>58.44</fb>
    <v>10</v>
  </rv>
  <rv s="6">
    <fb>230.43</fb>
    <v>10</v>
  </rv>
  <rv s="6">
    <fb>153.09</fb>
    <v>10</v>
  </rv>
  <rv s="6">
    <fb>33.19</fb>
    <v>10</v>
  </rv>
  <rv s="6">
    <fb>91.22</fb>
    <v>10</v>
  </rv>
  <rv s="6">
    <fb>30.5</fb>
    <v>10</v>
  </rv>
  <rv s="6">
    <fb>17.53</fb>
    <v>10</v>
  </rv>
  <rv s="6">
    <fb>305.06</fb>
    <v>10</v>
  </rv>
  <rv s="6">
    <fb>200.33</fb>
    <v>10</v>
  </rv>
  <rv s="6">
    <fb>260.18</fb>
    <v>10</v>
  </rv>
  <rv s="6">
    <fb>420.99</fb>
    <v>10</v>
  </rv>
  <rv s="6">
    <fb>336.06</fb>
    <v>10</v>
  </rv>
  <rv s="6">
    <fb>45183</fb>
    <v>11</v>
  </rv>
  <rv s="6">
    <fb>395.18</fb>
    <v>10</v>
  </rv>
  <rv s="6">
    <fb>274.38</fb>
    <v>10</v>
  </rv>
  <rv s="6">
    <fb>58.46</fb>
    <v>10</v>
  </rv>
  <rv s="6">
    <fb>229.9</fb>
    <v>10</v>
  </rv>
  <rv s="6">
    <fb>154.77000000000001</fb>
    <v>10</v>
  </rv>
  <rv s="6">
    <fb>91.47</fb>
    <v>10</v>
  </rv>
  <rv s="6">
    <fb>31.04</fb>
    <v>10</v>
  </rv>
  <rv s="6">
    <fb>18.254999999999999</fb>
    <v>10</v>
  </rv>
  <rv s="6">
    <fb>311.72000000000003</fb>
    <v>10</v>
  </rv>
  <rv s="6">
    <fb>202.79</fb>
    <v>10</v>
  </rv>
  <rv s="6">
    <fb>262.85000000000002</fb>
    <v>10</v>
  </rv>
  <rv s="6">
    <fb>425.89</fb>
    <v>10</v>
  </rv>
  <rv s="6">
    <fb>138.1</fb>
    <v>10</v>
  </rv>
  <rv s="6">
    <fb>338.7</fb>
    <v>10</v>
  </rv>
  <rv s="6">
    <fb>45184</fb>
    <v>11</v>
  </rv>
  <rv s="6">
    <fb>392.12</fb>
    <v>10</v>
  </rv>
  <rv s="6">
    <fb>269.27999999999997</fb>
    <v>10</v>
  </rv>
  <rv s="6">
    <fb>57.94</fb>
    <v>10</v>
  </rv>
  <rv s="6">
    <fb>153.47</fb>
    <v>10</v>
  </rv>
  <rv s="6">
    <fb>33.450000000000003</fb>
    <v>10</v>
  </rv>
  <rv s="6">
    <fb>89.25</fb>
    <v>10</v>
  </rv>
  <rv s="6">
    <fb>30.85</fb>
    <v>10</v>
  </rv>
  <rv s="6">
    <fb>18.25</fb>
    <v>10</v>
  </rv>
  <rv s="6">
    <fb>300.31</fb>
    <v>10</v>
  </rv>
  <rv s="6">
    <fb>199.24</fb>
    <v>10</v>
  </rv>
  <rv s="6">
    <fb>260.33999999999997</fb>
    <v>10</v>
  </rv>
  <rv s="6">
    <fb>424.05</fb>
    <v>10</v>
  </rv>
  <rv s="6">
    <fb>137.4</fb>
    <v>10</v>
  </rv>
  <rv s="6">
    <fb>330.22</fb>
    <v>10</v>
  </rv>
  <rv s="6">
    <fb>45187</fb>
    <v>11</v>
  </rv>
  <rv s="6">
    <fb>395.86</fb>
    <v>10</v>
  </rv>
  <rv s="6">
    <fb>270.29000000000002</fb>
    <v>10</v>
  </rv>
  <rv s="6">
    <fb>228.08</fb>
    <v>10</v>
  </rv>
  <rv s="6">
    <fb>154.05000000000001</fb>
    <v>10</v>
  </rv>
  <rv s="6">
    <fb>33.42</fb>
    <v>10</v>
  </rv>
  <rv s="6">
    <fb>88.83</fb>
    <v>10</v>
  </rv>
  <rv s="6">
    <fb>31.1</fb>
    <v>10</v>
  </rv>
  <rv s="6">
    <fb>302.55</fb>
    <v>10</v>
  </rv>
  <rv s="6">
    <fb>197.7</fb>
    <v>10</v>
  </rv>
  <rv s="6">
    <fb>260.69</fb>
    <v>10</v>
  </rv>
  <rv s="6">
    <fb>429.86</fb>
    <v>10</v>
  </rv>
  <rv s="6">
    <fb>138.21</fb>
    <v>10</v>
  </rv>
  <rv s="6">
    <fb>329.06</fb>
    <v>10</v>
  </rv>
  <rv s="6">
    <fb>45188</fb>
    <v>11</v>
  </rv>
  <rv s="6">
    <fb>391.71</fb>
    <v>10</v>
  </rv>
  <rv s="6">
    <fb>271.91000000000003</fb>
    <v>10</v>
  </rv>
  <rv s="6">
    <fb>58.18</fb>
    <v>10</v>
  </rv>
  <rv s="6">
    <fb>226.85</fb>
    <v>10</v>
  </rv>
  <rv s="6">
    <fb>153.6</fb>
    <v>10</v>
  </rv>
  <rv s="6">
    <fb>33.94</fb>
    <v>10</v>
  </rv>
  <rv s="6">
    <fb>88.17</fb>
    <v>10</v>
  </rv>
  <rv s="6">
    <fb>305.07</fb>
    <v>10</v>
  </rv>
  <rv s="6">
    <fb>260</fb>
    <v>10</v>
  </rv>
  <rv s="6">
    <fb>425.31</fb>
    <v>10</v>
  </rv>
  <rv s="6">
    <fb>138.04</fb>
    <v>10</v>
  </rv>
  <rv s="6">
    <fb>328.65</fb>
    <v>10</v>
  </rv>
  <rv s="6">
    <fb>45189</fb>
    <v>11</v>
  </rv>
  <rv s="6">
    <fb>390.46</fb>
    <v>10</v>
  </rv>
  <rv s="6">
    <fb>266.22000000000003</fb>
    <v>10</v>
  </rv>
  <rv s="6">
    <fb>225.27</fb>
    <v>10</v>
  </rv>
  <rv s="6">
    <fb>34.020000000000003</fb>
    <v>10</v>
  </rv>
  <rv s="6">
    <fb>87.29</fb>
    <v>10</v>
  </rv>
  <rv s="6">
    <fb>19.350000000000001</fb>
    <v>10</v>
  </rv>
  <rv s="6">
    <fb>299.67</fb>
    <v>10</v>
  </rv>
  <rv s="6">
    <fb>195.25</fb>
    <v>10</v>
  </rv>
  <rv s="6">
    <fb>426.95</fb>
    <v>10</v>
  </rv>
  <rv s="6">
    <fb>133.74</fb>
    <v>10</v>
  </rv>
  <rv s="6">
    <fb>320.77</fb>
    <v>10</v>
  </rv>
  <rv s="6">
    <fb>45190</fb>
    <v>11</v>
  </rv>
  <rv s="6">
    <fb>381.61</fb>
    <v>10</v>
  </rv>
  <rv s="6">
    <fb>255.91</fb>
    <v>10</v>
  </rv>
  <rv s="6">
    <fb>57.54</fb>
    <v>10</v>
  </rv>
  <rv s="6">
    <fb>220.67</fb>
    <v>10</v>
  </rv>
  <rv s="6">
    <fb>34.49</fb>
    <v>10</v>
  </rv>
  <rv s="6">
    <fb>85.36</fb>
    <v>10</v>
  </rv>
  <rv s="6">
    <fb>31.02</fb>
    <v>10</v>
  </rv>
  <rv s="6">
    <fb>19.309999999999999</fb>
    <v>10</v>
  </rv>
  <rv s="6">
    <fb>295.73</fb>
    <v>10</v>
  </rv>
  <rv s="6">
    <fb>186.47</fb>
    <v>10</v>
  </rv>
  <rv s="6">
    <fb>256.47000000000003</fb>
    <v>10</v>
  </rv>
  <rv s="6">
    <fb>417.54</fb>
    <v>10</v>
  </rv>
  <rv s="6">
    <fb>130.44</fb>
    <v>10</v>
  </rv>
  <rv s="6">
    <fb>319.52999999999997</fb>
    <v>10</v>
  </rv>
  <rv s="6">
    <fb>45191</fb>
    <v>11</v>
  </rv>
  <rv s="6">
    <fb>387.3</fb>
    <v>10</v>
  </rv>
  <rv s="6">
    <fb>254.29</fb>
    <v>10</v>
  </rv>
  <rv s="6">
    <fb>57.6</fb>
    <v>10</v>
  </rv>
  <rv s="6">
    <fb>223.94</fb>
    <v>10</v>
  </rv>
  <rv s="6">
    <fb>151.58000000000001</fb>
    <v>10</v>
  </rv>
  <rv s="6">
    <fb>34.159999999999997</fb>
    <v>10</v>
  </rv>
  <rv s="6">
    <fb>85.64</fb>
    <v>10</v>
  </rv>
  <rv s="6">
    <fb>31.2</fb>
    <v>10</v>
  </rv>
  <rv s="6">
    <fb>19.98</fb>
    <v>10</v>
  </rv>
  <rv s="6">
    <fb>299.08</fb>
    <v>10</v>
  </rv>
  <rv s="6">
    <fb>188.45</fb>
    <v>10</v>
  </rv>
  <rv s="6">
    <fb>256.02999999999997</fb>
    <v>10</v>
  </rv>
  <rv s="6">
    <fb>413.65</fb>
    <v>10</v>
  </rv>
  <rv s="6">
    <fb>130.25</fb>
    <v>10</v>
  </rv>
  <rv s="6">
    <fb>317.01</fb>
    <v>10</v>
  </rv>
  <rv s="6">
    <fb>45194</fb>
    <v>11</v>
  </rv>
  <rv s="6">
    <fb>391.51</fb>
    <v>10</v>
  </rv>
  <rv s="6">
    <fb>255.68</fb>
    <v>10</v>
  </rv>
  <rv s="6">
    <fb>57</fb>
    <v>10</v>
  </rv>
  <rv s="6">
    <fb>225.73</fb>
    <v>10</v>
  </rv>
  <rv s="6">
    <fb>34.32</fb>
    <v>10</v>
  </rv>
  <rv s="6">
    <fb>86.24</fb>
    <v>10</v>
  </rv>
  <rv s="6">
    <fb>19.88</fb>
    <v>10</v>
  </rv>
  <rv s="6">
    <fb>300.83</fb>
    <v>10</v>
  </rv>
  <rv s="6">
    <fb>187.58</fb>
    <v>10</v>
  </rv>
  <rv s="6">
    <fb>256.45</fb>
    <v>10</v>
  </rv>
  <rv s="6">
    <fb>412.9</fb>
    <v>10</v>
  </rv>
  <rv s="6">
    <fb>131.11000000000001</fb>
    <v>10</v>
  </rv>
  <rv s="6">
    <fb>317.54000000000002</fb>
    <v>10</v>
  </rv>
  <rv s="6">
    <fb>45195</fb>
    <v>11</v>
  </rv>
  <rv s="6">
    <fb>383.89</fb>
    <v>10</v>
  </rv>
  <rv s="6">
    <fb>253.45</fb>
    <v>10</v>
  </rv>
  <rv s="6">
    <fb>56.53</fb>
    <v>10</v>
  </rv>
  <rv s="6">
    <fb>223.23</fb>
    <v>10</v>
  </rv>
  <rv s="6">
    <fb>149.32</fb>
    <v>10</v>
  </rv>
  <rv s="6">
    <fb>34.5</fb>
    <v>10</v>
  </rv>
  <rv s="6">
    <fb>84.29</fb>
    <v>10</v>
  </rv>
  <rv s="6">
    <fb>30.62</fb>
    <v>10</v>
  </rv>
  <rv s="6">
    <fb>20.09</fb>
    <v>10</v>
  </rv>
  <rv s="6">
    <fb>298.95999999999998</fb>
    <v>10</v>
  </rv>
  <rv s="6">
    <fb>184.85</fb>
    <v>10</v>
  </rv>
  <rv s="6">
    <fb>253.4</fb>
    <v>10</v>
  </rv>
  <rv s="6">
    <fb>408.75</fb>
    <v>10</v>
  </rv>
  <rv s="6">
    <fb>128.565</fb>
    <v>10</v>
  </rv>
  <rv s="6">
    <fb>312.14</fb>
    <v>10</v>
  </rv>
  <rv s="6">
    <fb>45196</fb>
    <v>11</v>
  </rv>
  <rv s="6">
    <fb>391.11</fb>
    <v>10</v>
  </rv>
  <rv s="6">
    <fb>255.06</fb>
    <v>10</v>
  </rv>
  <rv s="6">
    <fb>55.95</fb>
    <v>10</v>
  </rv>
  <rv s="6">
    <fb>217.9</fb>
    <v>10</v>
  </rv>
  <rv s="6">
    <fb>147.34</fb>
    <v>10</v>
  </rv>
  <rv s="6">
    <fb>34.03</fb>
    <v>10</v>
  </rv>
  <rv s="6">
    <fb>85.44</fb>
    <v>10</v>
  </rv>
  <rv s="6">
    <fb>20.05</fb>
    <v>10</v>
  </rv>
  <rv s="6">
    <fb>297.74</fb>
    <v>10</v>
  </rv>
  <rv s="6">
    <fb>190.12</fb>
    <v>10</v>
  </rv>
  <rv s="6">
    <fb>250.59</fb>
    <v>10</v>
  </rv>
  <rv s="6">
    <fb>408.72</fb>
    <v>10</v>
  </rv>
  <rv s="6">
    <fb>130.54</fb>
    <v>10</v>
  </rv>
  <rv s="6">
    <fb>312.79000000000002</fb>
    <v>10</v>
  </rv>
  <rv s="6">
    <fb>45197</fb>
    <v>11</v>
  </rv>
  <rv s="6">
    <fb>392.43</fb>
    <v>10</v>
  </rv>
  <rv s="6">
    <fb>259.39</fb>
    <v>10</v>
  </rv>
  <rv s="6">
    <fb>55.81</fb>
    <v>10</v>
  </rv>
  <rv s="6">
    <fb>222.19</fb>
    <v>10</v>
  </rv>
  <rv s="6">
    <fb>146.34</fb>
    <v>10</v>
  </rv>
  <rv s="6">
    <fb>86.41</fb>
    <v>10</v>
  </rv>
  <rv s="6">
    <fb>30.57</fb>
    <v>10</v>
  </rv>
  <rv s="6">
    <fb>20.64</fb>
    <v>10</v>
  </rv>
  <rv s="6">
    <fb>303.95999999999998</fb>
    <v>10</v>
  </rv>
  <rv s="6">
    <fb>188.92</fb>
    <v>10</v>
  </rv>
  <rv s="6">
    <fb>251.61</fb>
    <v>10</v>
  </rv>
  <rv s="6">
    <fb>410.96</fb>
    <v>10</v>
  </rv>
  <rv s="6">
    <fb>132.31</fb>
    <v>10</v>
  </rv>
  <rv s="6">
    <fb>313.64</fb>
    <v>10</v>
  </rv>
  <rv s="6">
    <fb>45198</fb>
    <v>11</v>
  </rv>
  <rv s="6">
    <fb>389.52</fb>
    <v>10</v>
  </rv>
  <rv s="6">
    <fb>259.26</fb>
    <v>10</v>
  </rv>
  <rv s="6">
    <fb>55.98</fb>
    <v>10</v>
  </rv>
  <rv s="6">
    <fb>219.42</fb>
    <v>10</v>
  </rv>
  <rv s="6">
    <fb>145.86000000000001</fb>
    <v>10</v>
  </rv>
  <rv s="6">
    <fb>33.64</fb>
    <v>10</v>
  </rv>
  <rv s="6">
    <fb>86.9</fb>
    <v>10</v>
  </rv>
  <rv s="6">
    <fb>19.91</fb>
    <v>10</v>
  </rv>
  <rv s="6">
    <fb>300.20999999999998</fb>
    <v>10</v>
  </rv>
  <rv s="6">
    <fb>251.33</fb>
    <v>10</v>
  </rv>
  <rv s="6">
    <fb>408.96</fb>
    <v>10</v>
  </rv>
  <rv s="6">
    <fb>130.86000000000001</fb>
    <v>10</v>
  </rv>
  <rv s="6">
    <fb>315.75</fb>
    <v>10</v>
  </rv>
  <rv s="6">
    <fb>45201</fb>
    <v>11</v>
  </rv>
  <rv s="6">
    <fb>385.24</fb>
    <v>10</v>
  </rv>
  <rv s="6">
    <fb>251.73</fb>
    <v>10</v>
  </rv>
  <rv s="6">
    <fb>55.48</fb>
    <v>10</v>
  </rv>
  <rv s="6">
    <fb>215.5</fb>
    <v>10</v>
  </rv>
  <rv s="6">
    <fb>145.19</fb>
    <v>10</v>
  </rv>
  <rv s="6">
    <fb>87.65</fb>
    <v>10</v>
  </rv>
  <rv s="6">
    <fb>20.49</fb>
    <v>10</v>
  </rv>
  <rv s="6">
    <fb>306.82</fb>
    <v>10</v>
  </rv>
  <rv s="6">
    <fb>176.64</fb>
    <v>10</v>
  </rv>
  <rv s="6">
    <fb>248.64</fb>
    <v>10</v>
  </rv>
  <rv s="6">
    <fb>407.82</fb>
    <v>10</v>
  </rv>
  <rv s="6">
    <fb>134.16999999999999</fb>
    <v>10</v>
  </rv>
  <rv s="6">
    <fb>321.8</fb>
    <v>10</v>
  </rv>
  <rv s="6">
    <fb>45202</fb>
    <v>11</v>
  </rv>
  <rv s="6">
    <fb>381.95</fb>
    <v>10</v>
  </rv>
  <rv s="6">
    <fb>251.13</fb>
    <v>10</v>
  </rv>
  <rv s="6">
    <fb>54.88</fb>
    <v>10</v>
  </rv>
  <rv s="6">
    <fb>218.28</fb>
    <v>10</v>
  </rv>
  <rv s="6">
    <fb>145.49</fb>
    <v>10</v>
  </rv>
  <rv s="6">
    <fb>85.41</fb>
    <v>10</v>
  </rv>
  <rv s="6">
    <fb>300.94</fb>
    <v>10</v>
  </rv>
  <rv s="6">
    <fb>169.37</fb>
    <v>10</v>
  </rv>
  <rv s="6">
    <fb>403.83</fb>
    <v>10</v>
  </rv>
  <rv s="6">
    <fb>132.43</fb>
    <v>10</v>
  </rv>
  <rv s="6">
    <fb>313.39</fb>
    <v>10</v>
  </rv>
  <rv s="6">
    <fb>45203</fb>
    <v>11</v>
  </rv>
  <rv s="6">
    <fb>384.59</fb>
    <v>10</v>
  </rv>
  <rv s="6">
    <fb>255.76</fb>
    <v>10</v>
  </rv>
  <rv s="6">
    <fb>55.04</fb>
    <v>10</v>
  </rv>
  <rv s="6">
    <fb>222.56</fb>
    <v>10</v>
  </rv>
  <rv s="6">
    <fb>145.97</fb>
    <v>10</v>
  </rv>
  <rv s="6">
    <fb>33.28</fb>
    <v>10</v>
  </rv>
  <rv s="6">
    <fb>86.67</fb>
    <v>10</v>
  </rv>
  <rv s="6">
    <fb>20.07</fb>
    <v>10</v>
  </rv>
  <rv s="6">
    <fb>305.58</fb>
    <v>10</v>
  </rv>
  <rv s="6">
    <fb>171.75</fb>
    <v>10</v>
  </rv>
  <rv s="6">
    <fb>249.36</fb>
    <v>10</v>
  </rv>
  <rv s="6">
    <fb>401.33</fb>
    <v>10</v>
  </rv>
  <rv s="6">
    <fb>135.24</fb>
    <v>10</v>
  </rv>
  <rv s="6">
    <fb>318.95499999999998</fb>
    <v>10</v>
  </rv>
  <rv s="6">
    <fb>45204</fb>
    <v>11</v>
  </rv>
  <rv s="6">
    <fb>383.68</fb>
    <v>10</v>
  </rv>
  <rv s="6">
    <fb>258.13</fb>
    <v>10</v>
  </rv>
  <rv s="6">
    <fb>52.38</fb>
    <v>10</v>
  </rv>
  <rv s="6">
    <fb>222.46</fb>
    <v>10</v>
  </rv>
  <rv s="6">
    <fb>143.80000000000001</fb>
    <v>10</v>
  </rv>
  <rv s="6">
    <fb>32.32</fb>
    <v>10</v>
  </rv>
  <rv s="6">
    <fb>87.03</fb>
    <v>10</v>
  </rv>
  <rv s="6">
    <fb>19.489999999999998</fb>
    <v>10</v>
  </rv>
  <rv s="6">
    <fb>304.79000000000002</fb>
    <v>10</v>
  </rv>
  <rv s="6">
    <fb>168.23</fb>
    <v>10</v>
  </rv>
  <rv s="6">
    <fb>241.33</fb>
    <v>10</v>
  </rv>
  <rv s="6">
    <fb>397.35</fb>
    <v>10</v>
  </rv>
  <rv s="6">
    <fb>135.07</fb>
    <v>10</v>
  </rv>
  <rv s="6">
    <fb>319.36</fb>
    <v>10</v>
  </rv>
  <rv s="6">
    <fb>45205</fb>
    <v>11</v>
  </rv>
  <rv s="6">
    <fb>391.72</fb>
    <v>10</v>
  </rv>
  <rv s="6">
    <fb>262.33</fb>
    <v>10</v>
  </rv>
  <rv s="6">
    <fb>53.14</fb>
    <v>10</v>
  </rv>
  <rv s="6">
    <fb>224.23</fb>
    <v>10</v>
  </rv>
  <rv s="6">
    <fb>144.09</fb>
    <v>10</v>
  </rv>
  <rv s="6">
    <fb>32.03</fb>
    <v>10</v>
  </rv>
  <rv s="6">
    <fb>20.190000000000001</fb>
    <v>10</v>
  </rv>
  <rv s="6">
    <fb>315.43</fb>
    <v>10</v>
  </rv>
  <rv s="6">
    <fb>172.71</fb>
    <v>10</v>
  </rv>
  <rv s="6">
    <fb>236.61</fb>
    <v>10</v>
  </rv>
  <rv s="6">
    <fb>400.73</fb>
    <v>10</v>
  </rv>
  <rv s="6">
    <fb>327.26</fb>
    <v>10</v>
  </rv>
  <rv s="6">
    <fb>45208</fb>
    <v>11</v>
  </rv>
  <rv s="6">
    <fb>395.41</fb>
    <v>10</v>
  </rv>
  <rv s="6">
    <fb>264.2</fb>
    <v>10</v>
  </rv>
  <rv s="6">
    <fb>52.88</fb>
    <v>10</v>
  </rv>
  <rv s="6">
    <fb>143.36000000000001</fb>
    <v>10</v>
  </rv>
  <rv s="6">
    <fb>31.08</fb>
    <v>10</v>
  </rv>
  <rv s="6">
    <fb>20.5</fb>
    <v>10</v>
  </rv>
  <rv s="6">
    <fb>318.36</fb>
    <v>10</v>
  </rv>
  <rv s="6">
    <fb>173.89</fb>
    <v>10</v>
  </rv>
  <rv s="6">
    <fb>235.09</fb>
    <v>10</v>
  </rv>
  <rv s="6">
    <fb>436.53</fb>
    <v>10</v>
  </rv>
  <rv s="6">
    <fb>138.41999999999999</fb>
    <v>10</v>
  </rv>
  <rv s="6">
    <fb>329.82</fb>
    <v>10</v>
  </rv>
  <rv s="6">
    <fb>45209</fb>
    <v>11</v>
  </rv>
  <rv s="6">
    <fb>397.26</fb>
    <v>10</v>
  </rv>
  <rv s="6">
    <fb>263.37</fb>
    <v>10</v>
  </rv>
  <rv s="6">
    <fb>54.03</fb>
    <v>10</v>
  </rv>
  <rv s="6">
    <fb>227.52</fb>
    <v>10</v>
  </rv>
  <rv s="6">
    <fb>144.78</fb>
    <v>10</v>
  </rv>
  <rv s="6">
    <fb>32.47</fb>
    <v>10</v>
  </rv>
  <rv s="6">
    <fb>90.61</fb>
    <v>10</v>
  </rv>
  <rv s="6">
    <fb>31.54</fb>
    <v>10</v>
  </rv>
  <rv s="6">
    <fb>21.454999999999998</fb>
    <v>10</v>
  </rv>
  <rv s="6">
    <fb>321.83999999999997</fb>
    <v>10</v>
  </rv>
  <rv s="6">
    <fb>177.63</fb>
    <v>10</v>
  </rv>
  <rv s="6">
    <fb>237.9</fb>
    <v>10</v>
  </rv>
  <rv s="6">
    <fb>435.1</fb>
    <v>10</v>
  </rv>
  <rv s="6">
    <fb>138.06</fb>
    <v>10</v>
  </rv>
  <rv s="6">
    <fb>45210</fb>
    <v>11</v>
  </rv>
  <rv s="6">
    <fb>407.29</fb>
    <v>10</v>
  </rv>
  <rv s="6">
    <fb>267.57</fb>
    <v>10</v>
  </rv>
  <rv s="6">
    <fb>53.71</fb>
    <v>10</v>
  </rv>
  <rv s="6">
    <fb>143</fb>
    <v>10</v>
  </rv>
  <rv s="6">
    <fb>32.44</fb>
    <v>10</v>
  </rv>
  <rv s="6">
    <fb>22.25</fb>
    <v>10</v>
  </rv>
  <rv s="6">
    <fb>327.82</fb>
    <v>10</v>
  </rv>
  <rv s="6">
    <fb>179.32</fb>
    <v>10</v>
  </rv>
  <rv s="6">
    <fb>239</fb>
    <v>10</v>
  </rv>
  <rv s="6">
    <fb>436.65</fb>
    <v>10</v>
  </rv>
  <rv s="6">
    <fb>140.55000000000001</fb>
    <v>10</v>
  </rv>
  <rv s="6">
    <fb>332.42</fb>
    <v>10</v>
  </rv>
  <rv s="6">
    <fb>45211</fb>
    <v>11</v>
  </rv>
  <rv s="6">
    <fb>406.87</fb>
    <v>10</v>
  </rv>
  <rv s="6">
    <fb>257.95999999999998</fb>
    <v>10</v>
  </rv>
  <rv s="6">
    <fb>52.81</fb>
    <v>10</v>
  </rv>
  <rv s="6">
    <fb>219.69</fb>
    <v>10</v>
  </rv>
  <rv s="6">
    <fb>143.32</fb>
    <v>10</v>
  </rv>
  <rv s="6">
    <fb>92.42</fb>
    <v>10</v>
  </rv>
  <rv s="6">
    <fb>31.16</fb>
    <v>10</v>
  </rv>
  <rv s="6">
    <fb>22.69</fb>
    <v>10</v>
  </rv>
  <rv s="6">
    <fb>324.16000000000003</fb>
    <v>10</v>
  </rv>
  <rv s="6">
    <fb>177.91</fb>
    <v>10</v>
  </rv>
  <rv s="6">
    <fb>228.39</fb>
    <v>10</v>
  </rv>
  <rv s="6">
    <fb>434.14</fb>
    <v>10</v>
  </rv>
  <rv s="6">
    <fb>138.97</fb>
    <v>10</v>
  </rv>
  <rv s="6">
    <fb>331.16</fb>
    <v>10</v>
  </rv>
  <rv s="6">
    <fb>45212</fb>
    <v>11</v>
  </rv>
  <rv s="6">
    <fb>392.93</fb>
    <v>10</v>
  </rv>
  <rv s="6">
    <fb>256.22000000000003</fb>
    <v>10</v>
  </rv>
  <rv s="6">
    <fb>52.89</fb>
    <v>10</v>
  </rv>
  <rv s="6">
    <fb>222.32</fb>
    <v>10</v>
  </rv>
  <rv s="6">
    <fb>144.69</fb>
    <v>10</v>
  </rv>
  <rv s="6">
    <fb>31.43</fb>
    <v>10</v>
  </rv>
  <rv s="6">
    <fb>90.46</fb>
    <v>10</v>
  </rv>
  <rv s="6">
    <fb>31.14</fb>
    <v>10</v>
  </rv>
  <rv s="6">
    <fb>23.12</fb>
    <v>10</v>
  </rv>
  <rv s="6">
    <fb>314.69</fb>
    <v>10</v>
  </rv>
  <rv s="6">
    <fb>173.53</fb>
    <v>10</v>
  </rv>
  <rv s="6">
    <fb>231.69</fb>
    <v>10</v>
  </rv>
  <rv s="6">
    <fb>441.06</fb>
    <v>10</v>
  </rv>
  <rv s="6">
    <fb>137.36000000000001</fb>
    <v>10</v>
  </rv>
  <rv s="6">
    <fb>327.73</fb>
    <v>10</v>
  </rv>
  <rv s="6">
    <fb>45215</fb>
    <v>11</v>
  </rv>
  <rv s="6">
    <fb>396.99</fb>
    <v>10</v>
  </rv>
  <rv s="6">
    <fb>264.08</fb>
    <v>10</v>
  </rv>
  <rv s="6">
    <fb>53.43</fb>
    <v>10</v>
  </rv>
  <rv s="6">
    <fb>224.04</fb>
    <v>10</v>
  </rv>
  <rv s="6">
    <fb>146.07</fb>
    <v>10</v>
  </rv>
  <rv s="6">
    <fb>31.58</fb>
    <v>10</v>
  </rv>
  <rv s="6">
    <fb>31.41</fb>
    <v>10</v>
  </rv>
  <rv s="6">
    <fb>23.45</fb>
    <v>10</v>
  </rv>
  <rv s="6">
    <fb>321.14999999999998</fb>
    <v>10</v>
  </rv>
  <rv s="6">
    <fb>176.38</fb>
    <v>10</v>
  </rv>
  <rv s="6">
    <fb>234.79</fb>
    <v>10</v>
  </rv>
  <rv s="6">
    <fb>440.41</fb>
    <v>10</v>
  </rv>
  <rv s="6">
    <fb>139.095</fb>
    <v>10</v>
  </rv>
  <rv s="6">
    <fb>332.64</fb>
    <v>10</v>
  </rv>
  <rv s="6">
    <fb>45216</fb>
    <v>11</v>
  </rv>
  <rv s="6">
    <fb>402.83</fb>
    <v>10</v>
  </rv>
  <rv s="6">
    <fb>264.75</fb>
    <v>10</v>
  </rv>
  <rv s="6">
    <fb>54.07</fb>
    <v>10</v>
  </rv>
  <rv s="6">
    <fb>223.04</fb>
    <v>10</v>
  </rv>
  <rv s="6">
    <fb>146.26</fb>
    <v>10</v>
  </rv>
  <rv s="6">
    <fb>31.51</fb>
    <v>10</v>
  </rv>
  <rv s="6">
    <fb>91</fb>
    <v>10</v>
  </rv>
  <rv s="6">
    <fb>31.37</fb>
    <v>10</v>
  </rv>
  <rv s="6">
    <fb>24.24</fb>
    <v>10</v>
  </rv>
  <rv s="6">
    <fb>324</fb>
    <v>10</v>
  </rv>
  <rv s="6">
    <fb>179.4</fb>
    <v>10</v>
  </rv>
  <rv s="6">
    <fb>237.8</fb>
    <v>10</v>
  </rv>
  <rv s="6">
    <fb>441.13</fb>
    <v>10</v>
  </rv>
  <rv s="6">
    <fb>139.72</fb>
    <v>10</v>
  </rv>
  <rv s="6">
    <fb>332.06</fb>
    <v>10</v>
  </rv>
  <rv s="6">
    <fb>45217</fb>
    <v>11</v>
  </rv>
  <rv s="6">
    <fb>378.98</fb>
    <v>10</v>
  </rv>
  <rv s="6">
    <fb>256.72000000000003</fb>
    <v>10</v>
  </rv>
  <rv s="6">
    <fb>54.05</fb>
    <v>10</v>
  </rv>
  <rv s="6">
    <fb>221.94</fb>
    <v>10</v>
  </rv>
  <rv s="6">
    <fb>150.03</fb>
    <v>10</v>
  </rv>
  <rv s="6">
    <fb>31.73</fb>
    <v>10</v>
  </rv>
  <rv s="6">
    <fb>23.85</fb>
    <v>10</v>
  </rv>
  <rv s="6">
    <fb>316.97000000000003</fb>
    <v>10</v>
  </rv>
  <rv s="6">
    <fb>233.43</fb>
    <v>10</v>
  </rv>
  <rv s="6">
    <fb>446.07</fb>
    <v>10</v>
  </rv>
  <rv s="6">
    <fb>137.96</fb>
    <v>10</v>
  </rv>
  <rv s="6">
    <fb>45218</fb>
    <v>11</v>
  </rv>
  <rv s="6">
    <fb>374.98</fb>
    <v>10</v>
  </rv>
  <rv s="6">
    <fb>246.62</fb>
    <v>10</v>
  </rv>
  <rv s="6">
    <fb>54.35</fb>
    <v>10</v>
  </rv>
  <rv s="6">
    <fb>216.9</fb>
    <v>10</v>
  </rv>
  <rv s="6">
    <fb>148.25</fb>
    <v>10</v>
  </rv>
  <rv s="6">
    <fb>31.45</fb>
    <v>10</v>
  </rv>
  <rv s="6">
    <fb>92.91</fb>
    <v>10</v>
  </rv>
  <rv s="6">
    <fb>23.395</fb>
    <v>10</v>
  </rv>
  <rv s="6">
    <fb>312.81</fb>
    <v>10</v>
  </rv>
  <rv s="6">
    <fb>168.74</fb>
    <v>10</v>
  </rv>
  <rv s="6">
    <fb>233.2</fb>
    <v>10</v>
  </rv>
  <rv s="6">
    <fb>449.18</fb>
    <v>10</v>
  </rv>
  <rv s="6">
    <fb>137.75</fb>
    <v>10</v>
  </rv>
  <rv s="6">
    <fb>331.32</fb>
    <v>10</v>
  </rv>
  <rv s="6">
    <fb>45219</fb>
    <v>11</v>
  </rv>
  <rv s="6">
    <fb>372.92</fb>
    <v>10</v>
  </rv>
  <rv s="6">
    <fb>246.18</fb>
    <v>10</v>
  </rv>
  <rv s="6">
    <fb>54.57</fb>
    <v>10</v>
  </rv>
  <rv s="6">
    <fb>217.05</fb>
    <v>10</v>
  </rv>
  <rv s="6">
    <fb>148.05000000000001</fb>
    <v>10</v>
  </rv>
  <rv s="6">
    <fb>91.31</fb>
    <v>10</v>
  </rv>
  <rv s="6">
    <fb>30.76</fb>
    <v>10</v>
  </rv>
  <rv s="6">
    <fb>23.46</fb>
    <v>10</v>
  </rv>
  <rv s="6">
    <fb>164.7</fb>
    <v>10</v>
  </rv>
  <rv s="6">
    <fb>230.39</fb>
    <v>10</v>
  </rv>
  <rv s="6">
    <fb>444.17</fb>
    <v>10</v>
  </rv>
  <rv s="6">
    <fb>135.6</fb>
    <v>10</v>
  </rv>
  <rv s="6">
    <fb>326.67</fb>
    <v>10</v>
  </rv>
  <rv s="6">
    <fb>45222</fb>
    <v>11</v>
  </rv>
  <rv s="6">
    <fb>366.87</fb>
    <v>10</v>
  </rv>
  <rv s="6">
    <fb>241.53</fb>
    <v>10</v>
  </rv>
  <rv s="6">
    <fb>54.08</fb>
    <v>10</v>
  </rv>
  <rv s="6">
    <fb>214.77</fb>
    <v>10</v>
  </rv>
  <rv s="6">
    <fb>148.15</fb>
    <v>10</v>
  </rv>
  <rv s="6">
    <fb>31.12</fb>
    <v>10</v>
  </rv>
  <rv s="6">
    <fb>22.28</fb>
    <v>10</v>
  </rv>
  <rv s="6">
    <fb>314.01</fb>
    <v>10</v>
  </rv>
  <rv s="6">
    <fb>165.47</fb>
    <v>10</v>
  </rv>
  <rv s="6">
    <fb>446.16</fb>
    <v>10</v>
  </rv>
  <rv s="6">
    <fb>136.5</fb>
    <v>10</v>
  </rv>
  <rv s="6">
    <fb>329.32</fb>
    <v>10</v>
  </rv>
  <rv s="6">
    <fb>45223</fb>
    <v>11</v>
  </rv>
  <rv s="6">
    <fb>373.28</fb>
    <v>10</v>
  </rv>
  <rv s="6">
    <fb>241.55</fb>
    <v>10</v>
  </rv>
  <rv s="6">
    <fb>55.64</fb>
    <v>10</v>
  </rv>
  <rv s="6">
    <fb>217.21</fb>
    <v>10</v>
  </rv>
  <rv s="6">
    <fb>149.9</fb>
    <v>10</v>
  </rv>
  <rv s="6">
    <fb>31.71</fb>
    <v>10</v>
  </rv>
  <rv s="6">
    <fb>29.68</fb>
    <v>10</v>
  </rv>
  <rv s="6">
    <fb>22.31</fb>
    <v>10</v>
  </rv>
  <rv s="6">
    <fb>312.55</fb>
    <v>10</v>
  </rv>
  <rv s="6">
    <fb>167.25</fb>
    <v>10</v>
  </rv>
  <rv s="6">
    <fb>234.67</fb>
    <v>10</v>
  </rv>
  <rv s="6">
    <fb>440.9</fb>
    <v>10</v>
  </rv>
  <rv s="6">
    <fb>138.81</fb>
    <v>10</v>
  </rv>
  <rv s="6">
    <fb>330.53</fb>
    <v>10</v>
  </rv>
  <rv s="6">
    <fb>45224</fb>
    <v>11</v>
  </rv>
  <rv s="6">
    <fb>367.52</fb>
    <v>10</v>
  </rv>
  <rv s="6">
    <fb>237.15</fb>
    <v>10</v>
  </rv>
  <rv s="6">
    <fb>56.12</fb>
    <v>10</v>
  </rv>
  <rv s="6">
    <fb>213</fb>
    <v>10</v>
  </rv>
  <rv s="6">
    <fb>150.6</fb>
    <v>10</v>
  </rv>
  <rv s="6">
    <fb>32.08</fb>
    <v>10</v>
  </rv>
  <rv s="6">
    <fb>29.6</fb>
    <v>10</v>
  </rv>
  <rv s="6">
    <fb>22.58</fb>
    <v>10</v>
  </rv>
  <rv s="6">
    <fb>299.52999999999997</fb>
    <v>10</v>
  </rv>
  <rv s="6">
    <fb>234.02</fb>
    <v>10</v>
  </rv>
  <rv s="6">
    <fb>447.69</fb>
    <v>10</v>
  </rv>
  <rv s="6">
    <fb>125.61</fb>
    <v>10</v>
  </rv>
  <rv s="6">
    <fb>340.67</fb>
    <v>10</v>
  </rv>
  <rv s="6">
    <fb>45225</fb>
    <v>11</v>
  </rv>
  <rv s="6">
    <fb>369.96</fb>
    <v>10</v>
  </rv>
  <rv s="6">
    <fb>237.43</fb>
    <v>10</v>
  </rv>
  <rv s="6">
    <fb>55.78</fb>
    <v>10</v>
  </rv>
  <rv s="6">
    <fb>149.80000000000001</fb>
    <v>10</v>
  </rv>
  <rv s="6">
    <fb>87.45</fb>
    <v>10</v>
  </rv>
  <rv s="6">
    <fb>22.38</fb>
    <v>10</v>
  </rv>
  <rv s="6">
    <fb>288.35000000000002</fb>
    <v>10</v>
  </rv>
  <rv s="6">
    <fb>445.97</fb>
    <v>10</v>
  </rv>
  <rv s="6">
    <fb>122.28</fb>
    <v>10</v>
  </rv>
  <rv s="6">
    <fb>327.89</fb>
    <v>10</v>
  </rv>
  <rv s="6">
    <fb>45226</fb>
    <v>11</v>
  </rv>
  <rv s="6">
    <fb>366.24</fb>
    <v>10</v>
  </rv>
  <rv s="6">
    <fb>248.78</fb>
    <v>10</v>
  </rv>
  <rv s="6">
    <fb>55.24</fb>
    <v>10</v>
  </rv>
  <rv s="6">
    <fb>209.39</fb>
    <v>10</v>
  </rv>
  <rv s="6">
    <fb>147.16</fb>
    <v>10</v>
  </rv>
  <rv s="6">
    <fb>85.99</fb>
    <v>10</v>
  </rv>
  <rv s="6">
    <fb>29.24</fb>
    <v>10</v>
  </rv>
  <rv s="6">
    <fb>22.05</fb>
    <v>10</v>
  </rv>
  <rv s="6">
    <fb>296.73</fb>
    <v>10</v>
  </rv>
  <rv s="6">
    <fb>164.87</fb>
    <v>10</v>
  </rv>
  <rv s="6">
    <fb>229.62</fb>
    <v>10</v>
  </rv>
  <rv s="6">
    <fb>443.39</fb>
    <v>10</v>
  </rv>
  <rv s="6">
    <fb>122.17</fb>
    <v>10</v>
  </rv>
  <rv s="6">
    <fb>329.81</fb>
    <v>10</v>
  </rv>
  <rv s="6">
    <fb>45229</fb>
    <v>11</v>
  </rv>
  <rv s="6">
    <fb>369.55</fb>
    <v>10</v>
  </rv>
  <rv s="6">
    <fb>254.98</fb>
    <v>10</v>
  </rv>
  <rv s="6">
    <fb>56.15</fb>
    <v>10</v>
  </rv>
  <rv s="6">
    <fb>209.1</fb>
    <v>10</v>
  </rv>
  <rv s="6">
    <fb>149.26</fb>
    <v>10</v>
  </rv>
  <rv s="6">
    <fb>31.62</fb>
    <v>10</v>
  </rv>
  <rv s="6">
    <fb>86.06</fb>
    <v>10</v>
  </rv>
  <rv s="6">
    <fb>29.4</fb>
    <v>10</v>
  </rv>
  <rv s="6">
    <fb>22.94</fb>
    <v>10</v>
  </rv>
  <rv s="6">
    <fb>302.66000000000003</fb>
    <v>10</v>
  </rv>
  <rv s="6">
    <fb>164.76</fb>
    <v>10</v>
  </rv>
  <rv s="6">
    <fb>234.1</fb>
    <v>10</v>
  </rv>
  <rv s="6">
    <fb>445.84</fb>
    <v>10</v>
  </rv>
  <rv s="6">
    <fb>124.46</fb>
    <v>10</v>
  </rv>
  <rv s="6">
    <fb>337.31</fb>
    <v>10</v>
  </rv>
  <rv s="6">
    <fb>45230</fb>
    <v>11</v>
  </rv>
  <rv s="6">
    <fb>368.91</fb>
    <v>10</v>
  </rv>
  <rv s="6">
    <fb>254.09</fb>
    <v>10</v>
  </rv>
  <rv s="6">
    <fb>56.49</fb>
    <v>10</v>
  </rv>
  <rv s="6">
    <fb>209.98</fb>
    <v>10</v>
  </rv>
  <rv s="6">
    <fb>31.46</fb>
    <v>10</v>
  </rv>
  <rv s="6">
    <fb>86.31</fb>
    <v>10</v>
  </rv>
  <rv s="6">
    <fb>22.68</fb>
    <v>10</v>
  </rv>
  <rv s="6">
    <fb>301.27</fb>
    <v>10</v>
  </rv>
  <rv s="6">
    <fb>167.12</fb>
    <v>10</v>
  </rv>
  <rv s="6">
    <fb>234.15</fb>
    <v>10</v>
  </rv>
  <rv s="6">
    <fb>454.64</fb>
    <v>10</v>
  </rv>
  <rv s="6">
    <fb>124.08</fb>
    <v>10</v>
  </rv>
  <rv s="6">
    <fb>338.11</fb>
    <v>10</v>
  </rv>
  <rv s="6">
    <fb>45231</fb>
    <v>11</v>
  </rv>
  <rv s="6">
    <fb>370.47</fb>
    <v>10</v>
  </rv>
  <rv s="6">
    <fb>255.89</fb>
    <v>10</v>
  </rv>
  <rv s="6">
    <fb>56.44</fb>
    <v>10</v>
  </rv>
  <rv s="6">
    <fb>212.95</fb>
    <v>10</v>
  </rv>
  <rv s="6">
    <fb>149.61000000000001</fb>
    <v>10</v>
  </rv>
  <rv s="6">
    <fb>87.8</fb>
    <v>10</v>
  </rv>
  <rv s="6">
    <fb>29.57</fb>
    <v>10</v>
  </rv>
  <rv s="6">
    <fb>22.96</fb>
    <v>10</v>
  </rv>
  <rv s="6">
    <fb>311.85000000000002</fb>
    <v>10</v>
  </rv>
  <rv s="6">
    <fb>234.21</fb>
    <v>10</v>
  </rv>
  <rv s="6">
    <fb>452.38</fb>
    <v>10</v>
  </rv>
  <rv s="6">
    <fb>126.45</fb>
    <v>10</v>
  </rv>
  <rv s="6">
    <fb>346.07</fb>
    <v>10</v>
  </rv>
  <rv s="6">
    <fb>45232</fb>
    <v>11</v>
  </rv>
  <rv s="6">
    <fb>404.58</fb>
    <v>10</v>
  </rv>
  <rv s="6">
    <fb>263.35000000000002</fb>
    <v>10</v>
  </rv>
  <rv s="6">
    <fb>57.09</fb>
    <v>10</v>
  </rv>
  <rv s="6">
    <fb>212.85</fb>
    <v>10</v>
  </rv>
  <rv s="6">
    <fb>151.44</fb>
    <v>10</v>
  </rv>
  <rv s="6">
    <fb>33.51</fb>
    <v>10</v>
  </rv>
  <rv s="6">
    <fb>27.85</fb>
    <v>10</v>
  </rv>
  <rv s="6">
    <fb>310.87</fb>
    <v>10</v>
  </rv>
  <rv s="6">
    <fb>175.08</fb>
    <v>10</v>
  </rv>
  <rv s="6">
    <fb>238</fb>
    <v>10</v>
  </rv>
  <rv s="6">
    <fb>458.04</fb>
    <v>10</v>
  </rv>
  <rv s="6">
    <fb>127.49</fb>
    <v>10</v>
  </rv>
  <rv s="6">
    <fb>348.32</fb>
    <v>10</v>
  </rv>
  <rv s="6">
    <fb>45233</fb>
    <v>11</v>
  </rv>
  <rv s="6">
    <fb>401.19</fb>
    <v>10</v>
  </rv>
  <rv s="6">
    <fb>56.74</fb>
    <v>10</v>
  </rv>
  <rv s="6">
    <fb>217.23</fb>
    <v>10</v>
  </rv>
  <rv s="6">
    <fb>150.07</fb>
    <v>10</v>
  </rv>
  <rv s="6">
    <fb>33.270000000000003</fb>
    <v>10</v>
  </rv>
  <rv s="6">
    <fb>30.4</fb>
    <v>10</v>
  </rv>
  <rv s="6">
    <fb>25.35</fb>
    <v>10</v>
  </rv>
  <rv s="6">
    <fb>314.60000000000002</fb>
    <v>10</v>
  </rv>
  <rv s="6">
    <fb>169.18</fb>
    <v>10</v>
  </rv>
  <rv s="6">
    <fb>241.68</fb>
    <v>10</v>
  </rv>
  <rv s="6">
    <fb>453.34</fb>
    <v>10</v>
  </rv>
  <rv s="6">
    <fb>129.1</fb>
    <v>10</v>
  </rv>
  <rv s="6">
    <fb>352.8</fb>
    <v>10</v>
  </rv>
  <rv s="6">
    <fb>45236</fb>
    <v>11</v>
  </rv>
  <rv s="6">
    <fb>406.14</fb>
    <v>10</v>
  </rv>
  <rv s="6">
    <fb>267.95999999999998</fb>
    <v>10</v>
  </rv>
  <rv s="6">
    <fb>56.97</fb>
    <v>10</v>
  </rv>
  <rv s="6">
    <fb>217.5</fb>
    <v>10</v>
  </rv>
  <rv s="6">
    <fb>150.94</fb>
    <v>10</v>
  </rv>
  <rv s="6">
    <fb>33.29</fb>
    <v>10</v>
  </rv>
  <rv s="6">
    <fb>92.6</fb>
    <v>10</v>
  </rv>
  <rv s="6">
    <fb>30.38</fb>
    <v>10</v>
  </rv>
  <rv s="6">
    <fb>25.45</fb>
    <v>10</v>
  </rv>
  <rv s="6">
    <fb>315.8</fb>
    <v>10</v>
  </rv>
  <rv s="6">
    <fb>168.46</fb>
    <v>10</v>
  </rv>
  <rv s="6">
    <fb>241.56</fb>
    <v>10</v>
  </rv>
  <rv s="6">
    <fb>451.16</fb>
    <v>10</v>
  </rv>
  <rv s="6">
    <fb>356.53</fb>
    <v>10</v>
  </rv>
  <rv s="6">
    <fb>45237</fb>
    <v>11</v>
  </rv>
  <rv s="6">
    <fb>407.08</fb>
    <v>10</v>
  </rv>
  <rv s="6">
    <fb>264.86</fb>
    <v>10</v>
  </rv>
  <rv s="6">
    <fb>57.18</fb>
    <v>10</v>
  </rv>
  <rv s="6">
    <fb>150.59</fb>
    <v>10</v>
  </rv>
  <rv s="6">
    <fb>30.35</fb>
    <v>10</v>
  </rv>
  <rv s="6">
    <fb>25.34</fb>
    <v>10</v>
  </rv>
  <rv s="6">
    <fb>318.82</fb>
    <v>10</v>
  </rv>
  <rv s="6">
    <fb>165.08</fb>
    <v>10</v>
  </rv>
  <rv s="6">
    <fb>242.52</fb>
    <v>10</v>
  </rv>
  <rv s="6">
    <fb>450.15</fb>
    <v>10</v>
  </rv>
  <rv s="6">
    <fb>130.97</fb>
    <v>10</v>
  </rv>
  <rv s="6">
    <fb>360.53</fb>
    <v>10</v>
  </rv>
  <rv s="6">
    <fb>45238</fb>
    <v>11</v>
  </rv>
  <rv s="6">
    <fb>410.66</fb>
    <v>10</v>
  </rv>
  <rv s="6">
    <fb>262.60000000000002</fb>
    <v>10</v>
  </rv>
  <rv s="6">
    <fb>206.32</fb>
    <v>10</v>
  </rv>
  <rv s="6">
    <fb>150.01</fb>
    <v>10</v>
  </rv>
  <rv s="6">
    <fb>30.37</fb>
    <v>10</v>
  </rv>
  <rv s="6">
    <fb>24.49</fb>
    <v>10</v>
  </rv>
  <rv s="6">
    <fb>319.77999999999997</fb>
    <v>10</v>
  </rv>
  <rv s="6">
    <fb>241.5</fb>
    <v>10</v>
  </rv>
  <rv s="6">
    <fb>444.66</fb>
    <v>10</v>
  </rv>
  <rv s="6">
    <fb>131.84</fb>
    <v>10</v>
  </rv>
  <rv s="6">
    <fb>363.2</fb>
    <v>10</v>
  </rv>
  <rv s="6">
    <fb>45239</fb>
    <v>11</v>
  </rv>
  <rv s="6">
    <fb>412.82</fb>
    <v>10</v>
  </rv>
  <rv s="6">
    <fb>56.66</fb>
    <v>10</v>
  </rv>
  <rv s="6">
    <fb>200.73</fb>
    <v>10</v>
  </rv>
  <rv s="6">
    <fb>150.35</fb>
    <v>10</v>
  </rv>
  <rv s="6">
    <fb>91.62</fb>
    <v>10</v>
  </rv>
  <rv s="6">
    <fb>30.17</fb>
    <v>10</v>
  </rv>
  <rv s="6">
    <fb>24.26</fb>
    <v>10</v>
  </rv>
  <rv s="6">
    <fb>320.55</fb>
    <v>10</v>
  </rv>
  <rv s="6">
    <fb>169.57</fb>
    <v>10</v>
  </rv>
  <rv s="6">
    <fb>238.95</fb>
    <v>10</v>
  </rv>
  <rv s="6">
    <fb>442.46</fb>
    <v>10</v>
  </rv>
  <rv s="6">
    <fb>130.24</fb>
    <v>10</v>
  </rv>
  <rv s="6">
    <fb>360.69</fb>
    <v>10</v>
  </rv>
  <rv s="6">
    <fb>45240</fb>
    <v>11</v>
  </rv>
  <rv s="6">
    <fb>419.45</fb>
    <v>10</v>
  </rv>
  <rv s="6">
    <fb>268.52</fb>
    <v>10</v>
  </rv>
  <rv s="6">
    <fb>56.72</fb>
    <v>10</v>
  </rv>
  <rv s="6">
    <fb>199.32</fb>
    <v>10</v>
  </rv>
  <rv s="6">
    <fb>151.41</fb>
    <v>10</v>
  </rv>
  <rv s="6">
    <fb>32.89</fb>
    <v>10</v>
  </rv>
  <rv s="6">
    <fb>97.44</fb>
    <v>10</v>
  </rv>
  <rv s="6">
    <fb>30.7</fb>
    <v>10</v>
  </rv>
  <rv s="6">
    <fb>23.92</fb>
    <v>10</v>
  </rv>
  <rv s="6">
    <fb>328.77</fb>
    <v>10</v>
  </rv>
  <rv s="6">
    <fb>174.07</fb>
    <v>10</v>
  </rv>
  <rv s="6">
    <fb>239.32</fb>
    <v>10</v>
  </rv>
  <rv s="6">
    <fb>444.87</fb>
    <v>10</v>
  </rv>
  <rv s="6">
    <fb>132.59</fb>
    <v>10</v>
  </rv>
  <rv s="6">
    <fb>369.67</fb>
    <v>10</v>
  </rv>
  <rv s="6">
    <fb>45243</fb>
    <v>11</v>
  </rv>
  <rv s="6">
    <fb>419.43</fb>
    <v>10</v>
  </rv>
  <rv s="6">
    <fb>269.92</fb>
    <v>10</v>
  </rv>
  <rv s="6">
    <fb>56.93</fb>
    <v>10</v>
  </rv>
  <rv s="6">
    <fb>202.23</fb>
    <v>10</v>
  </rv>
  <rv s="6">
    <fb>33.24</fb>
    <v>10</v>
  </rv>
  <rv s="6">
    <fb>96.42</fb>
    <v>10</v>
  </rv>
  <rv s="6">
    <fb>23.75</fb>
    <v>10</v>
  </rv>
  <rv s="6">
    <fb>329.19</fb>
    <v>10</v>
  </rv>
  <rv s="6">
    <fb>176.24</fb>
    <v>10</v>
  </rv>
  <rv s="6">
    <fb>240.85</fb>
    <v>10</v>
  </rv>
  <rv s="6">
    <fb>445.03</fb>
    <v>10</v>
  </rv>
  <rv s="6">
    <fb>132.09</fb>
    <v>10</v>
  </rv>
  <rv s="6">
    <fb>366.68</fb>
    <v>10</v>
  </rv>
  <rv s="6">
    <fb>45244</fb>
    <v>11</v>
  </rv>
  <rv s="6">
    <fb>427.96</fb>
    <v>10</v>
  </rv>
  <rv s="6">
    <fb>281.39</fb>
    <v>10</v>
  </rv>
  <rv s="6">
    <fb>57.1</fb>
    <v>10</v>
  </rv>
  <rv s="6">
    <fb>205.66</fb>
    <v>10</v>
  </rv>
  <rv s="6">
    <fb>152.12</fb>
    <v>10</v>
  </rv>
  <rv s="6">
    <fb>33.58</fb>
    <v>10</v>
  </rv>
  <rv s="6">
    <fb>98.91</fb>
    <v>10</v>
  </rv>
  <rv s="6">
    <fb>24.55</fb>
    <v>10</v>
  </rv>
  <rv s="6">
    <fb>336.31</fb>
    <v>10</v>
  </rv>
  <rv s="6">
    <fb>241.89</fb>
    <v>10</v>
  </rv>
  <rv s="6">
    <fb>444.22</fb>
    <v>10</v>
  </rv>
  <rv s="6">
    <fb>133.62</fb>
    <v>10</v>
  </rv>
  <rv s="6">
    <fb>370.27</fb>
    <v>10</v>
  </rv>
  <rv s="6">
    <fb>45245</fb>
    <v>11</v>
  </rv>
  <rv s="6">
    <fb>429.08</fb>
    <v>10</v>
  </rv>
  <rv s="6">
    <fb>280.27999999999997</fb>
    <v>10</v>
  </rv>
  <rv s="6">
    <fb>57.21</fb>
    <v>10</v>
  </rv>
  <rv s="6">
    <fb>203.53</fb>
    <v>10</v>
  </rv>
  <rv s="6">
    <fb>151.41999999999999</fb>
    <v>10</v>
  </rv>
  <rv s="6">
    <fb>98.8</fb>
    <v>10</v>
  </rv>
  <rv s="6">
    <fb>30.99</fb>
    <v>10</v>
  </rv>
  <rv s="6">
    <fb>23.56</fb>
    <v>10</v>
  </rv>
  <rv s="6">
    <fb>332.71</fb>
    <v>10</v>
  </rv>
  <rv s="6">
    <fb>183.72</fb>
    <v>10</v>
  </rv>
  <rv s="6">
    <fb>239.54</fb>
    <v>10</v>
  </rv>
  <rv s="6">
    <fb>445.14</fb>
    <v>10</v>
  </rv>
  <rv s="6">
    <fb>134.62</fb>
    <v>10</v>
  </rv>
  <rv s="6">
    <fb>45246</fb>
    <v>11</v>
  </rv>
  <rv s="6">
    <fb>426.44</fb>
    <v>10</v>
  </rv>
  <rv s="6">
    <fb>273.45999999999998</fb>
    <v>10</v>
  </rv>
  <rv s="6">
    <fb>57.15</fb>
    <v>10</v>
  </rv>
  <rv s="6">
    <fb>203.42</fb>
    <v>10</v>
  </rv>
  <rv s="6">
    <fb>152.83000000000001</fb>
    <v>10</v>
  </rv>
  <rv s="6">
    <fb>33.81</fb>
    <v>10</v>
  </rv>
  <rv s="6">
    <fb>98.54</fb>
    <v>10</v>
  </rv>
  <rv s="6">
    <fb>31.33</fb>
    <v>10</v>
  </rv>
  <rv s="6">
    <fb>23.16</fb>
    <v>10</v>
  </rv>
  <rv s="6">
    <fb>334.19</fb>
    <v>10</v>
  </rv>
  <rv s="6">
    <fb>183.3</fb>
    <v>10</v>
  </rv>
  <rv s="6">
    <fb>236.59</fb>
    <v>10</v>
  </rv>
  <rv s="6">
    <fb>445.59</fb>
    <v>10</v>
  </rv>
  <rv s="6">
    <fb>136.93</fb>
    <v>10</v>
  </rv>
  <rv s="6">
    <fb>376.17</fb>
    <v>10</v>
  </rv>
  <rv s="6">
    <fb>45247</fb>
    <v>11</v>
  </rv>
  <rv s="6">
    <fb>432.64</fb>
    <v>10</v>
  </rv>
  <rv s="6">
    <fb>273.26</fb>
    <v>10</v>
  </rv>
  <rv s="6">
    <fb>57.26</fb>
    <v>10</v>
  </rv>
  <rv s="6">
    <fb>99.58</fb>
    <v>10</v>
  </rv>
  <rv s="6">
    <fb>23.09</fb>
    <v>10</v>
  </rv>
  <rv s="6">
    <fb>335.04</fb>
    <v>10</v>
  </rv>
  <rv s="6">
    <fb>183.11</fb>
    <v>10</v>
  </rv>
  <rv s="6">
    <fb>235.63</fb>
    <v>10</v>
  </rv>
  <rv s="6">
    <fb>444.68</fb>
    <v>10</v>
  </rv>
  <rv s="6">
    <fb>135.31</fb>
    <v>10</v>
  </rv>
  <rv s="6">
    <fb>369.85</fb>
    <v>10</v>
  </rv>
  <rv s="6">
    <fb>45250</fb>
    <v>11</v>
  </rv>
  <rv s="6">
    <fb>431.53</fb>
    <v>10</v>
  </rv>
  <rv s="6">
    <fb>274.36</fb>
    <v>10</v>
  </rv>
  <rv s="6">
    <fb>57.4</fb>
    <v>10</v>
  </rv>
  <rv s="6">
    <fb>199.8</fb>
    <v>10</v>
  </rv>
  <rv s="6">
    <fb>150.27000000000001</fb>
    <v>10</v>
  </rv>
  <rv s="6">
    <fb>33.79</fb>
    <v>10</v>
  </rv>
  <rv s="6">
    <fb>99.96</fb>
    <v>10</v>
  </rv>
  <rv s="6">
    <fb>32.06</fb>
    <v>10</v>
  </rv>
  <rv s="6">
    <fb>23.1</fb>
    <v>10</v>
  </rv>
  <rv s="6">
    <fb>339.97</fb>
    <v>10</v>
  </rv>
  <rv s="6">
    <fb>184.13</fb>
    <v>10</v>
  </rv>
  <rv s="6">
    <fb>236.95</fb>
    <v>10</v>
  </rv>
  <rv s="6">
    <fb>443.81</fb>
    <v>10</v>
  </rv>
  <rv s="6">
    <fb>136.25</fb>
    <v>10</v>
  </rv>
  <rv s="6">
    <fb>377.44</fb>
    <v>10</v>
  </rv>
  <rv s="6">
    <fb>45251</fb>
    <v>11</v>
  </rv>
  <rv s="6">
    <fb>432.92</fb>
    <v>10</v>
  </rv>
  <rv s="6">
    <fb>273.43</fb>
    <v>10</v>
  </rv>
  <rv s="6">
    <fb>58.03</fb>
    <v>10</v>
  </rv>
  <rv s="6">
    <fb>201.19</fb>
    <v>10</v>
  </rv>
  <rv s="6">
    <fb>34.15</fb>
    <v>10</v>
  </rv>
  <rv s="6">
    <fb>98.41</fb>
    <v>10</v>
  </rv>
  <rv s="6">
    <fb>32.25</fb>
    <v>10</v>
  </rv>
  <rv s="6">
    <fb>22.98</fb>
    <v>10</v>
  </rv>
  <rv s="6">
    <fb>336.98</fb>
    <v>10</v>
  </rv>
  <rv s="6">
    <fb>183.36</fb>
    <v>10</v>
  </rv>
  <rv s="6">
    <fb>234.27</fb>
    <v>10</v>
  </rv>
  <rv s="6">
    <fb>448.15</fb>
    <v>10</v>
  </rv>
  <rv s="6">
    <fb>136.97</fb>
    <v>10</v>
  </rv>
  <rv s="6">
    <fb>373.07</fb>
    <v>10</v>
  </rv>
  <rv s="6">
    <fb>45252</fb>
    <v>11</v>
  </rv>
  <rv s="6">
    <fb>431.23</fb>
    <v>10</v>
  </rv>
  <rv s="6">
    <fb>274.05</fb>
    <v>10</v>
  </rv>
  <rv s="6">
    <fb>58.42</fb>
    <v>10</v>
  </rv>
  <rv s="6">
    <fb>202.56</fb>
    <v>10</v>
  </rv>
  <rv s="6">
    <fb>151.02000000000001</fb>
    <v>10</v>
  </rv>
  <rv s="6">
    <fb>34.68</fb>
    <v>10</v>
  </rv>
  <rv s="6">
    <fb>98.65</fb>
    <v>10</v>
  </rv>
  <rv s="6">
    <fb>22.64</fb>
    <v>10</v>
  </rv>
  <rv s="6">
    <fb>341.49</fb>
    <v>10</v>
  </rv>
  <rv s="6">
    <fb>183.81</fb>
    <v>10</v>
  </rv>
  <rv s="6">
    <fb>239.04</fb>
    <v>10</v>
  </rv>
  <rv s="6">
    <fb>450.4</fb>
    <v>10</v>
  </rv>
  <rv s="6">
    <fb>138.49</fb>
    <v>10</v>
  </rv>
  <rv s="6">
    <fb>377.85</fb>
    <v>10</v>
  </rv>
  <rv s="6">
    <fb>45254</fb>
    <v>11</v>
  </rv>
  <rv s="6">
    <fb>433.67</fb>
    <v>10</v>
  </rv>
  <rv s="6">
    <fb>275.8</fb>
    <v>10</v>
  </rv>
  <rv s="6">
    <fb>58.57</fb>
    <v>10</v>
  </rv>
  <rv s="6">
    <fb>203.19</fb>
    <v>10</v>
  </rv>
  <rv s="6">
    <fb>151.38</fb>
    <v>10</v>
  </rv>
  <rv s="6">
    <fb>34.94</fb>
    <v>10</v>
  </rv>
  <rv s="6">
    <fb>97.83</fb>
    <v>10</v>
  </rv>
  <rv s="6">
    <fb>23.13</fb>
    <v>10</v>
  </rv>
  <rv s="6">
    <fb>338.23</fb>
    <v>10</v>
  </rv>
  <rv s="6">
    <fb>182.58</fb>
    <v>10</v>
  </rv>
  <rv s="6">
    <fb>238.37</fb>
    <v>10</v>
  </rv>
  <rv s="6">
    <fb>452.01</fb>
    <v>10</v>
  </rv>
  <rv s="6">
    <fb>136.69</fb>
    <v>10</v>
  </rv>
  <rv s="6">
    <fb>377.43</fb>
    <v>10</v>
  </rv>
  <rv s="6">
    <fb>45257</fb>
    <v>11</v>
  </rv>
  <rv s="6">
    <fb>431.92</fb>
    <v>10</v>
  </rv>
  <rv s="6">
    <fb>276.48</fb>
    <v>10</v>
  </rv>
  <rv s="6">
    <fb>201.4</fb>
    <v>10</v>
  </rv>
  <rv s="6">
    <fb>34.89</fb>
    <v>10</v>
  </rv>
  <rv s="6">
    <fb>97.21</fb>
    <v>10</v>
  </rv>
  <rv s="6">
    <fb>23.2</fb>
    <v>10</v>
  </rv>
  <rv s="6">
    <fb>334.7</fb>
    <v>10</v>
  </rv>
  <rv s="6">
    <fb>185.71</fb>
    <v>10</v>
  </rv>
  <rv s="6">
    <fb>237.99</fb>
    <v>10</v>
  </rv>
  <rv s="6">
    <fb>445.49</fb>
    <v>10</v>
  </rv>
  <rv s="6">
    <fb>136.41</fb>
    <v>10</v>
  </rv>
  <rv s="6">
    <fb>378.61</fb>
    <v>10</v>
  </rv>
  <rv s="6">
    <fb>45258</fb>
    <v>11</v>
  </rv>
  <rv s="6">
    <fb>426.53</fb>
    <v>10</v>
  </rv>
  <rv s="6">
    <fb>273.25</fb>
    <v>10</v>
  </rv>
  <rv s="6">
    <fb>58.58</fb>
    <v>10</v>
  </rv>
  <rv s="6">
    <fb>197.83</fb>
    <v>10</v>
  </rv>
  <rv s="6">
    <fb>152.29</fb>
    <v>10</v>
  </rv>
  <rv s="6">
    <fb>35.119999999999997</fb>
    <v>10</v>
  </rv>
  <rv s="6">
    <fb>97.98</fb>
    <v>10</v>
  </rv>
  <rv s="6">
    <fb>22.9</fb>
    <v>10</v>
  </rv>
  <rv s="6">
    <fb>338.99</fb>
    <v>10</v>
  </rv>
  <rv s="6">
    <fb>181.34</fb>
    <v>10</v>
  </rv>
  <rv s="6">
    <fb>241.77</fb>
    <v>10</v>
  </rv>
  <rv s="6">
    <fb>448.27</fb>
    <v>10</v>
  </rv>
  <rv s="6">
    <fb>137.19999999999999</fb>
    <v>10</v>
  </rv>
  <rv s="6">
    <fb>382.7</fb>
    <v>10</v>
  </rv>
  <rv s="6">
    <fb>45259</fb>
    <v>11</v>
  </rv>
  <rv s="6">
    <fb>428.06</fb>
    <v>10</v>
  </rv>
  <rv s="6">
    <fb>275.11</fb>
    <v>10</v>
  </rv>
  <rv s="6">
    <fb>58.23</fb>
    <v>10</v>
  </rv>
  <rv s="6">
    <fb>197.44</fb>
    <v>10</v>
  </rv>
  <rv s="6">
    <fb>151.13</fb>
    <v>10</v>
  </rv>
  <rv s="6">
    <fb>35.08</fb>
    <v>10</v>
  </rv>
  <rv s="6">
    <fb>98.88</fb>
    <v>10</v>
  </rv>
  <rv s="6">
    <fb>23.14</fb>
    <v>10</v>
  </rv>
  <rv s="6">
    <fb>332.2</fb>
    <v>10</v>
  </rv>
  <rv s="6">
    <fb>185.61</fb>
    <v>10</v>
  </rv>
  <rv s="6">
    <fb>237.95</fb>
    <v>10</v>
  </rv>
  <rv s="6">
    <fb>445.01</fb>
    <v>10</v>
  </rv>
  <rv s="6">
    <fb>134.99</fb>
    <v>10</v>
  </rv>
  <rv s="6">
    <fb>378.85</fb>
    <v>10</v>
  </rv>
  <rv s="6">
    <fb>45260</fb>
    <v>11</v>
  </rv>
  <rv s="6">
    <fb>433.18</fb>
    <v>10</v>
  </rv>
  <rv s="6">
    <fb>280.41000000000003</fb>
    <v>10</v>
  </rv>
  <rv s="6">
    <fb>200.94</fb>
    <v>10</v>
  </rv>
  <rv s="6">
    <fb>153.52000000000001</fb>
    <v>10</v>
  </rv>
  <rv s="6">
    <fb>35.11</fb>
    <v>10</v>
  </rv>
  <rv s="6">
    <fb>97.31</fb>
    <v>10</v>
  </rv>
  <rv s="6">
    <fb>32.299999999999997</fb>
    <v>10</v>
  </rv>
  <rv s="6">
    <fb>22.77</fb>
    <v>10</v>
  </rv>
  <rv s="6">
    <fb>327.14999999999998</fb>
    <v>10</v>
  </rv>
  <rv s="6">
    <fb>188.31</fb>
    <v>10</v>
  </rv>
  <rv s="6">
    <fb>240.49</fb>
    <v>10</v>
  </rv>
  <rv s="6">
    <fb>447.77</fb>
    <v>10</v>
  </rv>
  <rv s="6">
    <fb>132.53</fb>
    <v>10</v>
  </rv>
  <rv s="6">
    <fb>378.91</fb>
    <v>10</v>
  </rv>
  <rv s="6">
    <fb>45261</fb>
    <v>11</v>
  </rv>
  <rv s="6">
    <fb>440.16</fb>
    <v>10</v>
  </rv>
  <rv s="6">
    <fb>286.20999999999998</fb>
    <v>10</v>
  </rv>
  <rv s="6">
    <fb>58.64</fb>
    <v>10</v>
  </rv>
  <rv s="6">
    <fb>203.51</fb>
    <v>10</v>
  </rv>
  <rv s="6">
    <fb>152.66</fb>
    <v>10</v>
  </rv>
  <rv s="6">
    <fb>35.520000000000003</fb>
    <v>10</v>
  </rv>
  <rv s="6">
    <fb>98.55</fb>
    <v>10</v>
  </rv>
  <rv s="6">
    <fb>33.4</fb>
    <v>10</v>
  </rv>
  <rv s="6">
    <fb>24.1</fb>
    <v>10</v>
  </rv>
  <rv s="6">
    <fb>324.82</fb>
    <v>10</v>
  </rv>
  <rv s="6">
    <fb>190.55</fb>
    <v>10</v>
  </rv>
  <rv s="6">
    <fb>241.95</fb>
    <v>10</v>
  </rv>
  <rv s="6">
    <fb>449.41</fb>
    <v>10</v>
  </rv>
  <rv s="6">
    <fb>131.86000000000001</fb>
    <v>10</v>
  </rv>
  <rv s="6">
    <fb>374.51</fb>
    <v>10</v>
  </rv>
  <rv s="6">
    <fb>45264</fb>
    <v>11</v>
  </rv>
  <rv s="6">
    <fb>438.15</fb>
    <v>10</v>
  </rv>
  <rv s="6">
    <fb>291.39</fb>
    <v>10</v>
  </rv>
  <rv s="6">
    <fb>199.27</fb>
    <v>10</v>
  </rv>
  <rv s="6">
    <fb>152.06</fb>
    <v>10</v>
  </rv>
  <rv s="6">
    <fb>35.82</fb>
    <v>10</v>
  </rv>
  <rv s="6">
    <fb>97.01</fb>
    <v>10</v>
  </rv>
  <rv s="6">
    <fb>23.53</fb>
    <v>10</v>
  </rv>
  <rv s="6">
    <fb>320.02</fb>
    <v>10</v>
  </rv>
  <rv s="6">
    <fb>189.64</fb>
    <v>10</v>
  </rv>
  <rv s="6">
    <fb>240.31</fb>
    <v>10</v>
  </rv>
  <rv s="6">
    <fb>369.14</fb>
    <v>10</v>
  </rv>
  <rv s="6">
    <fb>45265</fb>
    <v>11</v>
  </rv>
  <rv s="6">
    <fb>434.83</fb>
    <v>10</v>
  </rv>
  <rv s="6">
    <fb>288.17</fb>
    <v>10</v>
  </rv>
  <rv s="6">
    <fb>58.66</fb>
    <v>10</v>
  </rv>
  <rv s="6">
    <fb>198.55</fb>
    <v>10</v>
  </rv>
  <rv s="6">
    <fb>146.76</fb>
    <v>10</v>
  </rv>
  <rv s="6">
    <fb>35.840000000000003</fb>
    <v>10</v>
  </rv>
  <rv s="6">
    <fb>23.3</fb>
    <v>10</v>
  </rv>
  <rv s="6">
    <fb>318.29000000000002</fb>
    <v>10</v>
  </rv>
  <rv s="6">
    <fb>189.43</fb>
    <v>10</v>
  </rv>
  <rv s="6">
    <fb>236.66</fb>
    <v>10</v>
  </rv>
  <rv s="6">
    <fb>446.24</fb>
    <v>10</v>
  </rv>
  <rv s="6">
    <fb>130.99</fb>
    <v>10</v>
  </rv>
  <rv s="6">
    <fb>372.52</fb>
    <v>10</v>
  </rv>
  <rv s="6">
    <fb>45266</fb>
    <v>11</v>
  </rv>
  <rv s="6">
    <fb>434.32</fb>
    <v>10</v>
  </rv>
  <rv s="6">
    <fb>290.48</fb>
    <v>10</v>
  </rv>
  <rv s="6">
    <fb>58.6</fb>
    <v>10</v>
  </rv>
  <rv s="6">
    <fb>199.29</fb>
    <v>10</v>
  </rv>
  <rv s="6">
    <fb>146.65</fb>
    <v>10</v>
  </rv>
  <rv s="6">
    <fb>97.85</fb>
    <v>10</v>
  </rv>
  <rv s="6">
    <fb>23.4</fb>
    <v>10</v>
  </rv>
  <rv s="6">
    <fb>317.45</fb>
    <v>10</v>
  </rv>
  <rv s="6">
    <fb>191.85</fb>
    <v>10</v>
  </rv>
  <rv s="6">
    <fb>235.1</fb>
    <v>10</v>
  </rv>
  <rv s="6">
    <fb>368.8</fb>
    <v>10</v>
  </rv>
  <rv s="6">
    <fb>45267</fb>
    <v>11</v>
  </rv>
  <rv s="6">
    <fb>433.77</fb>
    <v>10</v>
  </rv>
  <rv s="6">
    <fb>294.12</fb>
    <v>10</v>
  </rv>
  <rv s="6">
    <fb>58.74</fb>
    <v>10</v>
  </rv>
  <rv s="6">
    <fb>201.99</fb>
    <v>10</v>
  </rv>
  <rv s="6">
    <fb>146.5</fb>
    <v>10</v>
  </rv>
  <rv s="6">
    <fb>36.5</fb>
    <v>10</v>
  </rv>
  <rv s="6">
    <fb>99.29</fb>
    <v>10</v>
  </rv>
  <rv s="6">
    <fb>33.5</fb>
    <v>10</v>
  </rv>
  <rv s="6">
    <fb>23.72</fb>
    <v>10</v>
  </rv>
  <rv s="6">
    <fb>326.58999999999997</fb>
    <v>10</v>
  </rv>
  <rv s="6">
    <fb>194.38</fb>
    <v>10</v>
  </rv>
  <rv s="6">
    <fb>235.86</fb>
    <v>10</v>
  </rv>
  <rv s="6">
    <fb>447.11</fb>
    <v>10</v>
  </rv>
  <rv s="6">
    <fb>370.95</fb>
    <v>10</v>
  </rv>
  <rv s="6">
    <fb>45268</fb>
    <v>11</v>
  </rv>
  <rv s="6">
    <fb>438.63</fb>
    <v>10</v>
  </rv>
  <rv s="6">
    <fb>58.61</fb>
    <v>10</v>
  </rv>
  <rv s="6">
    <fb>200.5</fb>
    <v>10</v>
  </rv>
  <rv s="6">
    <fb>145.15</fb>
    <v>10</v>
  </rv>
  <rv s="6">
    <fb>36.229999999999997</fb>
    <v>10</v>
  </rv>
  <rv s="6">
    <fb>100.35</fb>
    <v>10</v>
  </rv>
  <rv s="6">
    <fb>23.23</fb>
    <v>10</v>
  </rv>
  <rv s="6">
    <fb>332.75</fb>
    <v>10</v>
  </rv>
  <rv s="6">
    <fb>199.25</fb>
    <v>10</v>
  </rv>
  <rv s="6">
    <fb>234.44</fb>
    <v>10</v>
  </rv>
  <rv s="6">
    <fb>448.02</fb>
    <v>10</v>
  </rv>
  <rv s="6">
    <fb>374.23</fb>
    <v>10</v>
  </rv>
  <rv s="6">
    <fb>45271</fb>
    <v>11</v>
  </rv>
  <rv s="6">
    <fb>438.22</fb>
    <v>10</v>
  </rv>
  <rv s="6">
    <fb>295.56</fb>
    <v>10</v>
  </rv>
  <rv s="6">
    <fb>59.04</fb>
    <v>10</v>
  </rv>
  <rv s="6">
    <fb>201.69</fb>
    <v>10</v>
  </rv>
  <rv s="6">
    <fb>145.82</fb>
    <v>10</v>
  </rv>
  <rv s="6">
    <fb>36.78</fb>
    <v>10</v>
  </rv>
  <rv s="6">
    <fb>33.200000000000003</fb>
    <v>10</v>
  </rv>
  <rv s="6">
    <fb>24.03</fb>
    <v>10</v>
  </rv>
  <rv s="6">
    <fb>325.27999999999997</fb>
    <v>10</v>
  </rv>
  <rv s="6">
    <fb>201.76</fb>
    <v>10</v>
  </rv>
  <rv s="6">
    <fb>235.7</fb>
    <v>10</v>
  </rv>
  <rv s="6">
    <fb>451.26</fb>
    <v>10</v>
  </rv>
  <rv s="6">
    <fb>133.29</fb>
    <v>10</v>
  </rv>
  <rv s="6">
    <fb>371.3</fb>
    <v>10</v>
  </rv>
  <rv s="6">
    <fb>45272</fb>
    <v>11</v>
  </rv>
  <rv s="6">
    <fb>440.83</fb>
    <v>10</v>
  </rv>
  <rv s="6">
    <fb>295.35000000000002</fb>
    <v>10</v>
  </rv>
  <rv s="6">
    <fb>59.42</fb>
    <v>10</v>
  </rv>
  <rv s="6">
    <fb>201.58</fb>
    <v>10</v>
  </rv>
  <rv s="6">
    <fb>37.26</fb>
    <v>10</v>
  </rv>
  <rv s="6">
    <fb>101.6</fb>
    <v>10</v>
  </rv>
  <rv s="6">
    <fb>23.81</fb>
    <v>10</v>
  </rv>
  <rv s="6">
    <fb>235.83</fb>
    <v>10</v>
  </rv>
  <rv s="6">
    <fb>451.63</fb>
    <v>10</v>
  </rv>
  <rv s="6">
    <fb>132.52000000000001</fb>
    <v>10</v>
  </rv>
  <rv s="6">
    <fb>374.38</fb>
    <v>10</v>
  </rv>
  <rv s="6">
    <fb>45273</fb>
    <v>11</v>
  </rv>
  <rv s="6">
    <fb>441.54</fb>
    <v>10</v>
  </rv>
  <rv s="6">
    <fb>297.70999999999998</fb>
    <v>10</v>
  </rv>
  <rv s="6">
    <fb>59.93</fb>
    <v>10</v>
  </rv>
  <rv s="6">
    <fb>206.87</fb>
    <v>10</v>
  </rv>
  <rv s="6">
    <fb>148.58000000000001</fb>
    <v>10</v>
  </rv>
  <rv s="6">
    <fb>37.659999999999997</fb>
    <v>10</v>
  </rv>
  <rv s="6">
    <fb>102.12</fb>
    <v>10</v>
  </rv>
  <rv s="6">
    <fb>24.65</fb>
    <v>10</v>
  </rv>
  <rv s="6">
    <fb>334.74</fb>
    <v>10</v>
  </rv>
  <rv s="6">
    <fb>210.28</fb>
    <v>10</v>
  </rv>
  <rv s="6">
    <fb>242.59</fb>
    <v>10</v>
  </rv>
  <rv s="6">
    <fb>451.44</fb>
    <v>10</v>
  </rv>
  <rv s="6">
    <fb>132.57</fb>
    <v>10</v>
  </rv>
  <rv s="6">
    <fb>374.37</fb>
    <v>10</v>
  </rv>
  <rv s="6">
    <fb>45274</fb>
    <v>11</v>
  </rv>
  <rv s="6">
    <fb>455.41</fb>
    <v>10</v>
  </rv>
  <rv s="6">
    <fb>309.08999999999997</fb>
    <v>10</v>
  </rv>
  <rv s="6">
    <fb>210.45</fb>
    <v>10</v>
  </rv>
  <rv s="6">
    <fb>144.66</fb>
    <v>10</v>
  </rv>
  <rv s="6">
    <fb>37</fb>
    <v>10</v>
  </rv>
  <rv s="6">
    <fb>103.45</fb>
    <v>10</v>
  </rv>
  <rv s="6">
    <fb>24.52</fb>
    <v>10</v>
  </rv>
  <rv s="6">
    <fb>333.17</fb>
    <v>10</v>
  </rv>
  <rv s="6">
    <fb>241.03</fb>
    <v>10</v>
  </rv>
  <rv s="6">
    <fb>445.27</fb>
    <v>10</v>
  </rv>
  <rv s="6">
    <fb>131.94</fb>
    <v>10</v>
  </rv>
  <rv s="6">
    <fb>365.93</fb>
    <v>10</v>
  </rv>
  <rv s="6">
    <fb>45275</fb>
    <v>11</v>
  </rv>
  <rv s="6">
    <fb>453.6</fb>
    <v>10</v>
  </rv>
  <rv s="6">
    <fb>212.64</fb>
    <v>10</v>
  </rv>
  <rv s="6">
    <fb>36.590000000000003</fb>
    <v>10</v>
  </rv>
  <rv s="6">
    <fb>102.54</fb>
    <v>10</v>
  </rv>
  <rv s="6">
    <fb>34</fb>
    <v>10</v>
  </rv>
  <rv s="6">
    <fb>25.05</fb>
    <v>10</v>
  </rv>
  <rv s="6">
    <fb>334.92</fb>
    <v>10</v>
  </rv>
  <rv s="6">
    <fb>215.02</fb>
    <v>10</v>
  </rv>
  <rv s="6">
    <fb>236.46</fb>
    <v>10</v>
  </rv>
  <rv s="6">
    <fb>441.81</fb>
    <v>10</v>
  </rv>
  <rv s="6">
    <fb>132.6</fb>
    <v>10</v>
  </rv>
  <rv s="6">
    <fb>370.73</fb>
    <v>10</v>
  </rv>
  <rv s="6">
    <fb>45278</fb>
    <v>11</v>
  </rv>
  <rv s="6">
    <fb>453.49</fb>
    <v>10</v>
  </rv>
  <rv s="6">
    <fb>314.77</fb>
    <v>10</v>
  </rv>
  <rv s="6">
    <fb>59.02</fb>
    <v>10</v>
  </rv>
  <rv s="6">
    <fb>215.54</fb>
    <v>10</v>
  </rv>
  <rv s="6">
    <fb>146.16999999999999</fb>
    <v>10</v>
  </rv>
  <rv s="6">
    <fb>36.71</fb>
    <v>10</v>
  </rv>
  <rv s="6">
    <fb>102.93</fb>
    <v>10</v>
  </rv>
  <rv s="6">
    <fb>34.33</fb>
    <v>10</v>
  </rv>
  <rv s="6">
    <fb>24.6</fb>
    <v>10</v>
  </rv>
  <rv s="6">
    <fb>344.62</fb>
    <v>10</v>
  </rv>
  <rv s="6">
    <fb>215</fb>
    <v>10</v>
  </rv>
  <rv s="6">
    <fb>238.89</fb>
    <v>10</v>
  </rv>
  <rv s="6">
    <fb>446.91</fb>
    <v>10</v>
  </rv>
  <rv s="6">
    <fb>135.80000000000001</fb>
    <v>10</v>
  </rv>
  <rv s="6">
    <fb>372.65</fb>
    <v>10</v>
  </rv>
  <rv s="6">
    <fb>45279</fb>
    <v>11</v>
  </rv>
  <rv s="6">
    <fb>460.26</fb>
    <v>10</v>
  </rv>
  <rv s="6">
    <fb>313.08</fb>
    <v>10</v>
  </rv>
  <rv s="6">
    <fb>58.83</fb>
    <v>10</v>
  </rv>
  <rv s="6">
    <fb>219.05</fb>
    <v>10</v>
  </rv>
  <rv s="6">
    <fb>36.49</fb>
    <v>10</v>
  </rv>
  <rv s="6">
    <fb>103.87</fb>
    <v>10</v>
  </rv>
  <rv s="6">
    <fb>34.58</fb>
    <v>10</v>
  </rv>
  <rv s="6">
    <fb>25.46</fb>
    <v>10</v>
  </rv>
  <rv s="6">
    <fb>350.36</fb>
    <v>10</v>
  </rv>
  <rv s="6">
    <fb>217.71</fb>
    <v>10</v>
  </rv>
  <rv s="6">
    <fb>241.09</fb>
    <v>10</v>
  </rv>
  <rv s="6">
    <fb>447.79</fb>
    <v>10</v>
  </rv>
  <rv s="6">
    <fb>136.65</fb>
    <v>10</v>
  </rv>
  <rv s="6">
    <fb>373.26</fb>
    <v>10</v>
  </rv>
  <rv s="6">
    <fb>45280</fb>
    <v>11</v>
  </rv>
  <rv s="6">
    <fb>449.42</fb>
    <v>10</v>
  </rv>
  <rv s="6">
    <fb>309.45</fb>
    <v>10</v>
  </rv>
  <rv s="6">
    <fb>57.61</fb>
    <v>10</v>
  </rv>
  <rv s="6">
    <fb>214.95</fb>
    <v>10</v>
  </rv>
  <rv s="6">
    <fb>143.91</fb>
    <v>10</v>
  </rv>
  <rv s="6">
    <fb>35.75</fb>
    <v>10</v>
  </rv>
  <rv s="6">
    <fb>100.04</fb>
    <v>10</v>
  </rv>
  <rv s="6">
    <fb>34.36</fb>
    <v>10</v>
  </rv>
  <rv s="6">
    <fb>25.93</fb>
    <v>10</v>
  </rv>
  <rv s="6">
    <fb>349.28</fb>
    <v>10</v>
  </rv>
  <rv s="6">
    <fb>212.9</fb>
    <v>10</v>
  </rv>
  <rv s="6">
    <fb>235.07</fb>
    <v>10</v>
  </rv>
  <rv s="6">
    <fb>442.6</fb>
    <v>10</v>
  </rv>
  <rv s="6">
    <fb>138.34</fb>
    <v>10</v>
  </rv>
  <rv s="6">
    <fb>370.62</fb>
    <v>10</v>
  </rv>
  <rv s="6">
    <fb>45281</fb>
    <v>11</v>
  </rv>
  <rv s="6">
    <fb>455.9</fb>
    <v>10</v>
  </rv>
  <rv s="6">
    <fb>310.67</fb>
    <v>10</v>
  </rv>
  <rv s="6">
    <fb>57.99</fb>
    <v>10</v>
  </rv>
  <rv s="6">
    <fb>218.43</fb>
    <v>10</v>
  </rv>
  <rv s="6">
    <fb>144.26</fb>
    <v>10</v>
  </rv>
  <rv s="6">
    <fb>35.96</fb>
    <v>10</v>
  </rv>
  <rv s="6">
    <fb>102.55</fb>
    <v>10</v>
  </rv>
  <rv s="6">
    <fb>26.7</fb>
    <v>10</v>
  </rv>
  <rv s="6">
    <fb>354.09</fb>
    <v>10</v>
  </rv>
  <rv s="6">
    <fb>212.45</fb>
    <v>10</v>
  </rv>
  <rv s="6">
    <fb>235.87</fb>
    <v>10</v>
  </rv>
  <rv s="6">
    <fb>140.41999999999999</fb>
    <v>10</v>
  </rv>
  <rv s="6">
    <fb>373.54</fb>
    <v>10</v>
  </rv>
  <rv s="6">
    <fb>45282</fb>
    <v>11</v>
  </rv>
  <rv s="6">
    <fb>458.19</fb>
    <v>10</v>
  </rv>
  <rv s="6">
    <fb>312.06</fb>
    <v>10</v>
  </rv>
  <rv s="6">
    <fb>58.32</fb>
    <v>10</v>
  </rv>
  <rv s="6">
    <fb>219.79</fb>
    <v>10</v>
  </rv>
  <rv s="6">
    <fb>145.28</fb>
    <v>10</v>
  </rv>
  <rv s="6">
    <fb>34.630000000000003</fb>
    <v>10</v>
  </rv>
  <rv s="6">
    <fb>26.65</fb>
    <v>10</v>
  </rv>
  <rv s="6">
    <fb>353.39</fb>
    <v>10</v>
  </rv>
  <rv s="6">
    <fb>214.04</fb>
    <v>10</v>
  </rv>
  <rv s="6">
    <fb>237.88</fb>
    <v>10</v>
  </rv>
  <rv s="6">
    <fb>448.22</fb>
    <v>10</v>
  </rv>
  <rv s="6">
    <fb>141.49</fb>
    <v>10</v>
  </rv>
  <rv s="6">
    <fb>374.58</fb>
    <v>10</v>
  </rv>
  <rv s="6">
    <fb>45286</fb>
    <v>11</v>
  </rv>
  <rv s="6">
    <fb>461.46</fb>
    <v>10</v>
  </rv>
  <rv s="6">
    <fb>314.19</fb>
    <v>10</v>
  </rv>
  <rv s="6">
    <fb>58.56</fb>
    <v>10</v>
  </rv>
  <rv s="6">
    <fb>221.42</fb>
    <v>10</v>
  </rv>
  <rv s="6">
    <fb>104.45</fb>
    <v>10</v>
  </rv>
  <rv s="6">
    <fb>34.950000000000003</fb>
    <v>10</v>
  </rv>
  <rv s="6">
    <fb>26.81</fb>
    <v>10</v>
  </rv>
  <rv s="6">
    <fb>354.83</fb>
    <v>10</v>
  </rv>
  <rv s="6">
    <fb>214.66</fb>
    <v>10</v>
  </rv>
  <rv s="6">
    <fb>238.99</fb>
    <v>10</v>
  </rv>
  <rv s="6">
    <fb>450.18</fb>
    <v>10</v>
  </rv>
  <rv s="6">
    <fb>141.52000000000001</fb>
    <v>10</v>
  </rv>
  <rv s="6">
    <fb>374.66</fb>
    <v>10</v>
  </rv>
  <rv s="6">
    <fb>45287</fb>
    <v>11</v>
  </rv>
  <rv s="6">
    <fb>313.91000000000003</fb>
    <v>10</v>
  </rv>
  <rv s="6">
    <fb>58.71</fb>
    <v>10</v>
  </rv>
  <rv s="6">
    <fb>223.34</fb>
    <v>10</v>
  </rv>
  <rv s="6">
    <fb>146.06</fb>
    <v>10</v>
  </rv>
  <rv s="6">
    <fb>36.520000000000003</fb>
    <v>10</v>
  </rv>
  <rv s="6">
    <fb>104.65</fb>
    <v>10</v>
  </rv>
  <rv s="6">
    <fb>34.65</fb>
    <v>10</v>
  </rv>
  <rv s="6">
    <fb>26.9</fb>
    <v>10</v>
  </rv>
  <rv s="6">
    <fb>357.83</fb>
    <v>10</v>
  </rv>
  <rv s="6">
    <fb>215.95</fb>
    <v>10</v>
  </rv>
  <rv s="6">
    <fb>240.12</fb>
    <v>10</v>
  </rv>
  <rv s="6">
    <fb>448.97</fb>
    <v>10</v>
  </rv>
  <rv s="6">
    <fb>140.37</fb>
    <v>10</v>
  </rv>
  <rv s="6">
    <fb>374.07</fb>
    <v>10</v>
  </rv>
  <rv s="6">
    <fb>45288</fb>
    <v>11</v>
  </rv>
  <rv s="6">
    <fb>313.95</fb>
    <v>10</v>
  </rv>
  <rv s="6">
    <fb>58.75</fb>
    <v>10</v>
  </rv>
  <rv s="6">
    <fb>145.72999999999999</fb>
    <v>10</v>
  </rv>
  <rv s="6">
    <fb>36.74</fb>
    <v>10</v>
  </rv>
  <rv s="6">
    <fb>104.7</fb>
    <v>10</v>
  </rv>
  <rv s="6">
    <fb>34.74</fb>
    <v>10</v>
  </rv>
  <rv s="6">
    <fb>26.84</fb>
    <v>10</v>
  </rv>
  <rv s="6">
    <fb>358.32</fb>
    <v>10</v>
  </rv>
  <rv s="6">
    <fb>216.47</fb>
    <v>10</v>
  </rv>
  <rv s="6">
    <fb>242.16</fb>
    <v>10</v>
  </rv>
  <rv s="6">
    <fb>451.23</fb>
    <v>10</v>
  </rv>
  <rv s="6">
    <fb>140.22999999999999</fb>
    <v>10</v>
  </rv>
  <rv s="6">
    <fb>375.28</fb>
    <v>10</v>
  </rv>
  <rv s="6">
    <fb>45289</fb>
    <v>11</v>
  </rv>
  <rv s="6">
    <fb>460.7</fb>
    <v>10</v>
  </rv>
  <rv s="6">
    <fb>312.43</fb>
    <v>10</v>
  </rv>
  <rv s="6">
    <fb>58.93</fb>
    <v>10</v>
  </rv>
  <rv s="6">
    <fb>219.85</fb>
    <v>10</v>
  </rv>
  <rv s="6">
    <fb>146.54</fb>
    <v>10</v>
  </rv>
  <rv s="6">
    <fb>36.979999999999997</fb>
    <v>10</v>
  </rv>
  <rv s="6">
    <fb>104</fb>
    <v>10</v>
  </rv>
  <rv s="6">
    <fb>34.67</fb>
    <v>10</v>
  </rv>
  <rv s="6">
    <fb>26.96</fb>
    <v>10</v>
  </rv>
  <rv s="6">
    <fb>353.96</fb>
    <v>10</v>
  </rv>
  <rv s="6">
    <fb>241.75</fb>
    <v>10</v>
  </rv>
  <rv s="6">
    <fb>453.24</fb>
    <v>10</v>
  </rv>
  <rv s="6">
    <fb>139.69</fb>
    <v>10</v>
  </rv>
  <rv s="6">
    <fb>376.04</fb>
    <v>10</v>
  </rv>
  <rv s="6">
    <fb>45293</fb>
    <v>11</v>
  </rv>
  <rv s="6">
    <fb>458.61</fb>
    <v>10</v>
  </rv>
  <rv s="6">
    <fb>310</fb>
    <v>10</v>
  </rv>
  <rv s="6">
    <fb>217.08</fb>
    <v>10</v>
  </rv>
  <rv s="6">
    <fb>148.74</fb>
    <v>10</v>
  </rv>
  <rv s="6">
    <fb>101.53</fb>
    <v>10</v>
  </rv>
  <rv s="6">
    <fb>34.619999999999997</fb>
    <v>10</v>
  </rv>
  <rv s="6">
    <fb>26.1</fb>
    <v>10</v>
  </rv>
  <rv s="6">
    <fb>346.29</fb>
    <v>10</v>
  </rv>
  <rv s="6">
    <fb>209.27</fb>
    <v>10</v>
  </rv>
  <rv s="6">
    <fb>243.89</fb>
    <v>10</v>
  </rv>
  <rv s="6">
    <fb>456.12</fb>
    <v>10</v>
  </rv>
  <rv s="6">
    <fb>138.16999999999999</fb>
    <v>10</v>
  </rv>
  <rv s="6">
    <fb>370.87</fb>
    <v>10</v>
  </rv>
  <rv s="6">
    <fb>45294</fb>
    <v>11</v>
  </rv>
  <rv s="6">
    <fb>450.68</fb>
    <v>10</v>
  </rv>
  <rv s="6">
    <fb>301.57</fb>
    <v>10</v>
  </rv>
  <rv s="6">
    <fb>59.96</fb>
    <v>10</v>
  </rv>
  <rv s="6">
    <fb>147.84</fb>
    <v>10</v>
  </rv>
  <rv s="6">
    <fb>38.08</fb>
    <v>10</v>
  </rv>
  <rv s="6">
    <fb>100.17</fb>
    <v>10</v>
  </rv>
  <rv s="6">
    <fb>34.659999999999997</fb>
    <v>10</v>
  </rv>
  <rv s="6">
    <fb>26.08</fb>
    <v>10</v>
  </rv>
  <rv s="6">
    <fb>344.47</fb>
    <v>10</v>
  </rv>
  <rv s="6">
    <fb>201.74</fb>
    <v>10</v>
  </rv>
  <rv s="6">
    <fb>241.42</fb>
    <v>10</v>
  </rv>
  <rv s="6">
    <fb>459.12</fb>
    <v>10</v>
  </rv>
  <rv s="6">
    <fb>138.91999999999999</fb>
    <v>10</v>
  </rv>
  <rv s="6">
    <fb>370.6</fb>
    <v>10</v>
  </rv>
  <rv s="6">
    <fb>45295</fb>
    <v>11</v>
  </rv>
  <rv s="6">
    <fb>452.06</fb>
    <v>10</v>
  </rv>
  <rv s="6">
    <fb>216</fb>
    <v>10</v>
  </rv>
  <rv s="6">
    <fb>148.65</fb>
    <v>10</v>
  </rv>
  <rv s="6">
    <fb>37.78</fb>
    <v>10</v>
  </rv>
  <rv s="6">
    <fb>99.13</fb>
    <v>10</v>
  </rv>
  <rv s="6">
    <fb>34.72</fb>
    <v>10</v>
  </rv>
  <rv s="6">
    <fb>25.47</fb>
    <v>10</v>
  </rv>
  <rv s="6">
    <fb>347.12</fb>
    <v>10</v>
  </rv>
  <rv s="6">
    <fb>200.07</fb>
    <v>10</v>
  </rv>
  <rv s="6">
    <fb>242.33</fb>
    <v>10</v>
  </rv>
  <rv s="6">
    <fb>457.87</fb>
    <v>10</v>
  </rv>
  <rv s="6">
    <fb>136.38999999999999</fb>
    <v>10</v>
  </rv>
  <rv s="6">
    <fb>367.94</fb>
    <v>10</v>
  </rv>
  <rv s="6">
    <fb>45296</fb>
    <v>11</v>
  </rv>
  <rv s="6">
    <fb>453.55</fb>
    <v>10</v>
  </rv>
  <rv s="6">
    <fb>306.25</fb>
    <v>10</v>
  </rv>
  <rv s="6">
    <fb>59.67</fb>
    <v>10</v>
  </rv>
  <rv s="6">
    <fb>215.93</fb>
    <v>10</v>
  </rv>
  <rv s="6">
    <fb>147.41999999999999</fb>
    <v>10</v>
  </rv>
  <rv s="6">
    <fb>99.61</fb>
    <v>10</v>
  </rv>
  <rv s="6">
    <fb>25.78</fb>
    <v>10</v>
  </rv>
  <rv s="6">
    <fb>351.95</fb>
    <v>10</v>
  </rv>
  <rv s="6">
    <fb>199.08</fb>
    <v>10</v>
  </rv>
  <rv s="6">
    <fb>247.53</fb>
    <v>10</v>
  </rv>
  <rv s="6">
    <fb>456.5</fb>
    <v>10</v>
  </rv>
  <rv s="6">
    <fb>135.72999999999999</fb>
    <v>10</v>
  </rv>
  <rv s="6">
    <fb>367.75</fb>
    <v>10</v>
  </rv>
  <rv s="6">
    <fb>45299</fb>
    <v>11</v>
  </rv>
  <rv s="6">
    <fb>458.69</fb>
    <v>10</v>
  </rv>
  <rv s="6">
    <fb>309.52999999999997</fb>
    <v>10</v>
  </rv>
  <rv s="6">
    <fb>220.8</fb>
    <v>10</v>
  </rv>
  <rv s="6">
    <fb>38.25</fb>
    <v>10</v>
  </rv>
  <rv s="6">
    <fb>102.24</fb>
    <v>10</v>
  </rv>
  <rv s="6">
    <fb>34.69</fb>
    <v>10</v>
  </rv>
  <rv s="6">
    <fb>25.38</fb>
    <v>10</v>
  </rv>
  <rv s="6">
    <fb>358.66</fb>
    <v>10</v>
  </rv>
  <rv s="6">
    <fb>205.57</fb>
    <v>10</v>
  </rv>
  <rv s="6">
    <fb>250</fb>
    <v>10</v>
  </rv>
  <rv s="6">
    <fb>458.6</fb>
    <v>10</v>
  </rv>
  <rv s="6">
    <fb>138.84</fb>
    <v>10</v>
  </rv>
  <rv s="6">
    <fb>374.69</fb>
    <v>10</v>
  </rv>
  <rv s="6">
    <fb>45300</fb>
    <v>11</v>
  </rv>
  <rv s="6">
    <fb>457.46</fb>
    <v>10</v>
  </rv>
  <rv s="6">
    <fb>307.70999999999998</fb>
    <v>10</v>
  </rv>
  <rv s="6">
    <fb>221.98</fb>
    <v>10</v>
  </rv>
  <rv s="6">
    <fb>149.30000000000001</fb>
    <v>10</v>
  </rv>
  <rv s="6">
    <fb>38.549999999999997</fb>
    <v>10</v>
  </rv>
  <rv s="6">
    <fb>101.89</fb>
    <v>10</v>
  </rv>
  <rv s="6">
    <fb>34.61</fb>
    <v>10</v>
  </rv>
  <rv s="6">
    <fb>25.24</fb>
    <v>10</v>
  </rv>
  <rv s="6">
    <fb>357.43</fb>
    <v>10</v>
  </rv>
  <rv s="6">
    <fb>204.1</fb>
    <v>10</v>
  </rv>
  <rv s="6">
    <fb>253.54</fb>
    <v>10</v>
  </rv>
  <rv s="6">
    <fb>456.29</fb>
    <v>10</v>
  </rv>
  <rv s="6">
    <fb>375.79</fb>
    <v>10</v>
  </rv>
  <rv s="6">
    <fb>45301</fb>
    <v>11</v>
  </rv>
  <rv s="6">
    <fb>460.78</fb>
    <v>10</v>
  </rv>
  <rv s="6">
    <fb>305.98</fb>
    <v>10</v>
  </rv>
  <rv s="6">
    <fb>60.2</fb>
    <v>10</v>
  </rv>
  <rv s="6">
    <fb>223.99</fb>
    <v>10</v>
  </rv>
  <rv s="6">
    <fb>149.94</fb>
    <v>10</v>
  </rv>
  <rv s="6">
    <fb>37.89</fb>
    <v>10</v>
  </rv>
  <rv s="6">
    <fb>100.8</fb>
    <v>10</v>
  </rv>
  <rv s="6">
    <fb>34.700000000000003</fb>
    <v>10</v>
  </rv>
  <rv s="6">
    <fb>25.66</fb>
    <v>10</v>
  </rv>
  <rv s="6">
    <fb>203.64</fb>
    <v>10</v>
  </rv>
  <rv s="6">
    <fb>455.4</fb>
    <v>10</v>
  </rv>
  <rv s="6">
    <fb>142.28</fb>
    <v>10</v>
  </rv>
  <rv s="6">
    <fb>382.77</fb>
    <v>10</v>
  </rv>
  <rv s="6">
    <fb>45302</fb>
    <v>11</v>
  </rv>
  <rv s="6">
    <fb>462.64</fb>
    <v>10</v>
  </rv>
  <rv s="6">
    <fb>306.06</fb>
    <v>10</v>
  </rv>
  <rv s="6">
    <fb>222.62</fb>
    <v>10</v>
  </rv>
  <rv s="6">
    <fb>150.51</fb>
    <v>10</v>
  </rv>
  <rv s="6">
    <fb>37.58</fb>
    <v>10</v>
  </rv>
  <rv s="6">
    <fb>34.57</fb>
    <v>10</v>
  </rv>
  <rv s="6">
    <fb>25.16</fb>
    <v>10</v>
  </rv>
  <rv s="6">
    <fb>202.47</fb>
    <v>10</v>
  </rv>
  <rv s="6">
    <fb>257.42</fb>
    <v>10</v>
  </rv>
  <rv s="6">
    <fb>453.13</fb>
    <v>10</v>
  </rv>
  <rv s="6">
    <fb>142.08000000000001</fb>
    <v>10</v>
  </rv>
  <rv s="6">
    <fb>384.63</fb>
    <v>10</v>
  </rv>
  <rv s="6">
    <fb>45303</fb>
    <v>11</v>
  </rv>
  <rv s="6">
    <fb>460.32</fb>
    <v>10</v>
  </rv>
  <rv s="6">
    <fb>302.10000000000002</fb>
    <v>10</v>
  </rv>
  <rv s="6">
    <fb>223.4</fb>
    <v>10</v>
  </rv>
  <rv s="6">
    <fb>37.68</fb>
    <v>10</v>
  </rv>
  <rv s="6">
    <fb>101.24</fb>
    <v>10</v>
  </rv>
  <rv s="6">
    <fb>34.86</fb>
    <v>10</v>
  </rv>
  <rv s="6">
    <fb>25.48</fb>
    <v>10</v>
  </rv>
  <rv s="6">
    <fb>374.49</fb>
    <v>10</v>
  </rv>
  <rv s="6">
    <fb>202.46</fb>
    <v>10</v>
  </rv>
  <rv s="6">
    <fb>258.3</fb>
    <v>10</v>
  </rv>
  <rv s="6">
    <fb>463.18</fb>
    <v>10</v>
  </rv>
  <rv s="6">
    <fb>142.65</fb>
    <v>10</v>
  </rv>
  <rv s="6">
    <fb>388.47</fb>
    <v>10</v>
  </rv>
  <rv s="6">
    <fb>45307</fb>
    <v>11</v>
  </rv>
  <rv s="6">
    <fb>460.75</fb>
    <v>10</v>
  </rv>
  <rv s="6">
    <fb>300.88</fb>
    <v>10</v>
  </rv>
  <rv s="6">
    <fb>59.99</fb>
    <v>10</v>
  </rv>
  <rv s="6">
    <fb>221.27</fb>
    <v>10</v>
  </rv>
  <rv s="6">
    <fb>149.79</fb>
    <v>10</v>
  </rv>
  <rv s="6">
    <fb>37.61</fb>
    <v>10</v>
  </rv>
  <rv s="6">
    <fb>101.67</fb>
    <v>10</v>
  </rv>
  <rv s="6">
    <fb>25.03</fb>
    <v>10</v>
  </rv>
  <rv s="6">
    <fb>367.46</fb>
    <v>10</v>
  </rv>
  <rv s="6">
    <fb>201.37</fb>
    <v>10</v>
  </rv>
  <rv s="6">
    <fb>255.38</fb>
    <v>10</v>
  </rv>
  <rv s="6">
    <fb>457.84</fb>
    <v>10</v>
  </rv>
  <rv s="6">
    <fb>142.49</fb>
    <v>10</v>
  </rv>
  <rv s="6">
    <fb>390.27</fb>
    <v>10</v>
  </rv>
  <rv s="6">
    <fb>45308</fb>
    <v>11</v>
  </rv>
  <rv s="6">
    <fb>456.05</fb>
    <v>10</v>
  </rv>
  <rv s="6">
    <fb>309.60000000000002</fb>
    <v>10</v>
  </rv>
  <rv s="6">
    <fb>218.88</fb>
    <v>10</v>
  </rv>
  <rv s="6">
    <fb>102.95</fb>
    <v>10</v>
  </rv>
  <rv s="6">
    <fb>25.27</fb>
    <v>10</v>
  </rv>
  <rv s="6">
    <fb>368.37</fb>
    <v>10</v>
  </rv>
  <rv s="6">
    <fb>200.16</fb>
    <v>10</v>
  </rv>
  <rv s="6">
    <fb>252.66</fb>
    <v>10</v>
  </rv>
  <rv s="6">
    <fb>456.47</fb>
    <v>10</v>
  </rv>
  <rv s="6">
    <fb>141.47</fb>
    <v>10</v>
  </rv>
  <rv s="6">
    <fb>389.47</fb>
    <v>10</v>
  </rv>
  <rv s="6">
    <fb>45309</fb>
    <v>11</v>
  </rv>
  <rv s="6">
    <fb>465.7</fb>
    <v>10</v>
  </rv>
  <rv s="6">
    <fb>60.16</fb>
    <v>10</v>
  </rv>
  <rv s="6">
    <fb>220.47</fb>
    <v>10</v>
  </rv>
  <rv s="6">
    <fb>148.13999999999999</fb>
    <v>10</v>
  </rv>
  <rv s="6">
    <fb>37.01</fb>
    <v>10</v>
  </rv>
  <rv s="6">
    <fb>113.03</fb>
    <v>10</v>
  </rv>
  <rv s="6">
    <fb>34.450000000000003</fb>
    <v>10</v>
  </rv>
  <rv s="6">
    <fb>376.13</fb>
    <v>10</v>
  </rv>
  <rv s="6">
    <fb>201.91</fb>
    <v>10</v>
  </rv>
  <rv s="6">
    <fb>459.57</fb>
    <v>10</v>
  </rv>
  <rv s="6">
    <fb>143.47999999999999</fb>
    <v>10</v>
  </rv>
  <rv s="6">
    <fb>393.87</fb>
    <v>10</v>
  </rv>
  <rv s="6">
    <fb>45310</fb>
    <v>11</v>
  </rv>
  <rv s="6">
    <fb>470.37</fb>
    <v>10</v>
  </rv>
  <rv s="6">
    <fb>308.74</fb>
    <v>10</v>
  </rv>
  <rv s="6">
    <fb>221.43</fb>
    <v>10</v>
  </rv>
  <rv s="6">
    <fb>147.57</fb>
    <v>10</v>
  </rv>
  <rv s="6">
    <fb>37.08</fb>
    <v>10</v>
  </rv>
  <rv s="6">
    <fb>114.2</fb>
    <v>10</v>
  </rv>
  <rv s="6">
    <fb>25.37</fb>
    <v>10</v>
  </rv>
  <rv s="6">
    <fb>383.45</fb>
    <v>10</v>
  </rv>
  <rv s="6">
    <fb>202.43</fb>
    <v>10</v>
  </rv>
  <rv s="6">
    <fb>253.95</fb>
    <v>10</v>
  </rv>
  <rv s="6">
    <fb>457.76</fb>
    <v>10</v>
  </rv>
  <rv s="6">
    <fb>146.38</fb>
    <v>10</v>
  </rv>
  <rv s="6">
    <fb>398.67</fb>
    <v>10</v>
  </rv>
  <rv s="6">
    <fb>45313</fb>
    <v>11</v>
  </rv>
  <rv s="6">
    <fb>473.52</fb>
    <v>10</v>
  </rv>
  <rv s="6">
    <fb>309.16000000000003</fb>
    <v>10</v>
  </rv>
  <rv s="6">
    <fb>59.57</fb>
    <v>10</v>
  </rv>
  <rv s="6">
    <fb>220.06</fb>
    <v>10</v>
  </rv>
  <rv s="6">
    <fb>147.86000000000001</fb>
    <v>10</v>
  </rv>
  <rv s="6">
    <fb>36.76</fb>
    <v>10</v>
  </rv>
  <rv s="6">
    <fb>34.75</fb>
    <v>10</v>
  </rv>
  <rv s="6">
    <fb>26.14</fb>
    <v>10</v>
  </rv>
  <rv s="6">
    <fb>381.78</fb>
    <v>10</v>
  </rv>
  <rv s="6">
    <fb>203.46</fb>
    <v>10</v>
  </rv>
  <rv s="6">
    <fb>251.63</fb>
    <v>10</v>
  </rv>
  <rv s="6">
    <fb>458.76</fb>
    <v>10</v>
  </rv>
  <rv s="6">
    <fb>145.99</fb>
    <v>10</v>
  </rv>
  <rv s="6">
    <fb>396.51</fb>
    <v>10</v>
  </rv>
  <rv s="6">
    <fb>45314</fb>
    <v>11</v>
  </rv>
  <rv s="6">
    <fb>303.92</fb>
    <v>10</v>
  </rv>
  <rv s="6">
    <fb>59.85</fb>
    <v>10</v>
  </rv>
  <rv s="6">
    <fb>216.78</fb>
    <v>10</v>
  </rv>
  <rv s="6">
    <fb>153.97999999999999</fb>
    <v>10</v>
  </rv>
  <rv s="6">
    <fb>37.15</fb>
    <v>10</v>
  </rv>
  <rv s="6">
    <fb>114.13</fb>
    <v>10</v>
  </rv>
  <rv s="6">
    <fb>25.69</fb>
    <v>10</v>
  </rv>
  <rv s="6">
    <fb>385.2</fb>
    <v>10</v>
  </rv>
  <rv s="6">
    <fb>195.56</fb>
    <v>10</v>
  </rv>
  <rv s="6">
    <fb>252.99</fb>
    <v>10</v>
  </rv>
  <rv s="6">
    <fb>439.67</fb>
    <v>10</v>
  </rv>
  <rv s="6">
    <fb>147.04</fb>
    <v>10</v>
  </rv>
  <rv s="6">
    <fb>398.9</fb>
    <v>10</v>
  </rv>
  <rv s="6">
    <fb>45315</fb>
    <v>11</v>
  </rv>
  <rv s="6">
    <fb>464.88</fb>
    <v>10</v>
  </rv>
  <rv s="6">
    <fb>302.19</fb>
    <v>10</v>
  </rv>
  <rv s="6">
    <fb>58.91</fb>
    <v>10</v>
  </rv>
  <rv s="6">
    <fb>214.85</fb>
    <v>10</v>
  </rv>
  <rv s="6">
    <fb>36.82</fb>
    <v>10</v>
  </rv>
  <rv s="6">
    <fb>116.52</fb>
    <v>10</v>
  </rv>
  <rv s="6">
    <fb>25.75</fb>
    <v>10</v>
  </rv>
  <rv s="6">
    <fb>390.7</fb>
    <v>10</v>
  </rv>
  <rv s="6">
    <fb>193.28</fb>
    <v>10</v>
  </rv>
  <rv s="6">
    <fb>431.65</fb>
    <v>10</v>
  </rv>
  <rv s="6">
    <fb>402.56</fb>
    <v>10</v>
  </rv>
  <rv s="6">
    <fb>45316</fb>
    <v>11</v>
  </rv>
  <rv s="6">
    <fb>471.8</fb>
    <v>10</v>
  </rv>
  <rv s="6">
    <fb>310.20999999999998</fb>
    <v>10</v>
  </rv>
  <rv s="6">
    <fb>59.16</fb>
    <v>10</v>
  </rv>
  <rv s="6">
    <fb>216.68</fb>
    <v>10</v>
  </rv>
  <rv s="6">
    <fb>155.62</fb>
    <v>10</v>
  </rv>
  <rv s="6">
    <fb>116.56</fb>
    <v>10</v>
  </rv>
  <rv s="6">
    <fb>26.35</fb>
    <v>10</v>
  </rv>
  <rv s="6">
    <fb>393.18</fb>
    <v>10</v>
  </rv>
  <rv s="6">
    <fb>197.99</fb>
    <v>10</v>
  </rv>
  <rv s="6">
    <fb>250.21</fb>
    <v>10</v>
  </rv>
  <rv s="6">
    <fb>431.04</fb>
    <v>10</v>
  </rv>
  <rv s="6">
    <fb>151.87</fb>
    <v>10</v>
  </rv>
  <rv s="6">
    <fb>404.87</fb>
    <v>10</v>
  </rv>
  <rv s="6">
    <fb>45317</fb>
    <v>11</v>
  </rv>
  <rv s="6">
    <fb>471.59</fb>
    <v>10</v>
  </rv>
  <rv s="6">
    <fb>309.05</fb>
    <v>10</v>
  </rv>
  <rv s="6">
    <fb>59.37</fb>
    <v>10</v>
  </rv>
  <rv s="6">
    <fb>216.09</fb>
    <v>10</v>
  </rv>
  <rv s="6">
    <fb>156.13999999999999</fb>
    <v>10</v>
  </rv>
  <rv s="6">
    <fb>37.21</fb>
    <v>10</v>
  </rv>
  <rv s="6">
    <fb>117.26</fb>
    <v>10</v>
  </rv>
  <rv s="6">
    <fb>35.39</fb>
    <v>10</v>
  </rv>
  <rv s="6">
    <fb>25.5</fb>
    <v>10</v>
  </rv>
  <rv s="6">
    <fb>394.14</fb>
    <v>10</v>
  </rv>
  <rv s="6">
    <fb>196.3</fb>
    <v>10</v>
  </rv>
  <rv s="6">
    <fb>249.5</fb>
    <v>10</v>
  </rv>
  <rv s="6">
    <fb>429.91</fb>
    <v>10</v>
  </rv>
  <rv s="6">
    <fb>152.185</fb>
    <v>10</v>
  </rv>
  <rv s="6">
    <fb>403.93</fb>
    <v>10</v>
  </rv>
  <rv s="6">
    <fb>45320</fb>
    <v>11</v>
  </rv>
  <rv s="6">
    <fb>59.73</fb>
    <v>10</v>
  </rv>
  <rv s="6">
    <fb>216.69</fb>
    <v>10</v>
  </rv>
  <rv s="6">
    <fb>156.16</fb>
    <v>10</v>
  </rv>
  <rv s="6">
    <fb>37.31</fb>
    <v>10</v>
  </rv>
  <rv s="6">
    <fb>116.98</fb>
    <v>10</v>
  </rv>
  <rv s="6">
    <fb>35.590000000000003</fb>
    <v>10</v>
  </rv>
  <rv s="6">
    <fb>25.8</fb>
    <v>10</v>
  </rv>
  <rv s="6">
    <fb>401.02</fb>
    <v>10</v>
  </rv>
  <rv s="6">
    <fb>197.06</fb>
    <v>10</v>
  </rv>
  <rv s="6">
    <fb>250.8</fb>
    <v>10</v>
  </rv>
  <rv s="6">
    <fb>428.01</fb>
    <v>10</v>
  </rv>
  <rv s="6">
    <fb>153.51</fb>
    <v>10</v>
  </rv>
  <rv s="6">
    <fb>409.72</fb>
    <v>10</v>
  </rv>
  <rv s="6">
    <fb>45321</fb>
    <v>11</v>
  </rv>
  <rv s="6">
    <fb>477.86</fb>
    <v>10</v>
  </rv>
  <rv s="6">
    <fb>320.38</fb>
    <v>10</v>
  </rv>
  <rv s="6">
    <fb>59.9</fb>
    <v>10</v>
  </rv>
  <rv s="6">
    <fb>218.17</fb>
    <v>10</v>
  </rv>
  <rv s="6">
    <fb>157.49</fb>
    <v>10</v>
  </rv>
  <rv s="6">
    <fb>37.35</fb>
    <v>10</v>
  </rv>
  <rv s="6">
    <fb>116.06</fb>
    <v>10</v>
  </rv>
  <rv s="6">
    <fb>25.61</fb>
    <v>10</v>
  </rv>
  <rv s="6">
    <fb>400.06</fb>
    <v>10</v>
  </rv>
  <rv s="6">
    <fb>197.25</fb>
    <v>10</v>
  </rv>
  <rv s="6">
    <fb>248.43</fb>
    <v>10</v>
  </rv>
  <rv s="6">
    <fb>431.68</fb>
    <v>10</v>
  </rv>
  <rv s="6">
    <fb>151.46</fb>
    <v>10</v>
  </rv>
  <rv s="6">
    <fb>408.59</fb>
    <v>10</v>
  </rv>
  <rv s="6">
    <fb>45322</fb>
    <v>11</v>
  </rv>
  <rv s="6">
    <fb>464.5</fb>
    <v>10</v>
  </rv>
  <rv s="6">
    <fb>314.26</fb>
    <v>10</v>
  </rv>
  <rv s="6">
    <fb>59.49</fb>
    <v>10</v>
  </rv>
  <rv s="6">
    <fb>218.95</fb>
    <v>10</v>
  </rv>
  <rv s="6">
    <fb>157.13999999999999</fb>
    <v>10</v>
  </rv>
  <rv s="6">
    <fb>37.130000000000003</fb>
    <v>10</v>
  </rv>
  <rv s="6">
    <fb>112.96</fb>
    <v>10</v>
  </rv>
  <rv s="6">
    <fb>35.700000000000003</fb>
    <v>10</v>
  </rv>
  <rv s="6">
    <fb>24.74</fb>
    <v>10</v>
  </rv>
  <rv s="6">
    <fb>390.14</fb>
    <v>10</v>
  </rv>
  <rv s="6">
    <fb>194.05</fb>
    <v>10</v>
  </rv>
  <rv s="6">
    <fb>245.08</fb>
    <v>10</v>
  </rv>
  <rv s="6">
    <fb>429.41</fb>
    <v>10</v>
  </rv>
  <rv s="6">
    <fb>140.1</fb>
    <v>10</v>
  </rv>
  <rv s="6">
    <fb>397.58</fb>
    <v>10</v>
  </rv>
  <rv s="6">
    <fb>45323</fb>
    <v>11</v>
  </rv>
  <rv s="6">
    <fb>500.18</fb>
    <v>10</v>
  </rv>
  <rv s="6">
    <fb>319.04000000000002</fb>
    <v>10</v>
  </rv>
  <rv s="6">
    <fb>60.98</fb>
    <v>10</v>
  </rv>
  <rv s="6">
    <fb>223.61</fb>
    <v>10</v>
  </rv>
  <rv s="6">
    <fb>159.18</fb>
    <v>10</v>
  </rv>
  <rv s="6">
    <fb>37.76</fb>
    <v>10</v>
  </rv>
  <rv s="6">
    <fb>113.39</fb>
    <v>10</v>
  </rv>
  <rv s="6">
    <fb>36.28</fb>
    <v>10</v>
  </rv>
  <rv s="6">
    <fb>394.78</fb>
    <v>10</v>
  </rv>
  <rv s="6">
    <fb>200.26</fb>
    <v>10</v>
  </rv>
  <rv s="6">
    <fb>252.68</fb>
    <v>10</v>
  </rv>
  <rv s="6">
    <fb>429.77</fb>
    <v>10</v>
  </rv>
  <rv s="6">
    <fb>141.16</fb>
    <v>10</v>
  </rv>
  <rv s="6">
    <fb>403.78</fb>
    <v>10</v>
  </rv>
  <rv s="6">
    <fb>45324</fb>
    <v>11</v>
  </rv>
  <rv s="6">
    <fb>510.36</fb>
    <v>10</v>
  </rv>
  <rv s="6">
    <fb>320.99</fb>
    <v>10</v>
  </rv>
  <rv s="6">
    <fb>60.54</fb>
    <v>10</v>
  </rv>
  <rv s="6">
    <fb>158.09</fb>
    <v>10</v>
  </rv>
  <rv s="6">
    <fb>37.65</fb>
    <v>10</v>
  </rv>
  <rv s="6">
    <fb>115.75</fb>
    <v>10</v>
  </rv>
  <rv s="6">
    <fb>36.53</fb>
    <v>10</v>
  </rv>
  <rv s="6">
    <fb>25.04</fb>
    <v>10</v>
  </rv>
  <rv s="6">
    <fb>474.99</fb>
    <v>10</v>
  </rv>
  <rv s="6">
    <fb>204.5</fb>
    <v>10</v>
  </rv>
  <rv s="6">
    <fb>425.97</fb>
    <v>10</v>
  </rv>
  <rv s="6">
    <fb>411.22</fb>
    <v>10</v>
  </rv>
  <rv s="6">
    <fb>45327</fb>
    <v>11</v>
  </rv>
  <rv s="6">
    <fb>508.87</fb>
    <v>10</v>
  </rv>
  <rv s="6">
    <fb>314.54000000000002</fb>
    <v>10</v>
  </rv>
  <rv s="6">
    <fb>219.9</fb>
    <v>10</v>
  </rv>
  <rv s="6">
    <fb>158.21</fb>
    <v>10</v>
  </rv>
  <rv s="6">
    <fb>37.22</fb>
    <v>10</v>
  </rv>
  <rv s="6">
    <fb>118.79</fb>
    <v>10</v>
  </rv>
  <rv s="6">
    <fb>36.729999999999997</fb>
    <v>10</v>
  </rv>
  <rv s="6">
    <fb>459.41</fb>
    <v>10</v>
  </rv>
  <rv s="6">
    <fb>202.19</fb>
    <v>10</v>
  </rv>
  <rv s="6">
    <fb>247.06</fb>
    <v>10</v>
  </rv>
  <rv s="6">
    <fb>421.7</fb>
    <v>10</v>
  </rv>
  <rv s="6">
    <fb>143.68</fb>
    <v>10</v>
  </rv>
  <rv s="6">
    <fb>405.65</fb>
    <v>10</v>
  </rv>
  <rv s="6">
    <fb>45328</fb>
    <v>11</v>
  </rv>
  <rv s="6">
    <fb>511.55</fb>
    <v>10</v>
  </rv>
  <rv s="6">
    <fb>317.61</fb>
    <v>10</v>
  </rv>
  <rv s="6">
    <fb>59.94</fb>
    <v>10</v>
  </rv>
  <rv s="6">
    <fb>225.92</fb>
    <v>10</v>
  </rv>
  <rv s="6">
    <fb>158.96</fb>
    <v>10</v>
  </rv>
  <rv s="6">
    <fb>119.38</fb>
    <v>10</v>
  </rv>
  <rv s="6">
    <fb>37.020000000000003</fb>
    <v>10</v>
  </rv>
  <rv s="6">
    <fb>24.01</fb>
    <v>10</v>
  </rv>
  <rv s="6">
    <fb>206.11</fb>
    <v>10</v>
  </rv>
  <rv s="6">
    <fb>248.65</fb>
    <v>10</v>
  </rv>
  <rv s="6">
    <fb>144.1</fb>
    <v>10</v>
  </rv>
  <rv s="6">
    <fb>405.49</fb>
    <v>10</v>
  </rv>
  <rv s="6">
    <fb>45329</fb>
    <v>11</v>
  </rv>
  <rv s="6">
    <fb>514.22</fb>
    <v>10</v>
  </rv>
  <rv s="6">
    <fb>341.91</fb>
    <v>10</v>
  </rv>
  <rv s="6">
    <fb>225.87</fb>
    <v>10</v>
  </rv>
  <rv s="6">
    <fb>159.12</fb>
    <v>10</v>
  </rv>
  <rv s="6">
    <fb>124.98</fb>
    <v>10</v>
  </rv>
  <rv s="6">
    <fb>23.87</fb>
    <v>10</v>
  </rv>
  <rv s="6">
    <fb>469.59</fb>
    <v>10</v>
  </rv>
  <rv s="6">
    <fb>208.9</fb>
    <v>10</v>
  </rv>
  <rv s="6">
    <fb>244.42</fb>
    <v>10</v>
  </rv>
  <rv s="6">
    <fb>430.1</fb>
    <v>10</v>
  </rv>
  <rv s="6">
    <fb>145.54</fb>
    <v>10</v>
  </rv>
  <rv s="6">
    <fb>414.05</fb>
    <v>10</v>
  </rv>
  <rv s="6">
    <fb>45330</fb>
    <v>11</v>
  </rv>
  <rv s="6">
    <fb>515.51</fb>
    <v>10</v>
  </rv>
  <rv s="6">
    <fb>342.74</fb>
    <v>10</v>
  </rv>
  <rv s="6">
    <fb>220.26</fb>
    <v>10</v>
  </rv>
  <rv s="6">
    <fb>158.63999999999999</fb>
    <v>10</v>
  </rv>
  <rv s="6">
    <fb>36.47</fb>
    <v>10</v>
  </rv>
  <rv s="6">
    <fb>133.72999999999999</fb>
    <v>10</v>
  </rv>
  <rv s="6">
    <fb>37.07</fb>
    <v>10</v>
  </rv>
  <rv s="6">
    <fb>24.4</fb>
    <v>10</v>
  </rv>
  <rv s="6">
    <fb>470</fb>
    <v>10</v>
  </rv>
  <rv s="6">
    <fb>207.77</fb>
    <v>10</v>
  </rv>
  <rv s="6">
    <fb>243.05</fb>
    <v>10</v>
  </rv>
  <rv s="6">
    <fb>427</fb>
    <v>10</v>
  </rv>
  <rv s="6">
    <fb>145.91</fb>
    <v>10</v>
  </rv>
  <rv s="6">
    <fb>414.11</fb>
    <v>10</v>
  </rv>
  <rv s="6">
    <fb>45331</fb>
    <v>11</v>
  </rv>
  <rv s="6">
    <fb>521.38</fb>
    <v>10</v>
  </rv>
  <rv s="6">
    <fb>346.11</fb>
    <v>10</v>
  </rv>
  <rv s="6">
    <fb>59.56</fb>
    <v>10</v>
  </rv>
  <rv s="6">
    <fb>224.27</fb>
    <v>10</v>
  </rv>
  <rv s="6">
    <fb>157.41999999999999</fb>
    <v>10</v>
  </rv>
  <rv s="6">
    <fb>35.97</fb>
    <v>10</v>
  </rv>
  <rv s="6">
    <fb>133.11000000000001</fb>
    <v>10</v>
  </rv>
  <rv s="6">
    <fb>36.89</fb>
    <v>10</v>
  </rv>
  <rv s="6">
    <fb>24.18</fb>
    <v>10</v>
  </rv>
  <rv s="6">
    <fb>468.11</fb>
    <v>10</v>
  </rv>
  <rv s="6">
    <fb>210.11</fb>
    <v>10</v>
  </rv>
  <rv s="6">
    <fb>242.55</fb>
    <v>10</v>
  </rv>
  <rv s="6">
    <fb>426.5</fb>
    <v>10</v>
  </rv>
  <rv s="6">
    <fb>149</fb>
    <v>10</v>
  </rv>
  <rv s="6">
    <fb>420.55</fb>
    <v>10</v>
  </rv>
  <rv s="6">
    <fb>45334</fb>
    <v>11</v>
  </rv>
  <rv s="6">
    <fb>518.20000000000005</fb>
    <v>10</v>
  </rv>
  <rv s="6">
    <fb>350.51</fb>
    <v>10</v>
  </rv>
  <rv s="6">
    <fb>59.7</fb>
    <v>10</v>
  </rv>
  <rv s="6">
    <fb>224.94</fb>
    <v>10</v>
  </rv>
  <rv s="6">
    <fb>157.11000000000001</fb>
    <v>10</v>
  </rv>
  <rv s="6">
    <fb>130.46</fb>
    <v>10</v>
  </rv>
  <rv s="6">
    <fb>24.59</fb>
    <v>10</v>
  </rv>
  <rv s="6">
    <fb>211.6</fb>
    <v>10</v>
  </rv>
  <rv s="6">
    <fb>247.08</fb>
    <v>10</v>
  </rv>
  <rv s="6">
    <fb>428.07</fb>
    <v>10</v>
  </rv>
  <rv s="6">
    <fb>147.53</fb>
    <v>10</v>
  </rv>
  <rv s="6">
    <fb>415.26</fb>
    <v>10</v>
  </rv>
  <rv s="6">
    <fb>45335</fb>
    <v>11</v>
  </rv>
  <rv s="6">
    <fb>511.63</fb>
    <v>10</v>
  </rv>
  <rv s="6">
    <fb>343.73</fb>
    <v>10</v>
  </rv>
  <rv s="6">
    <fb>59.35</fb>
    <v>10</v>
  </rv>
  <rv s="6">
    <fb>224.52</fb>
    <v>10</v>
  </rv>
  <rv s="6">
    <fb>156.27000000000001</fb>
    <v>10</v>
  </rv>
  <rv s="6">
    <fb>36.130000000000003</fb>
    <v>10</v>
  </rv>
  <rv s="6">
    <fb>127.55</fb>
    <v>10</v>
  </rv>
  <rv s="6">
    <fb>36.61</fb>
    <v>10</v>
  </rv>
  <rv s="6">
    <fb>23.36</fb>
    <v>10</v>
  </rv>
  <rv s="6">
    <fb>460.12</fb>
    <v>10</v>
  </rv>
  <rv s="6">
    <fb>244.58</fb>
    <v>10</v>
  </rv>
  <rv s="6">
    <fb>426.52</fb>
    <v>10</v>
  </rv>
  <rv s="6">
    <fb>145.13999999999999</fb>
    <v>10</v>
  </rv>
  <rv s="6">
    <fb>45336</fb>
    <v>11</v>
  </rv>
  <rv s="6">
    <fb>521.91</fb>
    <v>10</v>
  </rv>
  <rv s="6">
    <fb>347.42</fb>
    <v>10</v>
  </rv>
  <rv s="6">
    <fb>59.29</fb>
    <v>10</v>
  </rv>
  <rv s="6">
    <fb>227.61</fb>
    <v>10</v>
  </rv>
  <rv s="6">
    <fb>155.63</fb>
    <v>10</v>
  </rv>
  <rv s="6">
    <fb>24.51</fb>
    <v>10</v>
  </rv>
  <rv s="6">
    <fb>473.28</fb>
    <v>10</v>
  </rv>
  <rv s="6">
    <fb>243.6</fb>
    <v>10</v>
  </rv>
  <rv s="6">
    <fb>418.19</fb>
    <v>10</v>
  </rv>
  <rv s="6">
    <fb>409.49</fb>
    <v>10</v>
  </rv>
  <rv s="6">
    <fb>45337</fb>
    <v>11</v>
  </rv>
  <rv s="6">
    <fb>521.87</fb>
    <v>10</v>
  </rv>
  <rv s="6">
    <fb>345.28</fb>
    <v>10</v>
  </rv>
  <rv s="6">
    <fb>59.4</fb>
    <v>10</v>
  </rv>
  <rv s="6">
    <fb>233.05</fb>
    <v>10</v>
  </rv>
  <rv s="6">
    <fb>157.01</fb>
    <v>10</v>
  </rv>
  <rv s="6">
    <fb>34.97</fb>
    <v>10</v>
  </rv>
  <rv s="6">
    <fb>129.03</fb>
    <v>10</v>
  </rv>
  <rv s="6">
    <fb>25.55</fb>
    <v>10</v>
  </rv>
  <rv s="6">
    <fb>484.03</fb>
    <v>10</v>
  </rv>
  <rv s="6">
    <fb>214.06</fb>
    <v>10</v>
  </rv>
  <rv s="6">
    <fb>244.9</fb>
    <v>10</v>
  </rv>
  <rv s="6">
    <fb>423.12</fb>
    <v>10</v>
  </rv>
  <rv s="6">
    <fb>142.77000000000001</fb>
    <v>10</v>
  </rv>
  <rv s="6">
    <fb>406.56</fb>
    <v>10</v>
  </rv>
  <rv s="6">
    <fb>45338</fb>
    <v>11</v>
  </rv>
  <rv s="6">
    <fb>520.05999999999995</fb>
    <v>10</v>
  </rv>
  <rv s="6">
    <fb>341.92</fb>
    <v>10</v>
  </rv>
  <rv s="6">
    <fb>59.39</fb>
    <v>10</v>
  </rv>
  <rv s="6">
    <fb>231.23</fb>
    <v>10</v>
  </rv>
  <rv s="6">
    <fb>157.51</fb>
    <v>10</v>
  </rv>
  <rv s="6">
    <fb>34.81</fb>
    <v>10</v>
  </rv>
  <rv s="6">
    <fb>126.69</fb>
    <v>10</v>
  </rv>
  <rv s="6">
    <fb>36.72</fb>
    <v>10</v>
  </rv>
  <rv s="6">
    <fb>25.13</fb>
    <v>10</v>
  </rv>
  <rv s="6">
    <fb>473.32</fb>
    <v>10</v>
  </rv>
  <rv s="6">
    <fb>211.44</fb>
    <v>10</v>
  </rv>
  <rv s="6">
    <fb>243.84</fb>
    <v>10</v>
  </rv>
  <rv s="6">
    <fb>424.07</fb>
    <v>10</v>
  </rv>
  <rv s="6">
    <fb>140.52000000000001</fb>
    <v>10</v>
  </rv>
  <rv s="6">
    <fb>404.06</fb>
    <v>10</v>
  </rv>
  <rv s="6">
    <fb>45342</fb>
    <v>11</v>
  </rv>
  <rv s="6">
    <fb>519.53</fb>
    <v>10</v>
  </rv>
  <rv s="6">
    <fb>346.92</fb>
    <v>10</v>
  </rv>
  <rv s="6">
    <fb>60.7</fb>
    <v>10</v>
  </rv>
  <rv s="6">
    <fb>229.25</fb>
    <v>10</v>
  </rv>
  <rv s="6">
    <fb>158.51</fb>
    <v>10</v>
  </rv>
  <rv s="6">
    <fb>35.619999999999997</fb>
    <v>10</v>
  </rv>
  <rv s="6">
    <fb>125.33</fb>
    <v>10</v>
  </rv>
  <rv s="6">
    <fb>36.86</fb>
    <v>10</v>
  </rv>
  <rv s="6">
    <fb>24.27</fb>
    <v>10</v>
  </rv>
  <rv s="6">
    <fb>471.75</fb>
    <v>10</v>
  </rv>
  <rv s="6">
    <fb>209.2</fb>
    <v>10</v>
  </rv>
  <rv s="6">
    <fb>245.26</fb>
    <v>10</v>
  </rv>
  <rv s="6">
    <fb>424.27</fb>
    <v>10</v>
  </rv>
  <rv s="6">
    <fb>141.12</fb>
    <v>10</v>
  </rv>
  <rv s="6">
    <fb>402.79</fb>
    <v>10</v>
  </rv>
  <rv s="6">
    <fb>45343</fb>
    <v>11</v>
  </rv>
  <rv s="6">
    <fb>523.71</fb>
    <v>10</v>
  </rv>
  <rv s="6">
    <fb>347.44</fb>
    <v>10</v>
  </rv>
  <rv s="6">
    <fb>61.24</fb>
    <v>10</v>
  </rv>
  <rv s="6">
    <fb>232.85</fb>
    <v>10</v>
  </rv>
  <rv s="6">
    <fb>160.4</fb>
    <v>10</v>
  </rv>
  <rv s="6">
    <fb>36.39</fb>
    <v>10</v>
  </rv>
  <rv s="6">
    <fb>125.34</fb>
    <v>10</v>
  </rv>
  <rv s="6">
    <fb>37.1</fb>
    <v>10</v>
  </rv>
  <rv s="6">
    <fb>24.57</fb>
    <v>10</v>
  </rv>
  <rv s="6">
    <fb>468.03</fb>
    <v>10</v>
  </rv>
  <rv s="6">
    <fb>211.22</fb>
    <v>10</v>
  </rv>
  <rv s="6">
    <fb>245.61</fb>
    <v>10</v>
  </rv>
  <rv s="6">
    <fb>427.55</fb>
    <v>10</v>
  </rv>
  <rv s="6">
    <fb>142.55000000000001</fb>
    <v>10</v>
  </rv>
  <rv s="6">
    <fb>402.18</fb>
    <v>10</v>
  </rv>
  <rv s="6">
    <fb>45344</fb>
    <v>11</v>
  </rv>
  <rv s="6">
    <fb>530</fb>
    <v>10</v>
  </rv>
  <rv s="6">
    <fb>352.86</fb>
    <v>10</v>
  </rv>
  <rv s="6">
    <fb>61.15</fb>
    <v>10</v>
  </rv>
  <rv s="6">
    <fb>236.03</fb>
    <v>10</v>
  </rv>
  <rv s="6">
    <fb>160.56</fb>
    <v>10</v>
  </rv>
  <rv s="6">
    <fb>36.409999999999997</fb>
    <v>10</v>
  </rv>
  <rv s="6">
    <fb>129.07</fb>
    <v>10</v>
  </rv>
  <rv s="6">
    <fb>24.72</fb>
    <v>10</v>
  </rv>
  <rv s="6">
    <fb>486.13</fb>
    <v>10</v>
  </rv>
  <rv s="6">
    <fb>232.93</fb>
    <v>10</v>
  </rv>
  <rv s="6">
    <fb>245.7</fb>
    <v>10</v>
  </rv>
  <rv s="6">
    <fb>428.89</fb>
    <v>10</v>
  </rv>
  <rv s="6">
    <fb>411.65</fb>
    <v>10</v>
  </rv>
  <rv s="6">
    <fb>45345</fb>
    <v>11</v>
  </rv>
  <rv s="6">
    <fb>531.07000000000005</fb>
    <v>10</v>
  </rv>
  <rv s="6">
    <fb>356.27</fb>
    <v>10</v>
  </rv>
  <rv s="6">
    <fb>235.85</fb>
    <v>10</v>
  </rv>
  <rv s="6">
    <fb>161.03</fb>
    <v>10</v>
  </rv>
  <rv s="6">
    <fb>36.049999999999997</fb>
    <v>10</v>
  </rv>
  <rv s="6">
    <fb>129.53</fb>
    <v>10</v>
  </rv>
  <rv s="6">
    <fb>38.33</fb>
    <v>10</v>
  </rv>
  <rv s="6">
    <fb>234.39</fb>
    <v>10</v>
  </rv>
  <rv s="6">
    <fb>247.23</fb>
    <v>10</v>
  </rv>
  <rv s="6">
    <fb>431.12</fb>
    <v>10</v>
  </rv>
  <rv s="6">
    <fb>410.34</fb>
    <v>10</v>
  </rv>
  <rv s="6">
    <fb>45348</fb>
    <v>11</v>
  </rv>
  <rv s="6">
    <fb>530.80999999999995</fb>
    <v>10</v>
  </rv>
  <rv s="6">
    <fb>350.29</fb>
    <v>10</v>
  </rv>
  <rv s="6">
    <fb>233.71</fb>
    <v>10</v>
  </rv>
  <rv s="6">
    <fb>160.22</fb>
    <v>10</v>
  </rv>
  <rv s="6">
    <fb>130.63999999999999</fb>
    <v>10</v>
  </rv>
  <rv s="6">
    <fb>25.85</fb>
    <v>10</v>
  </rv>
  <rv s="6">
    <fb>481.74</fb>
    <v>10</v>
  </rv>
  <rv s="6">
    <fb>235.64</fb>
    <v>10</v>
  </rv>
  <rv s="6">
    <fb>246.82</fb>
    <v>10</v>
  </rv>
  <rv s="6">
    <fb>429.18</fb>
    <v>10</v>
  </rv>
  <rv s="6">
    <fb>137.57</fb>
    <v>10</v>
  </rv>
  <rv s="6">
    <fb>407.54</fb>
    <v>10</v>
  </rv>
  <rv s="6">
    <fb>45349</fb>
    <v>11</v>
  </rv>
  <rv s="6">
    <fb>531.49</fb>
    <v>10</v>
  </rv>
  <rv s="6">
    <fb>347.2</fb>
    <v>10</v>
  </rv>
  <rv s="6">
    <fb>60.34</fb>
    <v>10</v>
  </rv>
  <rv s="6">
    <fb>232.52</fb>
    <v>10</v>
  </rv>
  <rv s="6">
    <fb>159.30000000000001</fb>
    <v>10</v>
  </rv>
  <rv s="6">
    <fb>35.799999999999997</fb>
    <v>10</v>
  </rv>
  <rv s="6">
    <fb>128.59</fb>
    <v>10</v>
  </rv>
  <rv s="6">
    <fb>37.96</fb>
    <v>10</v>
  </rv>
  <rv s="6">
    <fb>26.36</fb>
    <v>10</v>
  </rv>
  <rv s="6">
    <fb>487.05</fb>
    <v>10</v>
  </rv>
  <rv s="6">
    <fb>239.57</fb>
    <v>10</v>
  </rv>
  <rv s="6">
    <fb>247.09</fb>
    <v>10</v>
  </rv>
  <rv s="6">
    <fb>430.43</fb>
    <v>10</v>
  </rv>
  <rv s="6">
    <fb>138.88</fb>
    <v>10</v>
  </rv>
  <rv s="6">
    <fb>407.48</fb>
    <v>10</v>
  </rv>
  <rv s="6">
    <fb>45350</fb>
    <v>11</v>
  </rv>
  <rv s="6">
    <fb>531.1</fb>
    <v>10</v>
  </rv>
  <rv s="6">
    <fb>349.68</fb>
    <v>10</v>
  </rv>
  <rv s="6">
    <fb>60.4</fb>
    <v>10</v>
  </rv>
  <rv s="6">
    <fb>231.34</fb>
    <v>10</v>
  </rv>
  <rv s="6">
    <fb>35.54</fb>
    <v>10</v>
  </rv>
  <rv s="6">
    <fb>127.38</fb>
    <v>10</v>
  </rv>
  <rv s="6">
    <fb>26.3</fb>
    <v>10</v>
  </rv>
  <rv s="6">
    <fb>484.02</fb>
    <v>10</v>
  </rv>
  <rv s="6">
    <fb>238.63</fb>
    <v>10</v>
  </rv>
  <rv s="6">
    <fb>247.44</fb>
    <v>10</v>
  </rv>
  <rv s="6">
    <fb>432.48</fb>
    <v>10</v>
  </rv>
  <rv s="6">
    <fb>407.72</fb>
    <v>10</v>
  </rv>
  <rv s="6">
    <fb>45351</fb>
    <v>11</v>
  </rv>
  <rv s="6">
    <fb>535.45000000000005</fb>
    <v>10</v>
  </rv>
  <rv s="6">
    <fb>232.91</fb>
    <v>10</v>
  </rv>
  <rv s="6">
    <fb>158.94</fb>
    <v>10</v>
  </rv>
  <rv s="6">
    <fb>128.66999999999999</fb>
    <v>10</v>
  </rv>
  <rv s="6">
    <fb>26.86</fb>
    <v>10</v>
  </rv>
  <rv s="6">
    <fb>490.13</fb>
    <v>10</v>
  </rv>
  <rv s="6">
    <fb>241.51</fb>
    <v>10</v>
  </rv>
  <rv s="6">
    <fb>248.52</fb>
    <v>10</v>
  </rv>
  <rv s="6">
    <fb>428.24</fb>
    <v>10</v>
  </rv>
  <rv s="6">
    <fb>138.46</fb>
    <v>10</v>
  </rv>
  <rv s="6">
    <fb>413.64</fb>
    <v>10</v>
  </rv>
  <rv s="6">
    <fb>45352</fb>
    <v>11</v>
  </rv>
  <rv s="6">
    <fb>537.79999999999995</fb>
    <v>10</v>
  </rv>
  <rv s="6">
    <fb>347.1</fb>
    <v>10</v>
  </rv>
  <rv s="6">
    <fb>59.53</fb>
    <v>10</v>
  </rv>
  <rv s="6">
    <fb>232.77</fb>
    <v>10</v>
  </rv>
  <rv s="6">
    <fb>158.85</fb>
    <v>10</v>
  </rv>
  <rv s="6">
    <fb>35.130000000000003</fb>
    <v>10</v>
  </rv>
  <rv s="6">
    <fb>133.9</fb>
    <v>10</v>
  </rv>
  <rv s="6">
    <fb>38.229999999999997</fb>
    <v>10</v>
  </rv>
  <rv s="6">
    <fb>26.49</fb>
    <v>10</v>
  </rv>
  <rv s="6">
    <fb>502.3</fb>
    <v>10</v>
  </rv>
  <rv s="6">
    <fb>240.89</fb>
    <v>10</v>
  </rv>
  <rv s="6">
    <fb>426.46</fb>
    <v>10</v>
  </rv>
  <rv s="6">
    <fb>415.5</fb>
    <v>10</v>
  </rv>
  <rv s="6">
    <fb>45355</fb>
    <v>11</v>
  </rv>
  <rv s="6">
    <fb>535.51</fb>
    <v>10</v>
  </rv>
  <rv s="6">
    <fb>352.49</fb>
    <v>10</v>
  </rv>
  <rv s="6">
    <fb>159.56</fb>
    <v>10</v>
  </rv>
  <rv s="6">
    <fb>35.04</fb>
    <v>10</v>
  </rv>
  <rv s="6">
    <fb>38.380000000000003</fb>
    <v>10</v>
  </rv>
  <rv s="6">
    <fb>26.51</fb>
    <v>10</v>
  </rv>
  <rv s="6">
    <fb>498.19</fb>
    <v>10</v>
  </rv>
  <rv s="6">
    <fb>243.34</fb>
    <v>10</v>
  </rv>
  <rv s="6">
    <fb>248.03</fb>
    <v>10</v>
  </rv>
  <rv s="6">
    <fb>431.94</fb>
    <v>10</v>
  </rv>
  <rv s="6">
    <fb>133.35</fb>
    <v>10</v>
  </rv>
  <rv s="6">
    <fb>414.92</fb>
    <v>10</v>
  </rv>
  <rv s="6">
    <fb>45356</fb>
    <v>11</v>
  </rv>
  <rv s="6">
    <fb>528</fb>
    <v>10</v>
  </rv>
  <rv s="6">
    <fb>355.47</fb>
    <v>10</v>
  </rv>
  <rv s="6">
    <fb>228.38</fb>
    <v>10</v>
  </rv>
  <rv s="6">
    <fb>159.32</fb>
    <v>10</v>
  </rv>
  <rv s="6">
    <fb>134.97</fb>
    <v>10</v>
  </rv>
  <rv s="6">
    <fb>25.86</fb>
    <v>10</v>
  </rv>
  <rv s="6">
    <fb>490.22</fb>
    <v>10</v>
  </rv>
  <rv s="6">
    <fb>239.71</fb>
    <v>10</v>
  </rv>
  <rv s="6">
    <fb>248.14</fb>
    <v>10</v>
  </rv>
  <rv s="6">
    <fb>431.98</fb>
    <v>10</v>
  </rv>
  <rv s="6">
    <fb>132.66999999999999</fb>
    <v>10</v>
  </rv>
  <rv s="6">
    <fb>402.65</fb>
    <v>10</v>
  </rv>
  <rv s="6">
    <fb>45357</fb>
    <v>11</v>
  </rv>
  <rv s="6">
    <fb>531.23</fb>
    <v>10</v>
  </rv>
  <rv s="6">
    <fb>360.64</fb>
    <v>10</v>
  </rv>
  <rv s="6">
    <fb>59.55</fb>
    <v>10</v>
  </rv>
  <rv s="6">
    <fb>159.57</fb>
    <v>10</v>
  </rv>
  <rv s="6">
    <fb>35.35</fb>
    <v>10</v>
  </rv>
  <rv s="6">
    <fb>141.57</fb>
    <v>10</v>
  </rv>
  <rv s="6">
    <fb>38.090000000000003</fb>
    <v>10</v>
  </rv>
  <rv s="6">
    <fb>24.07</fb>
    <v>10</v>
  </rv>
  <rv s="6">
    <fb>496.09</fb>
    <v>10</v>
  </rv>
  <rv s="6">
    <fb>241.8</fb>
    <v>10</v>
  </rv>
  <rv s="6">
    <fb>248.4</fb>
    <v>10</v>
  </rv>
  <rv s="6">
    <fb>433.48</fb>
    <v>10</v>
  </rv>
  <rv s="6">
    <fb>402.09</fb>
    <v>10</v>
  </rv>
  <rv s="6">
    <fb>45358</fb>
    <v>11</v>
  </rv>
  <rv s="6">
    <fb>539.48</fb>
    <v>10</v>
  </rv>
  <rv s="6">
    <fb>365.38</fb>
    <v>10</v>
  </rv>
  <rv s="6">
    <fb>160.62</fb>
    <v>10</v>
  </rv>
  <rv s="6">
    <fb>149.19999999999999</fb>
    <v>10</v>
  </rv>
  <rv s="6">
    <fb>37.92</fb>
    <v>10</v>
  </rv>
  <rv s="6">
    <fb>512.19000000000005</fb>
    <v>10</v>
  </rv>
  <rv s="6">
    <fb>244.32</fb>
    <v>10</v>
  </rv>
  <rv s="6">
    <fb>255.3</fb>
    <v>10</v>
  </rv>
  <rv s="6">
    <fb>429.99</fb>
    <v>10</v>
  </rv>
  <rv s="6">
    <fb>134.38</fb>
    <v>10</v>
  </rv>
  <rv s="6">
    <fb>409.14</fb>
    <v>10</v>
  </rv>
  <rv s="6">
    <fb>45359</fb>
    <v>11</v>
  </rv>
  <rv s="6">
    <fb>537.35</fb>
    <v>10</v>
  </rv>
  <rv s="6">
    <fb>354.81</fb>
    <v>10</v>
  </rv>
  <rv s="6">
    <fb>233.7</fb>
    <v>10</v>
  </rv>
  <rv s="6">
    <fb>160.35</fb>
    <v>10</v>
  </rv>
  <rv s="6">
    <fb>34.840000000000003</fb>
    <v>10</v>
  </rv>
  <rv s="6">
    <fb>146.37</fb>
    <v>10</v>
  </rv>
  <rv s="6">
    <fb>23.7</fb>
    <v>10</v>
  </rv>
  <rv s="6">
    <fb>505.95</fb>
    <v>10</v>
  </rv>
  <rv s="6">
    <fb>242.06</fb>
    <v>10</v>
  </rv>
  <rv s="6">
    <fb>257.69</fb>
    <v>10</v>
  </rv>
  <rv s="6">
    <fb>432.9</fb>
    <v>10</v>
  </rv>
  <rv s="6">
    <fb>135.41</fb>
    <v>10</v>
  </rv>
  <rv s="6">
    <fb>406.22</fb>
    <v>10</v>
  </rv>
  <rv s="6">
    <fb>45362</fb>
    <v>11</v>
  </rv>
  <rv s="6">
    <fb>536.04</fb>
    <v>10</v>
  </rv>
  <rv s="6">
    <fb>357</fb>
    <v>10</v>
  </rv>
  <rv s="6">
    <fb>60.24</fb>
    <v>10</v>
  </rv>
  <rv s="6">
    <fb>233.84</fb>
    <v>10</v>
  </rv>
  <rv s="6">
    <fb>161.55000000000001</fb>
    <v>10</v>
  </rv>
  <rv s="6">
    <fb>34.979999999999997</fb>
    <v>10</v>
  </rv>
  <rv s="6">
    <fb>139.02000000000001</fb>
    <v>10</v>
  </rv>
  <rv s="6">
    <fb>24.22</fb>
    <v>10</v>
  </rv>
  <rv s="6">
    <fb>483.59</fb>
    <v>10</v>
  </rv>
  <rv s="6">
    <fb>239.14</fb>
    <v>10</v>
  </rv>
  <rv s="6">
    <fb>261.98</fb>
    <v>10</v>
  </rv>
  <rv s="6">
    <fb>434.75</fb>
    <v>10</v>
  </rv>
  <rv s="6">
    <fb>137.66999999999999</fb>
    <v>10</v>
  </rv>
  <rv s="6">
    <fb>404.52</fb>
    <v>10</v>
  </rv>
  <rv s="6">
    <fb>45363</fb>
    <v>11</v>
  </rv>
  <rv s="6">
    <fb>538.28</fb>
    <v>10</v>
  </rv>
  <rv s="6">
    <fb>361.56</fb>
    <v>10</v>
  </rv>
  <rv s="6">
    <fb>161.93</fb>
    <v>10</v>
  </rv>
  <rv s="6">
    <fb>34.6</fb>
    <v>10</v>
  </rv>
  <rv s="6">
    <fb>144.4</fb>
    <v>10</v>
  </rv>
  <rv s="6">
    <fb>37.82</fb>
    <v>10</v>
  </rv>
  <rv s="6">
    <fb>24.21</fb>
    <v>10</v>
  </rv>
  <rv s="6">
    <fb>499.75</fb>
    <v>10</v>
  </rv>
  <rv s="6">
    <fb>261.86</fb>
    <v>10</v>
  </rv>
  <rv s="6">
    <fb>434.91</fb>
    <v>10</v>
  </rv>
  <rv s="6">
    <fb>138.5</fb>
    <v>10</v>
  </rv>
  <rv s="6">
    <fb>415.28</fb>
    <v>10</v>
  </rv>
  <rv s="6">
    <fb>45364</fb>
    <v>11</v>
  </rv>
  <rv s="6">
    <fb>539.55999999999995</fb>
    <v>10</v>
  </rv>
  <rv s="6">
    <fb>362.89</fb>
    <v>10</v>
  </rv>
  <rv s="6">
    <fb>61.12</fb>
    <v>10</v>
  </rv>
  <rv s="6">
    <fb>233.79</fb>
    <v>10</v>
  </rv>
  <rv s="6">
    <fb>162.30000000000001</fb>
    <v>10</v>
  </rv>
  <rv s="6">
    <fb>34.53</fb>
    <v>10</v>
  </rv>
  <rv s="6">
    <fb>142.13999999999999</fb>
    <v>10</v>
  </rv>
  <rv s="6">
    <fb>25.01</fb>
    <v>10</v>
  </rv>
  <rv s="6">
    <fb>495.57</fb>
    <v>10</v>
  </rv>
  <rv s="6">
    <fb>241.83</fb>
    <v>10</v>
  </rv>
  <rv s="6">
    <fb>263.7</fb>
    <v>10</v>
  </rv>
  <rv s="6">
    <fb>434.6</fb>
    <v>10</v>
  </rv>
  <rv s="6">
    <fb>139.79</fb>
    <v>10</v>
  </rv>
  <rv s="6">
    <fb>415.1</fb>
    <v>10</v>
  </rv>
  <rv s="6">
    <fb>45365</fb>
    <v>11</v>
  </rv>
  <rv s="6">
    <fb>536.25</fb>
    <v>10</v>
  </rv>
  <rv s="6">
    <fb>363.41</fb>
    <v>10</v>
  </rv>
  <rv s="6">
    <fb>231.56</fb>
    <v>10</v>
  </rv>
  <rv s="6">
    <fb>161.5</fb>
    <v>10</v>
  </rv>
  <rv s="6">
    <fb>139.62</fb>
    <v>10</v>
  </rv>
  <rv s="6">
    <fb>37.03</fb>
    <v>10</v>
  </rv>
  <rv s="6">
    <fb>24.7</fb>
    <v>10</v>
  </rv>
  <rv s="6">
    <fb>491.83</fb>
    <v>10</v>
  </rv>
  <rv s="6">
    <fb>242.36</fb>
    <v>10</v>
  </rv>
  <rv s="6">
    <fb>260.83</fb>
    <v>10</v>
  </rv>
  <rv s="6">
    <fb>435.77</fb>
    <v>10</v>
  </rv>
  <rv s="6">
    <fb>143.1</fb>
    <v>10</v>
  </rv>
  <rv s="6">
    <fb>425.22</fb>
    <v>10</v>
  </rv>
  <rv s="6">
    <fb>45366</fb>
    <v>11</v>
  </rv>
  <rv s="6">
    <fb>535.41999999999996</fb>
    <v>10</v>
  </rv>
  <rv s="6">
    <fb>371.48</fb>
    <v>10</v>
  </rv>
  <rv s="6">
    <fb>59.88</fb>
    <v>10</v>
  </rv>
  <rv s="6">
    <fb>230.05</fb>
    <v>10</v>
  </rv>
  <rv s="6">
    <fb>161.38</fb>
    <v>10</v>
  </rv>
  <rv s="6">
    <fb>34.369999999999997</fb>
    <v>10</v>
  </rv>
  <rv s="6">
    <fb>36.97</fb>
    <v>10</v>
  </rv>
  <rv s="6">
    <fb>26.02</fb>
    <v>10</v>
  </rv>
  <rv s="6">
    <fb>484.1</fb>
    <v>10</v>
  </rv>
  <rv s="6">
    <fb>242.75</fb>
    <v>10</v>
  </rv>
  <rv s="6">
    <fb>267.64</fb>
    <v>10</v>
  </rv>
  <rv s="6">
    <fb>435.82</fb>
    <v>10</v>
  </rv>
  <rv s="6">
    <fb>141.18</fb>
    <v>10</v>
  </rv>
  <rv s="6">
    <fb>416.42</fb>
    <v>10</v>
  </rv>
  <rv s="6">
    <fb>45369</fb>
    <v>11</v>
  </rv>
  <rv s="6">
    <fb>536.26</fb>
    <v>10</v>
  </rv>
  <rv s="6">
    <fb>367.14</fb>
    <v>10</v>
  </rv>
  <rv s="6">
    <fb>60.13</fb>
    <v>10</v>
  </rv>
  <rv s="6">
    <fb>230</fb>
    <v>10</v>
  </rv>
  <rv s="6">
    <fb>161.21</fb>
    <v>10</v>
  </rv>
  <rv s="6">
    <fb>34.92</fb>
    <v>10</v>
  </rv>
  <rv s="6">
    <fb>136.63999999999999</fb>
    <v>10</v>
  </rv>
  <rv s="6">
    <fb>26.03</fb>
    <v>10</v>
  </rv>
  <rv s="6">
    <fb>496.98</fb>
    <v>10</v>
  </rv>
  <rv s="6">
    <fb>243.81</fb>
    <v>10</v>
  </rv>
  <rv s="6">
    <fb>266.35000000000002</fb>
    <v>10</v>
  </rv>
  <rv s="6">
    <fb>433.2</fb>
    <v>10</v>
  </rv>
  <rv s="6">
    <fb>147.68</fb>
    <v>10</v>
  </rv>
  <rv s="6">
    <fb>417.32</fb>
    <v>10</v>
  </rv>
  <rv s="6">
    <fb>45370</fb>
    <v>11</v>
  </rv>
  <rv s="6">
    <fb>538.84</fb>
    <v>10</v>
  </rv>
  <rv s="6">
    <fb>372.36</fb>
    <v>10</v>
  </rv>
  <rv s="6">
    <fb>230.14</fb>
    <v>10</v>
  </rv>
  <rv s="6">
    <fb>161.83000000000001</fb>
    <v>10</v>
  </rv>
  <rv s="6">
    <fb>35.270000000000003</fb>
    <v>10</v>
  </rv>
  <rv s="6">
    <fb>134.87</fb>
    <v>10</v>
  </rv>
  <rv s="6">
    <fb>26.23</fb>
    <v>10</v>
  </rv>
  <rv s="6">
    <fb>496.24</fb>
    <v>10</v>
  </rv>
  <rv s="6">
    <fb>246.39</fb>
    <v>10</v>
  </rv>
  <rv s="6">
    <fb>437.19</fb>
    <v>10</v>
  </rv>
  <rv s="6">
    <fb>147.03</fb>
    <v>10</v>
  </rv>
  <rv s="6">
    <fb>421.41</fb>
    <v>10</v>
  </rv>
  <rv s="6">
    <fb>45371</fb>
    <v>11</v>
  </rv>
  <rv s="6">
    <fb>546.46</fb>
    <v>10</v>
  </rv>
  <rv s="6">
    <fb>379.25</fb>
    <v>10</v>
  </rv>
  <rv s="6">
    <fb>161.99</fb>
    <v>10</v>
  </rv>
  <rv s="6">
    <fb>136.75</fb>
    <v>10</v>
  </rv>
  <rv s="6">
    <fb>26.98</fb>
    <v>10</v>
  </rv>
  <rv s="6">
    <fb>505.52</fb>
    <v>10</v>
  </rv>
  <rv s="6">
    <fb>249.51</fb>
    <v>10</v>
  </rv>
  <rv s="6">
    <fb>268.5</fb>
    <v>10</v>
  </rv>
  <rv s="6">
    <fb>425.23</fb>
    <v>10</v>
  </rv>
  <rv s="6">
    <fb>45372</fb>
    <v>11</v>
  </rv>
  <rv s="6">
    <fb>560.64</fb>
    <v>10</v>
  </rv>
  <rv s="6">
    <fb>388.65</fb>
    <v>10</v>
  </rv>
  <rv s="6">
    <fb>227.09</fb>
    <v>10</v>
  </rv>
  <rv s="6">
    <fb>161.86000000000001</fb>
    <v>10</v>
  </rv>
  <rv s="6">
    <fb>35.6</fb>
    <v>10</v>
  </rv>
  <rv s="6">
    <fb>139.44999999999999</fb>
    <v>10</v>
  </rv>
  <rv s="6">
    <fb>37.869999999999997</fb>
    <v>10</v>
  </rv>
  <rv s="6">
    <fb>27.66</fb>
    <v>10</v>
  </rv>
  <rv s="6">
    <fb>507.76</fb>
    <v>10</v>
  </rv>
  <rv s="6">
    <fb>256.3</fb>
    <v>10</v>
  </rv>
  <rv s="6">
    <fb>269.35000000000002</fb>
    <v>10</v>
  </rv>
  <rv s="6">
    <fb>443.16</fb>
    <v>10</v>
  </rv>
  <rv s="6">
    <fb>147.6</fb>
    <v>10</v>
  </rv>
  <rv s="6">
    <fb>429.37</fb>
    <v>10</v>
  </rv>
  <rv s="6">
    <fb>45373</fb>
    <v>11</v>
  </rv>
  <rv s="6">
    <fb>554.89</fb>
    <v>10</v>
  </rv>
  <rv s="6">
    <fb>387.02</fb>
    <v>10</v>
  </rv>
  <rv s="6">
    <fb>229</fb>
    <v>10</v>
  </rv>
  <rv s="6">
    <fb>161.66</fb>
    <v>10</v>
  </rv>
  <rv s="6">
    <fb>140.54</fb>
    <v>10</v>
  </rv>
  <rv s="6">
    <fb>509.58</fb>
    <v>10</v>
  </rv>
  <rv s="6">
    <fb>255.92</fb>
    <v>10</v>
  </rv>
  <rv s="6">
    <fb>268.24</fb>
    <v>10</v>
  </rv>
  <rv s="6">
    <fb>445.88</fb>
    <v>10</v>
  </rv>
  <rv s="6">
    <fb>150.77000000000001</fb>
    <v>10</v>
  </rv>
  <rv s="6">
    <fb>428.74</fb>
    <v>10</v>
  </rv>
  <rv s="6">
    <fb>45376</fb>
    <v>11</v>
  </rv>
  <rv s="6">
    <fb>550.53</fb>
    <v>10</v>
  </rv>
  <rv s="6">
    <fb>387.31</fb>
    <v>10</v>
  </rv>
  <rv s="6">
    <fb>160.19</fb>
    <v>10</v>
  </rv>
  <rv s="6">
    <fb>36.840000000000003</fb>
    <v>10</v>
  </rv>
  <rv s="6">
    <fb>26.2</fb>
    <v>10</v>
  </rv>
  <rv s="6">
    <fb>503.02</fb>
    <v>10</v>
  </rv>
  <rv s="6">
    <fb>255.54</fb>
    <v>10</v>
  </rv>
  <rv s="6">
    <fb>270.44</fb>
    <v>10</v>
  </rv>
  <rv s="6">
    <fb>446.31</fb>
    <v>10</v>
  </rv>
  <rv s="6">
    <fb>422.86</fb>
    <v>10</v>
  </rv>
  <rv s="6">
    <fb>45377</fb>
    <v>11</v>
  </rv>
  <rv s="6">
    <fb>549.16</fb>
    <v>10</v>
  </rv>
  <rv s="6">
    <fb>388.5</fb>
    <v>10</v>
  </rv>
  <rv s="6">
    <fb>221.52</fb>
    <v>10</v>
  </rv>
  <rv s="6">
    <fb>36.369999999999997</fb>
    <v>10</v>
  </rv>
  <rv s="6">
    <fb>25.805</fb>
    <v>10</v>
  </rv>
  <rv s="6">
    <fb>495.89</fb>
    <v>10</v>
  </rv>
  <rv s="6">
    <fb>259.18</fb>
    <v>10</v>
  </rv>
  <rv s="6">
    <fb>269.29000000000002</fb>
    <v>10</v>
  </rv>
  <rv s="6">
    <fb>445.99</fb>
    <v>10</v>
  </rv>
  <rv s="6">
    <fb>150.66999999999999</fb>
    <v>10</v>
  </rv>
  <rv s="6">
    <fb>421.65</fb>
    <v>10</v>
  </rv>
  <rv s="6">
    <fb>45378</fb>
    <v>11</v>
  </rv>
  <rv s="6">
    <fb>558.04999999999995</fb>
    <v>10</v>
  </rv>
  <rv s="6">
    <fb>388.62</fb>
    <v>10</v>
  </rv>
  <rv s="6">
    <fb>162.61000000000001</fb>
    <v>10</v>
  </rv>
  <rv s="6">
    <fb>26.47</fb>
    <v>10</v>
  </rv>
  <rv s="6">
    <fb>493.86</fb>
    <v>10</v>
  </rv>
  <rv s="6">
    <fb>259.75</fb>
    <v>10</v>
  </rv>
  <rv s="6">
    <fb>272.04000000000002</fb>
    <v>10</v>
  </rv>
  <rv s="6">
    <fb>456.78</fb>
    <v>10</v>
  </rv>
  <rv s="6">
    <fb>150.87</fb>
    <v>10</v>
  </rv>
  <rv s="6">
    <fb>421.43</fb>
    <v>10</v>
  </rv>
  <rv s="6">
    <fb>45379</fb>
    <v>11</v>
  </rv>
  <rv s="6">
    <fb>555.79</fb>
    <v>10</v>
  </rv>
  <rv s="6">
    <fb>391.85</fb>
    <v>10</v>
  </rv>
  <rv s="6">
    <fb>61.18</fb>
    <v>10</v>
  </rv>
  <rv s="6">
    <fb>224.82</fb>
    <v>10</v>
  </rv>
  <rv s="6">
    <fb>162.25</fb>
    <v>10</v>
  </rv>
  <rv s="6">
    <fb>36.9</fb>
    <v>10</v>
  </rv>
  <rv s="6">
    <fb>136.05000000000001</fb>
    <v>10</v>
  </rv>
  <rv s="6">
    <fb>26.68</fb>
    <v>10</v>
  </rv>
  <rv s="6">
    <fb>485.58</fb>
    <v>10</v>
  </rv>
  <rv s="6">
    <fb>259.8</fb>
    <v>10</v>
  </rv>
  <rv s="6">
    <fb>271.76</fb>
    <v>10</v>
  </rv>
  <rv s="6">
    <fb>454.87</fb>
    <v>10</v>
  </rv>
  <rv s="6">
    <fb>150.93</fb>
    <v>10</v>
  </rv>
  <rv s="6">
    <fb>420.72</fb>
    <v>10</v>
  </rv>
  <rv s="6">
    <fb>45383</fb>
    <v>11</v>
  </rv>
  <rv s="6">
    <fb>551.01</fb>
    <v>10</v>
  </rv>
  <rv s="6">
    <fb>393.91</fb>
    <v>10</v>
  </rv>
  <rv s="6">
    <fb>60.68</fb>
    <v>10</v>
  </rv>
  <rv s="6">
    <fb>221.03</fb>
    <v>10</v>
  </rv>
  <rv s="6">
    <fb>160.58000000000001</fb>
    <v>10</v>
  </rv>
  <rv s="6">
    <fb>37.06</fb>
    <v>10</v>
  </rv>
  <rv s="6">
    <fb>491.35</fb>
    <v>10</v>
  </rv>
  <rv s="6">
    <fb>266</fb>
    <v>10</v>
  </rv>
  <rv s="6">
    <fb>452.79</fb>
    <v>10</v>
  </rv>
  <rv s="6">
    <fb>155.49</fb>
    <v>10</v>
  </rv>
  <rv s="6">
    <fb>424.57</fb>
    <v>10</v>
  </rv>
  <rv s="6">
    <fb>45384</fb>
    <v>11</v>
  </rv>
  <rv s="6">
    <fb>547.44000000000005</fb>
    <v>10</v>
  </rv>
  <rv s="6">
    <fb>391.19</fb>
    <v>10</v>
  </rv>
  <rv s="6">
    <fb>60.15</fb>
    <v>10</v>
  </rv>
  <rv s="6">
    <fb>216.27</fb>
    <v>10</v>
  </rv>
  <rv s="6">
    <fb>160.57</fb>
    <v>10</v>
  </rv>
  <rv s="6">
    <fb>37.39</fb>
    <v>10</v>
  </rv>
  <rv s="6">
    <fb>140.22</fb>
    <v>10</v>
  </rv>
  <rv s="6">
    <fb>36.51</fb>
    <v>10</v>
  </rv>
  <rv s="6">
    <fb>497.37</fb>
    <v>10</v>
  </rv>
  <rv s="6">
    <fb>256.10000000000002</fb>
    <v>10</v>
  </rv>
  <rv s="6">
    <fb>267.41000000000003</fb>
    <v>10</v>
  </rv>
  <rv s="6">
    <fb>154.56</fb>
    <v>10</v>
  </rv>
  <rv s="6">
    <fb>421.44</fb>
    <v>10</v>
  </rv>
  <rv s="6">
    <fb>45385</fb>
    <v>11</v>
  </rv>
  <rv s="6">
    <fb>558.57000000000005</fb>
    <v>10</v>
  </rv>
  <rv s="6">
    <fb>395.93</fb>
    <v>10</v>
  </rv>
  <rv s="6">
    <fb>216.65</fb>
    <v>10</v>
  </rv>
  <rv s="6">
    <fb>156.15</fb>
    <v>10</v>
  </rv>
  <rv s="6">
    <fb>37.369999999999997</fb>
    <v>10</v>
  </rv>
  <rv s="6">
    <fb>142</fb>
    <v>10</v>
  </rv>
  <rv s="6">
    <fb>36.42</fb>
    <v>10</v>
  </rv>
  <rv s="6">
    <fb>26.01</fb>
    <v>10</v>
  </rv>
  <rv s="6">
    <fb>506.74</fb>
    <v>10</v>
  </rv>
  <rv s="6">
    <fb>262.29000000000002</fb>
    <v>10</v>
  </rv>
  <rv s="6">
    <fb>266.95</fb>
    <v>10</v>
  </rv>
  <rv s="6">
    <fb>447.9</fb>
    <v>10</v>
  </rv>
  <rv s="6">
    <fb>154.91999999999999</fb>
    <v>10</v>
  </rv>
  <rv s="6">
    <fb>420.45</fb>
    <v>10</v>
  </rv>
  <rv s="6">
    <fb>45386</fb>
    <v>11</v>
  </rv>
  <rv s="6">
    <fb>555.65</fb>
    <v>10</v>
  </rv>
  <rv s="6">
    <fb>390.41</fb>
    <v>10</v>
  </rv>
  <rv s="6">
    <fb>59.3</fb>
    <v>10</v>
  </rv>
  <rv s="6">
    <fb>213.4</fb>
    <v>10</v>
  </rv>
  <rv s="6">
    <fb>155.44999999999999</fb>
    <v>10</v>
  </rv>
  <rv s="6">
    <fb>37.25</fb>
    <v>10</v>
  </rv>
  <rv s="6">
    <fb>139.66</fb>
    <v>10</v>
  </rv>
  <rv s="6">
    <fb>36.119999999999997</fb>
    <v>10</v>
  </rv>
  <rv s="6">
    <fb>25.99</fb>
    <v>10</v>
  </rv>
  <rv s="6">
    <fb>510.92</fb>
    <v>10</v>
  </rv>
  <rv s="6">
    <fb>258.29000000000002</fb>
    <v>10</v>
  </rv>
  <rv s="6">
    <fb>264.31</fb>
    <v>10</v>
  </rv>
  <rv s="6">
    <fb>454.04</fb>
    <v>10</v>
  </rv>
  <rv s="6">
    <fb>150.53</fb>
    <v>10</v>
  </rv>
  <rv s="6">
    <fb>417.88</fb>
    <v>10</v>
  </rv>
  <rv s="6">
    <fb>45387</fb>
    <v>11</v>
  </rv>
  <rv s="6">
    <fb>566.66999999999996</fb>
    <v>10</v>
  </rv>
  <rv s="6">
    <fb>399</fb>
    <v>10</v>
  </rv>
  <rv s="6">
    <fb>213.48</fb>
    <v>10</v>
  </rv>
  <rv s="6">
    <fb>156.1</fb>
    <v>10</v>
  </rv>
  <rv s="6">
    <fb>141.36000000000001</fb>
    <v>10</v>
  </rv>
  <rv s="6">
    <fb>36.299999999999997</fb>
    <v>10</v>
  </rv>
  <rv s="6">
    <fb>527.34</fb>
    <v>10</v>
  </rv>
  <rv s="6">
    <fb>263.2</fb>
    <v>10</v>
  </rv>
  <rv s="6">
    <fb>265.63</fb>
    <v>10</v>
  </rv>
  <rv s="6">
    <fb>455.38</fb>
    <v>10</v>
  </rv>
  <rv s="6">
    <fb>425.52</fb>
    <v>10</v>
  </rv>
  <rv s="6">
    <fb>45390</fb>
    <v>11</v>
  </rv>
  <rv s="6">
    <fb>565.92999999999995</fb>
    <v>10</v>
  </rv>
  <rv s="6">
    <fb>400.5</fb>
    <v>10</v>
  </rv>
  <rv s="6">
    <fb>59.27</fb>
    <v>10</v>
  </rv>
  <rv s="6">
    <fb>212.65</fb>
    <v>10</v>
  </rv>
  <rv s="6">
    <fb>156.04</fb>
    <v>10</v>
  </rv>
  <rv s="6">
    <fb>37.049999999999997</fb>
    <v>10</v>
  </rv>
  <rv s="6">
    <fb>142.79</fb>
    <v>10</v>
  </rv>
  <rv s="6">
    <fb>26.18</fb>
    <v>10</v>
  </rv>
  <rv s="6">
    <fb>519.25</fb>
    <v>10</v>
  </rv>
  <rv s="6">
    <fb>262.26</fb>
    <v>10</v>
  </rv>
  <rv s="6">
    <fb>154.85</fb>
    <v>10</v>
  </rv>
  <rv s="6">
    <fb>424.59</fb>
    <v>10</v>
  </rv>
  <rv s="6">
    <fb>45391</fb>
    <v>11</v>
  </rv>
  <rv s="6">
    <fb>561.35</fb>
    <v>10</v>
  </rv>
  <rv s="6">
    <fb>392.15</fb>
    <v>10</v>
  </rv>
  <rv s="6">
    <fb>156.66</fb>
    <v>10</v>
  </rv>
  <rv s="6">
    <fb>37.159999999999997</fb>
    <v>10</v>
  </rv>
  <rv s="6">
    <fb>35.950000000000003</fb>
    <v>10</v>
  </rv>
  <rv s="6">
    <fb>25.58</fb>
    <v>10</v>
  </rv>
  <rv s="6">
    <fb>516.9</fb>
    <v>10</v>
  </rv>
  <rv s="6">
    <fb>256.39999999999998</fb>
    <v>10</v>
  </rv>
  <rv s="6">
    <fb>262.97000000000003</fb>
    <v>10</v>
  </rv>
  <rv s="6">
    <fb>447.57</fb>
    <v>10</v>
  </rv>
  <rv s="6">
    <fb>156.6</fb>
    <v>10</v>
  </rv>
  <rv s="6">
    <fb>426.28</fb>
    <v>10</v>
  </rv>
  <rv s="6">
    <fb>45392</fb>
    <v>11</v>
  </rv>
  <rv s="6">
    <fb>555.37</fb>
    <v>10</v>
  </rv>
  <rv s="6">
    <fb>382.9</fb>
    <v>10</v>
  </rv>
  <rv s="6">
    <fb>58.92</fb>
    <v>10</v>
  </rv>
  <rv s="6">
    <fb>209.21</fb>
    <v>10</v>
  </rv>
  <rv s="6">
    <fb>157.24</fb>
    <v>10</v>
  </rv>
  <rv s="6">
    <fb>146.22</fb>
    <v>10</v>
  </rv>
  <rv s="6">
    <fb>35.409999999999997</fb>
    <v>10</v>
  </rv>
  <rv s="6">
    <fb>25.6</fb>
    <v>10</v>
  </rv>
  <rv s="6">
    <fb>519.83000000000004</fb>
    <v>10</v>
  </rv>
  <rv s="6">
    <fb>254.3</fb>
    <v>10</v>
  </rv>
  <rv s="6">
    <fb>264.92</fb>
    <v>10</v>
  </rv>
  <rv s="6">
    <fb>451.71</fb>
    <v>10</v>
  </rv>
  <rv s="6">
    <fb>423.26</fb>
    <v>10</v>
  </rv>
  <rv s="6">
    <fb>45393</fb>
    <v>11</v>
  </rv>
  <rv s="6">
    <fb>377.64</fb>
    <v>10</v>
  </rv>
  <rv s="6">
    <fb>59.05</fb>
    <v>10</v>
  </rv>
  <rv s="6">
    <fb>206.28</fb>
    <v>10</v>
  </rv>
  <rv s="6">
    <fb>155.84</fb>
    <v>10</v>
  </rv>
  <rv s="6">
    <fb>147.19999999999999</fb>
    <v>10</v>
  </rv>
  <rv s="6">
    <fb>35.43</fb>
    <v>10</v>
  </rv>
  <rv s="6">
    <fb>25.54</fb>
    <v>10</v>
  </rv>
  <rv s="6">
    <fb>523.16</fb>
    <v>10</v>
  </rv>
  <rv s="6">
    <fb>258</fb>
    <v>10</v>
  </rv>
  <rv s="6">
    <fb>268.33999999999997</fb>
    <v>10</v>
  </rv>
  <rv s="6">
    <fb>159.41</fb>
    <v>10</v>
  </rv>
  <rv s="6">
    <fb>427.93</fb>
    <v>10</v>
  </rv>
  <rv s="6">
    <fb>45394</fb>
    <v>11</v>
  </rv>
  <rv s="6">
    <fb>550.32000000000005</fb>
    <v>10</v>
  </rv>
  <rv s="6">
    <fb>373.14</fb>
    <v>10</v>
  </rv>
  <rv s="6">
    <fb>58.28</fb>
    <v>10</v>
  </rv>
  <rv s="6">
    <fb>204</fb>
    <v>10</v>
  </rv>
  <rv s="6">
    <fb>155.33000000000001</fb>
    <v>10</v>
  </rv>
  <rv s="6">
    <fb>35.94</fb>
    <v>10</v>
  </rv>
  <rv s="6">
    <fb>142.52000000000001</fb>
    <v>10</v>
  </rv>
  <rv s="6">
    <fb>35.340000000000003</fb>
    <v>10</v>
  </rv>
  <rv s="6">
    <fb>511.9</fb>
    <v>10</v>
  </rv>
  <rv s="6">
    <fb>254.69</fb>
    <v>10</v>
  </rv>
  <rv s="6">
    <fb>262.24</fb>
    <v>10</v>
  </rv>
  <rv s="6">
    <fb>157.72999999999999</fb>
    <v>10</v>
  </rv>
  <rv s="6">
    <fb>421.9</fb>
    <v>10</v>
  </rv>
  <rv s="6">
    <fb>45397</fb>
    <v>11</v>
  </rv>
  <rv s="6">
    <fb>543.37</fb>
    <v>10</v>
  </rv>
  <rv s="6">
    <fb>373.12</fb>
    <v>10</v>
  </rv>
  <rv s="6">
    <fb>58.14</fb>
    <v>10</v>
  </rv>
  <rv s="6">
    <fb>36.31</fb>
    <v>10</v>
  </rv>
  <rv s="6">
    <fb>140.13999999999999</fb>
    <v>10</v>
  </rv>
  <rv s="6">
    <fb>35.14</fb>
    <v>10</v>
  </rv>
  <rv s="6">
    <fb>24.36</fb>
    <v>10</v>
  </rv>
  <rv s="6">
    <fb>500.23</fb>
    <v>10</v>
  </rv>
  <rv s="6">
    <fb>248.89</fb>
    <v>10</v>
  </rv>
  <rv s="6">
    <fb>258.52</fb>
    <v>10</v>
  </rv>
  <rv s="6">
    <fb>453.08</fb>
    <v>10</v>
  </rv>
  <rv s="6">
    <fb>154.86000000000001</fb>
    <v>10</v>
  </rv>
  <rv s="6">
    <fb>45398</fb>
    <v>11</v>
  </rv>
  <rv s="6">
    <fb>544.14</fb>
    <v>10</v>
  </rv>
  <rv s="6">
    <fb>374.24</fb>
    <v>10</v>
  </rv>
  <rv s="6">
    <fb>58.06</fb>
    <v>10</v>
  </rv>
  <rv s="6">
    <fb>199.01</fb>
    <v>10</v>
  </rv>
  <rv s="6">
    <fb>155.94999999999999</fb>
    <v>10</v>
  </rv>
  <rv s="6">
    <fb>139.80000000000001</fb>
    <v>10</v>
  </rv>
  <rv s="6">
    <fb>24.14</fb>
    <v>10</v>
  </rv>
  <rv s="6">
    <fb>499.76</fb>
    <v>10</v>
  </rv>
  <rv s="6">
    <fb>248.69</fb>
    <v>10</v>
  </rv>
  <rv s="6">
    <fb>257.77999999999997</fb>
    <v>10</v>
  </rv>
  <rv s="6">
    <fb>454.31</fb>
    <v>10</v>
  </rv>
  <rv s="6">
    <fb>154.4</fb>
    <v>10</v>
  </rv>
  <rv s="6">
    <fb>414.58</fb>
    <v>10</v>
  </rv>
  <rv s="6">
    <fb>45399</fb>
    <v>11</v>
  </rv>
  <rv s="6">
    <fb>540.57000000000005</fb>
    <v>10</v>
  </rv>
  <rv s="6">
    <fb>58.51</fb>
    <v>10</v>
  </rv>
  <rv s="6">
    <fb>200.24</fb>
    <v>10</v>
  </rv>
  <rv s="6">
    <fb>156.96</fb>
    <v>10</v>
  </rv>
  <rv s="6">
    <fb>139.03</fb>
    <v>10</v>
  </rv>
  <rv s="6">
    <fb>23.31</fb>
    <v>10</v>
  </rv>
  <rv s="6">
    <fb>494.17</fb>
    <v>10</v>
  </rv>
  <rv s="6">
    <fb>245.96</fb>
    <v>10</v>
  </rv>
  <rv s="6">
    <fb>257.31</fb>
    <v>10</v>
  </rv>
  <rv s="6">
    <fb>155.47</fb>
    <v>10</v>
  </rv>
  <rv s="6">
    <fb>411.84</fb>
    <v>10</v>
  </rv>
  <rv s="6">
    <fb>45400</fb>
    <v>11</v>
  </rv>
  <rv s="6">
    <fb>538.09</fb>
    <v>10</v>
  </rv>
  <rv s="6">
    <fb>367.41</fb>
    <v>10</v>
  </rv>
  <rv s="6">
    <fb>200.81</fb>
    <v>10</v>
  </rv>
  <rv s="6">
    <fb>37.11</fb>
    <v>10</v>
  </rv>
  <rv s="6">
    <fb>132.27000000000001</fb>
    <v>10</v>
  </rv>
  <rv s="6">
    <fb>23.08</fb>
    <v>10</v>
  </rv>
  <rv s="6">
    <fb>501.8</fb>
    <v>10</v>
  </rv>
  <rv s="6">
    <fb>245.68</fb>
    <v>10</v>
  </rv>
  <rv s="6">
    <fb>258.68</fb>
    <v>10</v>
  </rv>
  <rv s="6">
    <fb>456.09</fb>
    <v>10</v>
  </rv>
  <rv s="6">
    <fb>404.27</fb>
    <v>10</v>
  </rv>
  <rv s="6">
    <fb>45401</fb>
    <v>11</v>
  </rv>
  <rv s="6">
    <fb>534.65</fb>
    <v>10</v>
  </rv>
  <rv s="6">
    <fb>199.51</fb>
    <v>10</v>
  </rv>
  <rv s="6">
    <fb>158.13999999999999</fb>
    <v>10</v>
  </rv>
  <rv s="6">
    <fb>127.7</fb>
    <v>10</v>
  </rv>
  <rv s="6">
    <fb>23.9</fb>
    <v>10</v>
  </rv>
  <rv s="6">
    <fb>481.07</fb>
    <v>10</v>
  </rv>
  <rv s="6">
    <fb>243.26</fb>
    <v>10</v>
  </rv>
  <rv s="6">
    <fb>260.7</fb>
    <v>10</v>
  </rv>
  <rv s="6">
    <fb>463.87</fb>
    <v>10</v>
  </rv>
  <rv s="6">
    <fb>154.09</fb>
    <v>10</v>
  </rv>
  <rv s="6">
    <fb>399.12</fb>
    <v>10</v>
  </rv>
  <rv s="6">
    <fb>45404</fb>
    <v>11</v>
  </rv>
  <rv s="6">
    <fb>539.72</fb>
    <v>10</v>
  </rv>
  <rv s="6">
    <fb>370.29</fb>
    <v>10</v>
  </rv>
  <rv s="6">
    <fb>200.9</fb>
    <v>10</v>
  </rv>
  <rv s="6">
    <fb>160.54</fb>
    <v>10</v>
  </rv>
  <rv s="6">
    <fb>38.15</fb>
    <v>10</v>
  </rv>
  <rv s="6">
    <fb>129.75</fb>
    <v>10</v>
  </rv>
  <rv s="6">
    <fb>23.55</fb>
    <v>10</v>
  </rv>
  <rv s="6">
    <fb>481.73</fb>
    <v>10</v>
  </rv>
  <rv s="6">
    <fb>245.56</fb>
    <v>10</v>
  </rv>
  <rv s="6">
    <fb>259.74</fb>
    <v>10</v>
  </rv>
  <rv s="6">
    <fb>461.33</fb>
    <v>10</v>
  </rv>
  <rv s="6">
    <fb>156.28</fb>
    <v>10</v>
  </rv>
  <rv s="6">
    <fb>400.96</fb>
    <v>10</v>
  </rv>
  <rv s="6">
    <fb>45405</fb>
    <v>11</v>
  </rv>
  <rv s="6">
    <fb>550.4</fb>
    <v>10</v>
  </rv>
  <rv s="6">
    <fb>379.33</fb>
    <v>10</v>
  </rv>
  <rv s="6">
    <fb>205.99</fb>
    <v>10</v>
  </rv>
  <rv s="6">
    <fb>38.07</fb>
    <v>10</v>
  </rv>
  <rv s="6">
    <fb>133.43</fb>
    <v>10</v>
  </rv>
  <rv s="6">
    <fb>23.91</fb>
    <v>10</v>
  </rv>
  <rv s="6">
    <fb>496.1</fb>
    <v>10</v>
  </rv>
  <rv s="6">
    <fb>251.95</fb>
    <v>10</v>
  </rv>
  <rv s="6">
    <fb>261.66000000000003</fb>
    <v>10</v>
  </rv>
  <rv s="6">
    <fb>460.08</fb>
    <v>10</v>
  </rv>
  <rv s="6">
    <fb>158.26</fb>
    <v>10</v>
  </rv>
  <rv s="6">
    <fb>407.57</fb>
    <v>10</v>
  </rv>
  <rv s="6">
    <fb>45406</fb>
    <v>11</v>
  </rv>
  <rv s="6">
    <fb>546.35</fb>
    <v>10</v>
  </rv>
  <rv s="6">
    <fb>375.3</fb>
    <v>10</v>
  </rv>
  <rv s="6">
    <fb>61.55</fb>
    <v>10</v>
  </rv>
  <rv s="6">
    <fb>202.8</fb>
    <v>10</v>
  </rv>
  <rv s="6">
    <fb>162.6</fb>
    <v>10</v>
  </rv>
  <rv s="6">
    <fb>38.57</fb>
    <v>10</v>
  </rv>
  <rv s="6">
    <fb>132.97</fb>
    <v>10</v>
  </rv>
  <rv s="6">
    <fb>23.96</fb>
    <v>10</v>
  </rv>
  <rv s="6">
    <fb>493.5</fb>
    <v>10</v>
  </rv>
  <rv s="6">
    <fb>253.18</fb>
    <v>10</v>
  </rv>
  <rv s="6">
    <fb>261.55</fb>
    <v>10</v>
  </rv>
  <rv s="6">
    <fb>459.14</fb>
    <v>10</v>
  </rv>
  <rv s="6">
    <fb>409.06</fb>
    <v>10</v>
  </rv>
  <rv s="6">
    <fb>45407</fb>
    <v>11</v>
  </rv>
  <rv s="6">
    <fb>549.38</fb>
    <v>10</v>
  </rv>
  <rv s="6">
    <fb>382.03</fb>
    <v>10</v>
  </rv>
  <rv s="6">
    <fb>61.74</fb>
    <v>10</v>
  </rv>
  <rv s="6">
    <fb>201.54</fb>
    <v>10</v>
  </rv>
  <rv s="6">
    <fb>162.55000000000001</fb>
    <v>10</v>
  </rv>
  <rv s="6">
    <fb>38.369999999999997</fb>
    <v>10</v>
  </rv>
  <rv s="6">
    <fb>136.58000000000001</fb>
    <v>10</v>
  </rv>
  <rv s="6">
    <fb>23.39</fb>
    <v>10</v>
  </rv>
  <rv s="6">
    <fb>441.38</fb>
    <v>10</v>
  </rv>
  <rv s="6">
    <fb>255.19</fb>
    <v>10</v>
  </rv>
  <rv s="6">
    <fb>261.70999999999998</fb>
    <v>10</v>
  </rv>
  <rv s="6">
    <fb>464.78</fb>
    <v>10</v>
  </rv>
  <rv s="6">
    <fb>399.04</fb>
    <v>10</v>
  </rv>
  <rv s="6">
    <fb>45408</fb>
    <v>11</v>
  </rv>
  <rv s="6">
    <fb>553.64</fb>
    <v>10</v>
  </rv>
  <rv s="6">
    <fb>400.56</fb>
    <v>10</v>
  </rv>
  <rv s="6">
    <fb>203.9</fb>
    <v>10</v>
  </rv>
  <rv s="6">
    <fb>161.29</fb>
    <v>10</v>
  </rv>
  <rv s="6">
    <fb>38.159999999999997</fb>
    <v>10</v>
  </rv>
  <rv s="6">
    <fb>138.30000000000001</fb>
    <v>10</v>
  </rv>
  <rv s="6">
    <fb>33.99</fb>
    <v>10</v>
  </rv>
  <rv s="6">
    <fb>24.09</fb>
    <v>10</v>
  </rv>
  <rv s="6">
    <fb>443.29</fb>
    <v>10</v>
  </rv>
  <rv s="6">
    <fb>260.04000000000002</fb>
    <v>10</v>
  </rv>
  <rv s="6">
    <fb>461.29</fb>
    <v>10</v>
  </rv>
  <rv s="6">
    <fb>171.95</fb>
    <v>10</v>
  </rv>
  <rv s="6">
    <fb>45411</fb>
    <v>11</v>
  </rv>
  <rv s="6">
    <fb>554.44000000000005</fb>
    <v>10</v>
  </rv>
  <rv s="6">
    <fb>397</fb>
    <v>10</v>
  </rv>
  <rv s="6">
    <fb>62.04</fb>
    <v>10</v>
  </rv>
  <rv s="6">
    <fb>205.42</fb>
    <v>10</v>
  </rv>
  <rv s="6">
    <fb>38.65</fb>
    <v>10</v>
  </rv>
  <rv s="6">
    <fb>33.950000000000003</fb>
    <v>10</v>
  </rv>
  <rv s="6">
    <fb>24.56</fb>
    <v>10</v>
  </rv>
  <rv s="6">
    <fb>432.62</fb>
    <v>10</v>
  </rv>
  <rv s="6">
    <fb>262.33999999999997</fb>
    <v>10</v>
  </rv>
  <rv s="6">
    <fb>261.19</fb>
    <v>10</v>
  </rv>
  <rv s="6">
    <fb>467.55</fb>
    <v>10</v>
  </rv>
  <rv s="6">
    <fb>166.15</fb>
    <v>10</v>
  </rv>
  <rv s="6">
    <fb>402.25</fb>
    <v>10</v>
  </rv>
  <rv s="6">
    <fb>45412</fb>
    <v>11</v>
  </rv>
  <rv s="6">
    <fb>544.91</fb>
    <v>10</v>
  </rv>
  <rv s="6">
    <fb>388.25</fb>
    <v>10</v>
  </rv>
  <rv s="6">
    <fb>204.56</fb>
    <v>10</v>
  </rv>
  <rv s="6">
    <fb>163.19999999999999</fb>
    <v>10</v>
  </rv>
  <rv s="6">
    <fb>137.34</fb>
    <v>10</v>
  </rv>
  <rv s="6">
    <fb>25.53</fb>
    <v>10</v>
  </rv>
  <rv s="6">
    <fb>430.17</fb>
    <v>10</v>
  </rv>
  <rv s="6">
    <fb>258.56</fb>
    <v>10</v>
  </rv>
  <rv s="6">
    <fb>253.46</fb>
    <v>10</v>
  </rv>
  <rv s="6">
    <fb>464.93</fb>
    <v>10</v>
  </rv>
  <rv s="6">
    <fb>162.78</fb>
    <v>10</v>
  </rv>
  <rv s="6">
    <fb>389.33</fb>
    <v>10</v>
  </rv>
  <rv s="6">
    <fb>45413</fb>
    <v>11</v>
  </rv>
  <rv s="6">
    <fb>542.96</fb>
    <v>10</v>
  </rv>
  <rv s="6">
    <fb>385.18</fb>
    <v>10</v>
  </rv>
  <rv s="6">
    <fb>163.4</fb>
    <v>10</v>
  </rv>
  <rv s="6">
    <fb>134.94</fb>
    <v>10</v>
  </rv>
  <rv s="6">
    <fb>25.9</fb>
    <v>10</v>
  </rv>
  <rv s="6">
    <fb>439.19</fb>
    <v>10</v>
  </rv>
  <rv s="6">
    <fb>256.01</fb>
    <v>10</v>
  </rv>
  <rv s="6">
    <fb>461.73</fb>
    <v>10</v>
  </rv>
  <rv s="6">
    <fb>163.86</fb>
    <v>10</v>
  </rv>
  <rv s="6">
    <fb>394.94</fb>
    <v>10</v>
  </rv>
  <rv s="6">
    <fb>45414</fb>
    <v>11</v>
  </rv>
  <rv s="6">
    <fb>530.67999999999995</fb>
    <v>10</v>
  </rv>
  <rv s="6">
    <fb>395.07</fb>
    <v>10</v>
  </rv>
  <rv s="6">
    <fb>61.99</fb>
    <v>10</v>
  </rv>
  <rv s="6">
    <fb>206.24</fb>
    <v>10</v>
  </rv>
  <rv s="6">
    <fb>163.84</fb>
    <v>10</v>
  </rv>
  <rv s="6">
    <fb>136.22999999999999</fb>
    <v>10</v>
  </rv>
  <rv s="6">
    <fb>33.57</fb>
    <v>10</v>
  </rv>
  <rv s="6">
    <fb>26.53</fb>
    <v>10</v>
  </rv>
  <rv s="6">
    <fb>441.68</fb>
    <v>10</v>
  </rv>
  <rv s="6">
    <fb>255</fb>
    <v>10</v>
  </rv>
  <rv s="6">
    <fb>254.08</fb>
    <v>10</v>
  </rv>
  <rv s="6">
    <fb>463.2</fb>
    <v>10</v>
  </rv>
  <rv s="6">
    <fb>166.62</fb>
    <v>10</v>
  </rv>
  <rv s="6">
    <fb>397.84</fb>
    <v>10</v>
  </rv>
  <rv s="6">
    <fb>45415</fb>
    <v>11</v>
  </rv>
  <rv s="6">
    <fb>536.17999999999995</fb>
    <v>10</v>
  </rv>
  <rv s="6">
    <fb>398.47</fb>
    <v>10</v>
  </rv>
  <rv s="6">
    <fb>62.17</fb>
    <v>10</v>
  </rv>
  <rv s="6">
    <fb>207.82</fb>
    <v>10</v>
  </rv>
  <rv s="6">
    <fb>164.46</fb>
    <v>10</v>
  </rv>
  <rv s="6">
    <fb>141.56</fb>
    <v>10</v>
  </rv>
  <rv s="6">
    <fb>26.07</fb>
    <v>10</v>
  </rv>
  <rv s="6">
    <fb>451.96</fb>
    <v>10</v>
  </rv>
  <rv s="6">
    <fb>256.33</fb>
    <v>10</v>
  </rv>
  <rv s="6">
    <fb>256.08</fb>
    <v>10</v>
  </rv>
  <rv s="6">
    <fb>461.91</fb>
    <v>10</v>
  </rv>
  <rv s="6">
    <fb>167.24</fb>
    <v>10</v>
  </rv>
  <rv s="6">
    <fb>406.66</fb>
    <v>10</v>
  </rv>
  <rv s="6">
    <fb>45418</fb>
    <v>11</v>
  </rv>
  <rv s="6">
    <fb>550.79</fb>
    <v>10</v>
  </rv>
  <rv s="6">
    <fb>405.47</fb>
    <v>10</v>
  </rv>
  <rv s="6">
    <fb>62.35</fb>
    <v>10</v>
  </rv>
  <rv s="6">
    <fb>209.52</fb>
    <v>10</v>
  </rv>
  <rv s="6">
    <fb>164.44</fb>
    <v>10</v>
  </rv>
  <rv s="6">
    <fb>35.74</fb>
    <v>10</v>
  </rv>
  <rv s="6">
    <fb>142.83000000000001</fb>
    <v>10</v>
  </rv>
  <rv s="6">
    <fb>33.68</fb>
    <v>10</v>
  </rv>
  <rv s="6">
    <fb>465.68</fb>
    <v>10</v>
  </rv>
  <rv s="6">
    <fb>462.78</fb>
    <v>10</v>
  </rv>
  <rv s="6">
    <fb>168.1</fb>
    <v>10</v>
  </rv>
  <rv s="6">
    <fb>413.54</fb>
    <v>10</v>
  </rv>
  <rv s="6">
    <fb>45419</fb>
    <v>11</v>
  </rv>
  <rv s="6">
    <fb>550.17999999999995</fb>
    <v>10</v>
  </rv>
  <rv s="6">
    <fb>405.55</fb>
    <v>10</v>
  </rv>
  <rv s="6">
    <fb>62.62</fb>
    <v>10</v>
  </rv>
  <rv s="6">
    <fb>212.87</fb>
    <v>10</v>
  </rv>
  <rv s="6">
    <fb>165.76</fb>
    <v>10</v>
  </rv>
  <rv s="6">
    <fb>141.11000000000001</fb>
    <v>10</v>
  </rv>
  <rv s="6">
    <fb>33.96</fb>
    <v>10</v>
  </rv>
  <rv s="6">
    <fb>468.24</fb>
    <v>10</v>
  </rv>
  <rv s="6">
    <fb>266.88</fb>
    <v>10</v>
  </rv>
  <rv s="6">
    <fb>258.49</fb>
    <v>10</v>
  </rv>
  <rv s="6">
    <fb>466.68</fb>
    <v>10</v>
  </rv>
  <rv s="6">
    <fb>171.25</fb>
    <v>10</v>
  </rv>
  <rv s="6">
    <fb>409.34</fb>
    <v>10</v>
  </rv>
  <rv s="6">
    <fb>45420</fb>
    <v>11</v>
  </rv>
  <rv s="6">
    <fb>554.91</fb>
    <v>10</v>
  </rv>
  <rv s="6">
    <fb>408.49</fb>
    <v>10</v>
  </rv>
  <rv s="6">
    <fb>62.85</fb>
    <v>10</v>
  </rv>
  <rv s="6">
    <fb>210.09</fb>
    <v>10</v>
  </rv>
  <rv s="6">
    <fb>165.07</fb>
    <v>10</v>
  </rv>
  <rv s="6">
    <fb>35.89</fb>
    <v>10</v>
  </rv>
  <rv s="6">
    <fb>143.6</fb>
    <v>10</v>
  </rv>
  <rv s="6">
    <fb>34.22</fb>
    <v>10</v>
  </rv>
  <rv s="6">
    <fb>25.97</fb>
    <v>10</v>
  </rv>
  <rv s="6">
    <fb>472.6</fb>
    <v>10</v>
  </rv>
  <rv s="6">
    <fb>264.98</fb>
    <v>10</v>
  </rv>
  <rv s="6">
    <fb>258.36</fb>
    <v>10</v>
  </rv>
  <rv s="6">
    <fb>466.16</fb>
    <v>10</v>
  </rv>
  <rv s="6">
    <fb>169.38</fb>
    <v>10</v>
  </rv>
  <rv s="6">
    <fb>410.54</fb>
    <v>10</v>
  </rv>
  <rv s="6">
    <fb>45421</fb>
    <v>11</v>
  </rv>
  <rv s="6">
    <fb>560.69000000000005</fb>
    <v>10</v>
  </rv>
  <rv s="6">
    <fb>417.61</fb>
    <v>10</v>
  </rv>
  <rv s="6">
    <fb>62.88</fb>
    <v>10</v>
  </rv>
  <rv s="6">
    <fb>225.99</fb>
    <v>10</v>
  </rv>
  <rv s="6">
    <fb>166.04</fb>
    <v>10</v>
  </rv>
  <rv s="6">
    <fb>35.71</fb>
    <v>10</v>
  </rv>
  <rv s="6">
    <fb>26.16</fb>
    <v>10</v>
  </rv>
  <rv s="6">
    <fb>475.42</fb>
    <v>10</v>
  </rv>
  <rv s="6">
    <fb>270.17</fb>
    <v>10</v>
  </rv>
  <rv s="6">
    <fb>468.39</fb>
    <v>10</v>
  </rv>
  <rv s="6">
    <fb>169.96</fb>
    <v>10</v>
  </rv>
  <rv s="6">
    <fb>412.32</fb>
    <v>10</v>
  </rv>
  <rv s="6">
    <fb>45422</fb>
    <v>11</v>
  </rv>
  <rv s="6">
    <fb>561.13</fb>
    <v>10</v>
  </rv>
  <rv s="6">
    <fb>416.63</fb>
    <v>10</v>
  </rv>
  <rv s="6">
    <fb>63.26</fb>
    <v>10</v>
  </rv>
  <rv s="6">
    <fb>231.33</fb>
    <v>10</v>
  </rv>
  <rv s="6">
    <fb>36.24</fb>
    <v>10</v>
  </rv>
  <rv s="6">
    <fb>34.380000000000003</fb>
    <v>10</v>
  </rv>
  <rv s="6">
    <fb>27.11</fb>
    <v>10</v>
  </rv>
  <rv s="6">
    <fb>476.2</fb>
    <v>10</v>
  </rv>
  <rv s="6">
    <fb>271.48</fb>
    <v>10</v>
  </rv>
  <rv s="6">
    <fb>261.95</fb>
    <v>10</v>
  </rv>
  <rv s="6">
    <fb>468.88</fb>
    <v>10</v>
  </rv>
  <rv s="6">
    <fb>168.65</fb>
    <v>10</v>
  </rv>
  <rv s="6">
    <fb>414.74</fb>
    <v>10</v>
  </rv>
  <rv s="6">
    <fb>45425</fb>
    <v>11</v>
  </rv>
  <rv s="6">
    <fb>551.03</fb>
    <v>10</v>
  </rv>
  <rv s="6">
    <fb>414.69</fb>
    <v>10</v>
  </rv>
  <rv s="6">
    <fb>63.58</fb>
    <v>10</v>
  </rv>
  <rv s="6">
    <fb>232.56</fb>
    <v>10</v>
  </rv>
  <rv s="6">
    <fb>165.87</fb>
    <v>10</v>
  </rv>
  <rv s="6">
    <fb>468.01</fb>
    <v>10</v>
  </rv>
  <rv s="6">
    <fb>265.43</fb>
    <v>10</v>
  </rv>
  <rv s="6">
    <fb>258.77</fb>
    <v>10</v>
  </rv>
  <rv s="6">
    <fb>470.56</fb>
    <v>10</v>
  </rv>
  <rv s="6">
    <fb>169.14</fb>
    <v>10</v>
  </rv>
  <rv s="6">
    <fb>413.72</fb>
    <v>10</v>
  </rv>
  <rv s="6">
    <fb>45426</fb>
    <v>11</v>
  </rv>
  <rv s="6">
    <fb>549.4</fb>
    <v>10</v>
  </rv>
  <rv s="6">
    <fb>418.92</fb>
    <v>10</v>
  </rv>
  <rv s="6">
    <fb>63.1</fb>
    <v>10</v>
  </rv>
  <rv s="6">
    <fb>236</fb>
    <v>10</v>
  </rv>
  <rv s="6">
    <fb>36.19</fb>
    <v>10</v>
  </rv>
  <rv s="6">
    <fb>151.94999999999999</fb>
    <v>10</v>
  </rv>
  <rv s="6">
    <fb>33.93</fb>
    <v>10</v>
  </rv>
  <rv s="6">
    <fb>25.98</fb>
    <v>10</v>
  </rv>
  <rv s="6">
    <fb>471.85</fb>
    <v>10</v>
  </rv>
  <rv s="6">
    <fb>263.36</fb>
    <v>10</v>
  </rv>
  <rv s="6">
    <fb>253.99</fb>
    <v>10</v>
  </rv>
  <rv s="6">
    <fb>467.18</fb>
    <v>10</v>
  </rv>
  <rv s="6">
    <fb>170.34</fb>
    <v>10</v>
  </rv>
  <rv s="6">
    <fb>416.56</fb>
    <v>10</v>
  </rv>
  <rv s="6">
    <fb>45427</fb>
    <v>11</v>
  </rv>
  <rv s="6">
    <fb>553.27</fb>
    <v>10</v>
  </rv>
  <rv s="6">
    <fb>421.35</fb>
    <v>10</v>
  </rv>
  <rv s="6">
    <fb>63.13</fb>
    <v>10</v>
  </rv>
  <rv s="6">
    <fb>166.51</fb>
    <v>10</v>
  </rv>
  <rv s="6">
    <fb>155.58000000000001</fb>
    <v>10</v>
  </rv>
  <rv s="6">
    <fb>26.42</fb>
    <v>10</v>
  </rv>
  <rv s="6">
    <fb>481.54</fb>
    <v>10</v>
  </rv>
  <rv s="6">
    <fb>270.79000000000002</fb>
    <v>10</v>
  </rv>
  <rv s="6">
    <fb>252.29</fb>
    <v>10</v>
  </rv>
  <rv s="6">
    <fb>464.08</fb>
    <v>10</v>
  </rv>
  <rv s="6">
    <fb>172.51</fb>
    <v>10</v>
  </rv>
  <rv s="6">
    <fb>423.08</fb>
    <v>10</v>
  </rv>
  <rv s="6">
    <fb>45428</fb>
    <v>11</v>
  </rv>
  <rv s="6">
    <fb>539.49</fb>
    <v>10</v>
  </rv>
  <rv s="6">
    <fb>415.05</fb>
    <v>10</v>
  </rv>
  <rv s="6">
    <fb>63.32</fb>
    <v>10</v>
  </rv>
  <rv s="6">
    <fb>230.73</fb>
    <v>10</v>
  </rv>
  <rv s="6">
    <fb>167.86</fb>
    <v>10</v>
  </rv>
  <rv s="6">
    <fb>27.2</fb>
    <v>10</v>
  </rv>
  <rv s="6">
    <fb>473.23</fb>
    <v>10</v>
  </rv>
  <rv s="6">
    <fb>263.82</fb>
    <v>10</v>
  </rv>
  <rv s="6">
    <fb>255.39</fb>
    <v>10</v>
  </rv>
  <rv s="6">
    <fb>464.83</fb>
    <v>10</v>
  </rv>
  <rv s="6">
    <fb>174.18</fb>
    <v>10</v>
  </rv>
  <rv s="6">
    <fb>45429</fb>
    <v>11</v>
  </rv>
  <rv s="6">
    <fb>545.11</fb>
    <v>10</v>
  </rv>
  <rv s="6">
    <fb>417.63</fb>
    <v>10</v>
  </rv>
  <rv s="6">
    <fb>63.03</fb>
    <v>10</v>
  </rv>
  <rv s="6">
    <fb>232.69</fb>
    <v>10</v>
  </rv>
  <rv s="6">
    <fb>167.64</fb>
    <v>10</v>
  </rv>
  <rv s="6">
    <fb>36</fb>
    <v>10</v>
  </rv>
  <rv s="6">
    <fb>26.97</fb>
    <v>10</v>
  </rv>
  <rv s="6">
    <fb>471.91</fb>
    <v>10</v>
  </rv>
  <rv s="6">
    <fb>264.39999999999998</fb>
    <v>10</v>
  </rv>
  <rv s="6">
    <fb>255.43</fb>
    <v>10</v>
  </rv>
  <rv s="6">
    <fb>466.2</fb>
    <v>10</v>
  </rv>
  <rv s="6">
    <fb>176.06</fb>
    <v>10</v>
  </rv>
  <rv s="6">
    <fb>420.21</fb>
    <v>10</v>
  </rv>
  <rv s="6">
    <fb>45432</fb>
    <v>11</v>
  </rv>
  <rv s="6">
    <fb>548</fb>
    <v>10</v>
  </rv>
  <rv s="6">
    <fb>419.82</fb>
    <v>10</v>
  </rv>
  <rv s="6">
    <fb>62.57</fb>
    <v>10</v>
  </rv>
  <rv s="6">
    <fb>232.75</fb>
    <v>10</v>
  </rv>
  <rv s="6">
    <fb>167.31</fb>
    <v>10</v>
  </rv>
  <rv s="6">
    <fb>35.78</fb>
    <v>10</v>
  </rv>
  <rv s="6">
    <fb>153.55000000000001</fb>
    <v>10</v>
  </rv>
  <rv s="6">
    <fb>33.409999999999997</fb>
    <v>10</v>
  </rv>
  <rv s="6">
    <fb>26.19</fb>
    <v>10</v>
  </rv>
  <rv s="6">
    <fb>468.84</fb>
    <v>10</v>
  </rv>
  <rv s="6">
    <fb>267.66000000000003</fb>
    <v>10</v>
  </rv>
  <rv s="6">
    <fb>250.56</fb>
    <v>10</v>
  </rv>
  <rv s="6">
    <fb>467.08</fb>
    <v>10</v>
  </rv>
  <rv s="6">
    <fb>176.92</fb>
    <v>10</v>
  </rv>
  <rv s="6">
    <fb>425.34</fb>
    <v>10</v>
  </rv>
  <rv s="6">
    <fb>45433</fb>
    <v>11</v>
  </rv>
  <rv s="6">
    <fb>546.87</fb>
    <v>10</v>
  </rv>
  <rv s="6">
    <fb>426.8</fb>
    <v>10</v>
  </rv>
  <rv s="6">
    <fb>62.91</fb>
    <v>10</v>
  </rv>
  <rv s="6">
    <fb>230.6</fb>
    <v>10</v>
  </rv>
  <rv s="6">
    <fb>168.35</fb>
    <v>10</v>
  </rv>
  <rv s="6">
    <fb>35.92</fb>
    <v>10</v>
  </rv>
  <rv s="6">
    <fb>153.66999999999999</fb>
    <v>10</v>
  </rv>
  <rv s="6">
    <fb>33.07</fb>
    <v>10</v>
  </rv>
  <rv s="6">
    <fb>464.63</fb>
    <v>10</v>
  </rv>
  <rv s="6">
    <fb>272.05</fb>
    <v>10</v>
  </rv>
  <rv s="6">
    <fb>250.98</fb>
    <v>10</v>
  </rv>
  <rv s="6">
    <fb>468.31</fb>
    <v>10</v>
  </rv>
  <rv s="6">
    <fb>177.85</fb>
    <v>10</v>
  </rv>
  <rv s="6">
    <fb>429.04</fb>
    <v>10</v>
  </rv>
  <rv s="6">
    <fb>45434</fb>
    <v>11</v>
  </rv>
  <rv s="6">
    <fb>546.07000000000005</fb>
    <v>10</v>
  </rv>
  <rv s="6">
    <fb>423.52</fb>
    <v>10</v>
  </rv>
  <rv s="6">
    <fb>63</fb>
    <v>10</v>
  </rv>
  <rv s="6">
    <fb>167.81</fb>
    <v>10</v>
  </rv>
  <rv s="6">
    <fb>36.380000000000003</fb>
    <v>10</v>
  </rv>
  <rv s="6">
    <fb>34.01</fb>
    <v>10</v>
  </rv>
  <rv s="6">
    <fb>26.41</fb>
    <v>10</v>
  </rv>
  <rv s="6">
    <fb>467.78</fb>
    <v>10</v>
  </rv>
  <rv s="6">
    <fb>271.10000000000002</fb>
    <v>10</v>
  </rv>
  <rv s="6">
    <fb>248.94</fb>
    <v>10</v>
  </rv>
  <rv s="6">
    <fb>469.71</fb>
    <v>10</v>
  </rv>
  <rv s="6">
    <fb>430.52</fb>
    <v>10</v>
  </rv>
  <rv s="6">
    <fb>45435</fb>
    <v>11</v>
  </rv>
  <rv s="6">
    <fb>526.57000000000005</fb>
    <v>10</v>
  </rv>
  <rv s="6">
    <fb>423.2</fb>
    <v>10</v>
  </rv>
  <rv s="6">
    <fb>62.09</fb>
    <v>10</v>
  </rv>
  <rv s="6">
    <fb>226.81</fb>
    <v>10</v>
  </rv>
  <rv s="6">
    <fb>165.49</fb>
    <v>10</v>
  </rv>
  <rv s="6">
    <fb>25.91</fb>
    <v>10</v>
  </rv>
  <rv s="6">
    <fb>465.78</fb>
    <v>10</v>
  </rv>
  <rv s="6">
    <fb>276.55</fb>
    <v>10</v>
  </rv>
  <rv s="6">
    <fb>245.12</fb>
    <v>10</v>
  </rv>
  <rv s="6">
    <fb>173.55</fb>
    <v>10</v>
  </rv>
  <rv s="6">
    <fb>45436</fb>
    <v>11</v>
  </rv>
  <rv s="6">
    <fb>529.83000000000004</fb>
    <v>10</v>
  </rv>
  <rv s="6">
    <fb>427.92</fb>
    <v>10</v>
  </rv>
  <rv s="6">
    <fb>62</fb>
    <v>10</v>
  </rv>
  <rv s="6">
    <fb>229.17</fb>
    <v>10</v>
  </rv>
  <rv s="6">
    <fb>165.33</fb>
    <v>10</v>
  </rv>
  <rv s="6">
    <fb>160</fb>
    <v>10</v>
  </rv>
  <rv s="6">
    <fb>33.78</fb>
    <v>10</v>
  </rv>
  <rv s="6">
    <fb>478.22</fb>
    <v>10</v>
  </rv>
  <rv s="6">
    <fb>283.43</fb>
    <v>10</v>
  </rv>
  <rv s="6">
    <fb>248.51</fb>
    <v>10</v>
  </rv>
  <rv s="6">
    <fb>467.35</fb>
    <v>10</v>
  </rv>
  <rv s="6">
    <fb>174.99</fb>
    <v>10</v>
  </rv>
  <rv s="6">
    <fb>430.16</fb>
    <v>10</v>
  </rv>
  <rv s="6">
    <fb>45440</fb>
    <v>11</v>
  </rv>
  <rv s="6">
    <fb>526.54</fb>
    <v>10</v>
  </rv>
  <rv s="6">
    <fb>421.42</fb>
    <v>10</v>
  </rv>
  <rv s="6">
    <fb>61.82</fb>
    <v>10</v>
  </rv>
  <rv s="6">
    <fb>223.39</fb>
    <v>10</v>
  </rv>
  <rv s="6">
    <fb>163.11000000000001</fb>
    <v>10</v>
  </rv>
  <rv s="6">
    <fb>35.049999999999997</fb>
    <v>10</v>
  </rv>
  <rv s="6">
    <fb>479.92</fb>
    <v>10</v>
  </rv>
  <rv s="6">
    <fb>279.64</fb>
    <v>10</v>
  </rv>
  <rv s="6">
    <fb>245.49</fb>
    <v>10</v>
  </rv>
  <rv s="6">
    <fb>458.48</fb>
    <v>10</v>
  </rv>
  <rv s="6">
    <fb>176.4</fb>
    <v>10</v>
  </rv>
  <rv s="6">
    <fb>430.32</fb>
    <v>10</v>
  </rv>
  <rv s="6">
    <fb>45441</fb>
    <v>11</v>
  </rv>
  <rv s="6">
    <fb>523.19000000000005</fb>
    <v>10</v>
  </rv>
  <rv s="6">
    <fb>414.54</fb>
    <v>10</v>
  </rv>
  <rv s="6">
    <fb>61.7</fb>
    <v>10</v>
  </rv>
  <rv s="6">
    <fb>223.42</fb>
    <v>10</v>
  </rv>
  <rv s="6">
    <fb>161.65</fb>
    <v>10</v>
  </rv>
  <rv s="6">
    <fb>474.36</fb>
    <v>10</v>
  </rv>
  <rv s="6">
    <fb>277.97000000000003</fb>
    <v>10</v>
  </rv>
  <rv s="6">
    <fb>243.97</fb>
    <v>10</v>
  </rv>
  <rv s="6">
    <fb>175.9</fb>
    <v>10</v>
  </rv>
  <rv s="6">
    <fb>429.17</fb>
    <v>10</v>
  </rv>
  <rv s="6">
    <fb>45442</fb>
    <v>11</v>
  </rv>
  <rv s="6">
    <fb>524.46</fb>
    <v>10</v>
  </rv>
  <rv s="6">
    <fb>417.17</fb>
    <v>10</v>
  </rv>
  <rv s="6">
    <fb>61.97</fb>
    <v>10</v>
  </rv>
  <rv s="6">
    <fb>223.22</fb>
    <v>10</v>
  </rv>
  <rv s="6">
    <fb>162.58000000000001</fb>
    <v>10</v>
  </rv>
  <rv s="6">
    <fb>152.96</fb>
    <v>10</v>
  </rv>
  <rv s="6">
    <fb>467.05</fb>
    <v>10</v>
  </rv>
  <rv s="6">
    <fb>279.76</fb>
    <v>10</v>
  </rv>
  <rv s="6">
    <fb>246.59</fb>
    <v>10</v>
  </rv>
  <rv s="6">
    <fb>460.94</fb>
    <v>10</v>
  </rv>
  <rv s="6">
    <fb>172.11</fb>
    <v>10</v>
  </rv>
  <rv s="6">
    <fb>414.67</fb>
    <v>10</v>
  </rv>
  <rv s="6">
    <fb>45443</fb>
    <v>11</v>
  </rv>
  <rv s="6">
    <fb>531.52</fb>
    <v>10</v>
  </rv>
  <rv s="6">
    <fb>418.29</fb>
    <v>10</v>
  </rv>
  <rv s="6">
    <fb>62.93</fb>
    <v>10</v>
  </rv>
  <rv s="6">
    <fb>222.88</fb>
    <v>10</v>
  </rv>
  <rv s="6">
    <fb>164.54</fb>
    <v>10</v>
  </rv>
  <rv s="6">
    <fb>35.369999999999997</fb>
    <v>10</v>
  </rv>
  <rv s="6">
    <fb>151.04</fb>
    <v>10</v>
  </rv>
  <rv s="6">
    <fb>26.15</fb>
    <v>10</v>
  </rv>
  <rv s="6">
    <fb>466.83</fb>
    <v>10</v>
  </rv>
  <rv s="6">
    <fb>275.94</fb>
    <v>10</v>
  </rv>
  <rv s="6">
    <fb>250.23</fb>
    <v>10</v>
  </rv>
  <rv s="6">
    <fb>470.34</fb>
    <v>10</v>
  </rv>
  <rv s="6">
    <fb>172.5</fb>
    <v>10</v>
  </rv>
  <rv s="6">
    <fb>415.13</fb>
    <v>10</v>
  </rv>
  <rv s="6">
    <fb>45446</fb>
    <v>11</v>
  </rv>
  <rv s="6">
    <fb>513.08000000000004</fb>
    <v>10</v>
  </rv>
  <rv s="6">
    <fb>405.32</fb>
    <v>10</v>
  </rv>
  <rv s="6">
    <fb>228.37</fb>
    <v>10</v>
  </rv>
  <rv s="6">
    <fb>164.65</fb>
    <v>10</v>
  </rv>
  <rv s="6">
    <fb>35.1</fb>
    <v>10</v>
  </rv>
  <rv s="6">
    <fb>154.94999999999999</fb>
    <v>10</v>
  </rv>
  <rv s="6">
    <fb>33.18</fb>
    <v>10</v>
  </rv>
  <rv s="6">
    <fb>477.49</fb>
    <v>10</v>
  </rv>
  <rv s="6">
    <fb>271.97000000000003</fb>
    <v>10</v>
  </rv>
  <rv s="6">
    <fb>250.32</fb>
    <v>10</v>
  </rv>
  <rv s="6">
    <fb>467.6</fb>
    <v>10</v>
  </rv>
  <rv s="6">
    <fb>173.17</fb>
    <v>10</v>
  </rv>
  <rv s="6">
    <fb>413.52</fb>
    <v>10</v>
  </rv>
  <rv s="6">
    <fb>45447</fb>
    <v>11</v>
  </rv>
  <rv s="6">
    <fb>512.45000000000005</fb>
    <v>10</v>
  </rv>
  <rv s="6">
    <fb>402.69</fb>
    <v>10</v>
  </rv>
  <rv s="6">
    <fb>167.01</fb>
    <v>10</v>
  </rv>
  <rv s="6">
    <fb>152.47</fb>
    <v>10</v>
  </rv>
  <rv s="6">
    <fb>32.770000000000003</fb>
    <v>10</v>
  </rv>
  <rv s="6">
    <fb>24.92</fb>
    <v>10</v>
  </rv>
  <rv s="6">
    <fb>476.99</fb>
    <v>10</v>
  </rv>
  <rv s="6">
    <fb>270.02</fb>
    <v>10</v>
  </rv>
  <rv s="6">
    <fb>250.34</fb>
    <v>10</v>
  </rv>
  <rv s="6">
    <fb>468.89</fb>
    <v>10</v>
  </rv>
  <rv s="6">
    <fb>173.79</fb>
    <v>10</v>
  </rv>
  <rv s="6">
    <fb>416.07</fb>
    <v>10</v>
  </rv>
  <rv s="6">
    <fb>45448</fb>
    <v>11</v>
  </rv>
  <rv s="6">
    <fb>523.20000000000005</fb>
    <v>10</v>
  </rv>
  <rv s="6">
    <fb>407.22</fb>
    <v>10</v>
  </rv>
  <rv s="6">
    <fb>229.91</fb>
    <v>10</v>
  </rv>
  <rv s="6">
    <fb>166.05</fb>
    <v>10</v>
  </rv>
  <rv s="6">
    <fb>162.91999999999999</fb>
    <v>10</v>
  </rv>
  <rv s="6">
    <fb>33.049999999999997</fb>
    <v>10</v>
  </rv>
  <rv s="6">
    <fb>495.06</fb>
    <v>10</v>
  </rv>
  <rv s="6">
    <fb>275.93</fb>
    <v>10</v>
  </rv>
  <rv s="6">
    <fb>250.03</fb>
    <v>10</v>
  </rv>
  <rv s="6">
    <fb>465.23</fb>
    <v>10</v>
  </rv>
  <rv s="6">
    <fb>175.41</fb>
    <v>10</v>
  </rv>
  <rv s="6">
    <fb>424.01</fb>
    <v>10</v>
  </rv>
  <rv s="6">
    <fb>45449</fb>
    <v>11</v>
  </rv>
  <rv s="6">
    <fb>515.22</fb>
    <v>10</v>
  </rv>
  <rv s="6">
    <fb>407.5</fb>
    <v>10</v>
  </rv>
  <rv s="6">
    <fb>230.48</fb>
    <v>10</v>
  </rv>
  <rv s="6">
    <fb>168.47</fb>
    <v>10</v>
  </rv>
  <rv s="6">
    <fb>162.07</fb>
    <v>10</v>
  </rv>
  <rv s="6">
    <fb>32.99</fb>
    <v>10</v>
  </rv>
  <rv s="6">
    <fb>23.61</fb>
    <v>10</v>
  </rv>
  <rv s="6">
    <fb>493.76</fb>
    <v>10</v>
  </rv>
  <rv s="6">
    <fb>267.27999999999997</fb>
    <v>10</v>
  </rv>
  <rv s="6">
    <fb>250.11</fb>
    <v>10</v>
  </rv>
  <rv s="6">
    <fb>468.62</fb>
    <v>10</v>
  </rv>
  <rv s="6">
    <fb>176.73</fb>
    <v>10</v>
  </rv>
  <rv s="6">
    <fb>424.52</fb>
    <v>10</v>
  </rv>
  <rv s="6">
    <fb>45450</fb>
    <v>11</v>
  </rv>
  <rv s="6">
    <fb>516.14</fb>
    <v>10</v>
  </rv>
  <rv s="6">
    <fb>408.85</fb>
    <v>10</v>
  </rv>
  <rv s="6">
    <fb>63.91</fb>
    <v>10</v>
  </rv>
  <rv s="6">
    <fb>167.06</fb>
    <v>10</v>
  </rv>
  <rv s="6">
    <fb>164.39</fb>
    <v>10</v>
  </rv>
  <rv s="6">
    <fb>32.75</fb>
    <v>10</v>
  </rv>
  <rv s="6">
    <fb>23.97</fb>
    <v>10</v>
  </rv>
  <rv s="6">
    <fb>492.96</fb>
    <v>10</v>
  </rv>
  <rv s="6">
    <fb>250.93</fb>
    <v>10</v>
  </rv>
  <rv s="6">
    <fb>470.13</fb>
    <v>10</v>
  </rv>
  <rv s="6">
    <fb>174.46</fb>
    <v>10</v>
  </rv>
  <rv s="6">
    <fb>423.85</fb>
    <v>10</v>
  </rv>
  <rv s="6">
    <fb>45453</fb>
    <v>11</v>
  </rv>
  <rv s="6">
    <fb>526</fb>
    <v>10</v>
  </rv>
  <rv s="6">
    <fb>408.98</fb>
    <v>10</v>
  </rv>
  <rv s="6">
    <fb>63.59</fb>
    <v>10</v>
  </rv>
  <rv s="6">
    <fb>224.79</fb>
    <v>10</v>
  </rv>
  <rv s="6">
    <fb>167.35</fb>
    <v>10</v>
  </rv>
  <rv s="6">
    <fb>33.549999999999997</fb>
    <v>10</v>
  </rv>
  <rv s="6">
    <fb>168.16</fb>
    <v>10</v>
  </rv>
  <rv s="6">
    <fb>32.93</fb>
    <v>10</v>
  </rv>
  <rv s="6">
    <fb>502.6</fb>
    <v>10</v>
  </rv>
  <rv s="6">
    <fb>271.57</fb>
    <v>10</v>
  </rv>
  <rv s="6">
    <fb>251.68</fb>
    <v>10</v>
  </rv>
  <rv s="6">
    <fb>467.46</fb>
    <v>10</v>
  </rv>
  <rv s="6">
    <fb>175.01</fb>
    <v>10</v>
  </rv>
  <rv s="6">
    <fb>427.87</fb>
    <v>10</v>
  </rv>
  <rv s="6">
    <fb>45454</fb>
    <v>11</v>
  </rv>
  <rv s="6">
    <fb>523</fb>
    <v>10</v>
  </rv>
  <rv s="6">
    <fb>408.94</fb>
    <v>10</v>
  </rv>
  <rv s="6">
    <fb>167.48</fb>
    <v>10</v>
  </rv>
  <rv s="6">
    <fb>33.65</fb>
    <v>10</v>
  </rv>
  <rv s="6">
    <fb>165.71</fb>
    <v>10</v>
  </rv>
  <rv s="6">
    <fb>32.67</fb>
    <v>10</v>
  </rv>
  <rv s="6">
    <fb>25.57</fb>
    <v>10</v>
  </rv>
  <rv s="6">
    <fb>507.47</fb>
    <v>10</v>
  </rv>
  <rv s="6">
    <fb>271.56</fb>
    <v>10</v>
  </rv>
  <rv s="6">
    <fb>251.03</fb>
    <v>10</v>
  </rv>
  <rv s="6">
    <fb>462.8</fb>
    <v>10</v>
  </rv>
  <rv s="6">
    <fb>176.62</fb>
    <v>10</v>
  </rv>
  <rv s="6">
    <fb>432.68</fb>
    <v>10</v>
  </rv>
  <rv s="6">
    <fb>45455</fb>
    <v>11</v>
  </rv>
  <rv s="6">
    <fb>532.96</fb>
    <v>10</v>
  </rv>
  <rv s="6">
    <fb>415.59</fb>
    <v>10</v>
  </rv>
  <rv s="6">
    <fb>225.84</fb>
    <v>10</v>
  </rv>
  <rv s="6">
    <fb>165.18</fb>
    <v>10</v>
  </rv>
  <rv s="6">
    <fb>32.92</fb>
    <v>10</v>
  </rv>
  <rv s="6">
    <fb>172.98</fb>
    <v>10</v>
  </rv>
  <rv s="6">
    <fb>32.76</fb>
    <v>10</v>
  </rv>
  <rv s="6">
    <fb>25.89</fb>
    <v>10</v>
  </rv>
  <rv s="6">
    <fb>508.84</fb>
    <v>10</v>
  </rv>
  <rv s="6">
    <fb>252.51</fb>
    <v>10</v>
  </rv>
  <rv s="6">
    <fb>459.11</fb>
    <v>10</v>
  </rv>
  <rv s="6">
    <fb>177.79</fb>
    <v>10</v>
  </rv>
  <rv s="6">
    <fb>45456</fb>
    <v>11</v>
  </rv>
  <rv s="6">
    <fb>528.9</fb>
    <v>10</v>
  </rv>
  <rv s="6">
    <fb>413.59</fb>
    <v>10</v>
  </rv>
  <rv s="6">
    <fb>62.99</fb>
    <v>10</v>
  </rv>
  <rv s="6">
    <fb>221.05</fb>
    <v>10</v>
  </rv>
  <rv s="6">
    <fb>166.41</fb>
    <v>10</v>
  </rv>
  <rv s="6">
    <fb>32.54</fb>
    <v>10</v>
  </rv>
  <rv s="6">
    <fb>172.91</fb>
    <v>10</v>
  </rv>
  <rv s="6">
    <fb>32.53</fb>
    <v>10</v>
  </rv>
  <rv s="6">
    <fb>504.1</fb>
    <v>10</v>
  </rv>
  <rv s="6">
    <fb>276.7</fb>
    <v>10</v>
  </rv>
  <rv s="6">
    <fb>254.62</fb>
    <v>10</v>
  </rv>
  <rv s="6">
    <fb>458.56</fb>
    <v>10</v>
  </rv>
  <rv s="6">
    <fb>175.16</fb>
    <v>10</v>
  </rv>
  <rv s="6">
    <fb>441.58</fb>
    <v>10</v>
  </rv>
  <rv s="6">
    <fb>45457</fb>
    <v>11</v>
  </rv>
  <rv s="6">
    <fb>503.3</fb>
    <v>10</v>
  </rv>
  <rv s="6">
    <fb>405.3</fb>
    <v>10</v>
  </rv>
  <rv s="6">
    <fb>62.55</fb>
    <v>10</v>
  </rv>
  <rv s="6">
    <fb>218.29</fb>
    <v>10</v>
  </rv>
  <rv s="6">
    <fb>166.79</fb>
    <v>10</v>
  </rv>
  <rv s="6">
    <fb>32.380000000000003</fb>
    <v>10</v>
  </rv>
  <rv s="6">
    <fb>32.18</fb>
    <v>10</v>
  </rv>
  <rv s="6">
    <fb>25.19</fb>
    <v>10</v>
  </rv>
  <rv s="6">
    <fb>504.16</fb>
    <v>10</v>
  </rv>
  <rv s="6">
    <fb>273.29000000000002</fb>
    <v>10</v>
  </rv>
  <rv s="6">
    <fb>253.5</fb>
    <v>10</v>
  </rv>
  <rv s="6">
    <fb>458.34</fb>
    <v>10</v>
  </rv>
  <rv s="6">
    <fb>176.79</fb>
    <v>10</v>
  </rv>
  <rv s="6">
    <fb>442.57</fb>
    <v>10</v>
  </rv>
  <rv s="6">
    <fb>45460</fb>
    <v>11</v>
  </rv>
  <rv s="6">
    <fb>506.03</fb>
    <v>10</v>
  </rv>
  <rv s="6">
    <fb>415.17</fb>
    <v>10</v>
  </rv>
  <rv s="6">
    <fb>216.12</fb>
    <v>10</v>
  </rv>
  <rv s="6">
    <fb>167.5</fb>
    <v>10</v>
  </rv>
  <rv s="6">
    <fb>177.24</fb>
    <v>10</v>
  </rv>
  <rv s="6">
    <fb>32.61</fb>
    <v>10</v>
  </rv>
  <rv s="6">
    <fb>25.2</fb>
    <v>10</v>
  </rv>
  <rv s="6">
    <fb>506.63</fb>
    <v>10</v>
  </rv>
  <rv s="6">
    <fb>276.58</fb>
    <v>10</v>
  </rv>
  <rv s="6">
    <fb>459.01</fb>
    <v>10</v>
  </rv>
  <rv s="6">
    <fb>448.37</fb>
    <v>10</v>
  </rv>
  <rv s="6">
    <fb>45461</fb>
    <v>11</v>
  </rv>
  <rv s="6">
    <fb>506.83</fb>
    <v>10</v>
  </rv>
  <rv s="6">
    <fb>422.12</fb>
    <v>10</v>
  </rv>
  <rv s="6">
    <fb>62.63</fb>
    <v>10</v>
  </rv>
  <rv s="6">
    <fb>168.56</fb>
    <v>10</v>
  </rv>
  <rv s="6">
    <fb>179.69</fb>
    <v>10</v>
  </rv>
  <rv s="6">
    <fb>25.23</fb>
    <v>10</v>
  </rv>
  <rv s="6">
    <fb>499.49</fb>
    <v>10</v>
  </rv>
  <rv s="6">
    <fb>281.2</fb>
    <v>10</v>
  </rv>
  <rv s="6">
    <fb>263.64999999999998</fb>
    <v>10</v>
  </rv>
  <rv s="6">
    <fb>460</fb>
    <v>10</v>
  </rv>
  <rv s="6">
    <fb>175.09</fb>
    <v>10</v>
  </rv>
  <rv s="6">
    <fb>446.34</fb>
    <v>10</v>
  </rv>
  <rv s="6">
    <fb>45463</fb>
    <v>11</v>
  </rv>
  <rv s="6">
    <fb>507.99</fb>
    <v>10</v>
  </rv>
  <rv s="6">
    <fb>419.98</fb>
    <v>10</v>
  </rv>
  <rv s="6">
    <fb>62.18</fb>
    <v>10</v>
  </rv>
  <rv s="6">
    <fb>219.31</fb>
    <v>10</v>
  </rv>
  <rv s="6">
    <fb>167.67</fb>
    <v>10</v>
  </rv>
  <rv s="6">
    <fb>175.38</fb>
    <v>10</v>
  </rv>
  <rv s="6">
    <fb>501.7</fb>
    <v>10</v>
  </rv>
  <rv s="6">
    <fb>273.97000000000003</fb>
    <v>10</v>
  </rv>
  <rv s="6">
    <fb>262.83</fb>
    <v>10</v>
  </rv>
  <rv s="6">
    <fb>466.34</fb>
    <v>10</v>
  </rv>
  <rv s="6">
    <fb>176.3</fb>
    <v>10</v>
  </rv>
  <rv s="6">
    <fb>445.7</fb>
    <v>10</v>
  </rv>
  <rv s="6">
    <fb>45464</fb>
    <v>11</v>
  </rv>
  <rv s="6">
    <fb>417.22</fb>
    <v>10</v>
  </rv>
  <rv s="6">
    <fb>62.77</fb>
    <v>10</v>
  </rv>
  <rv s="6">
    <fb>218.12</fb>
    <v>10</v>
  </rv>
  <rv s="6">
    <fb>168.26</fb>
    <v>10</v>
  </rv>
  <rv s="6">
    <fb>173.96</fb>
    <v>10</v>
  </rv>
  <rv s="6">
    <fb>25.08</fb>
    <v>10</v>
  </rv>
  <rv s="6">
    <fb>494.78</fb>
    <v>10</v>
  </rv>
  <rv s="6">
    <fb>274</fb>
    <v>10</v>
  </rv>
  <rv s="6">
    <fb>263.5</fb>
    <v>10</v>
  </rv>
  <rv s="6">
    <fb>179.63</fb>
    <v>10</v>
  </rv>
  <rv s="6">
    <fb>45467</fb>
    <v>11</v>
  </rv>
  <rv s="6">
    <fb>510.29</fb>
    <v>10</v>
  </rv>
  <rv s="6">
    <fb>426.43</fb>
    <v>10</v>
  </rv>
  <rv s="6">
    <fb>63.97</fb>
    <v>10</v>
  </rv>
  <rv s="6">
    <fb>216.56</fb>
    <v>10</v>
  </rv>
  <rv s="6">
    <fb>168.45</fb>
    <v>10</v>
  </rv>
  <rv s="6">
    <fb>498.91</fb>
    <v>10</v>
  </rv>
  <rv s="6">
    <fb>274.23</fb>
    <v>10</v>
  </rv>
  <rv s="6">
    <fb>265.13</fb>
    <v>10</v>
  </rv>
  <rv s="6">
    <fb>471.51</fb>
    <v>10</v>
  </rv>
  <rv s="6">
    <fb>179.22</fb>
    <v>10</v>
  </rv>
  <rv s="6">
    <fb>447.67</fb>
    <v>10</v>
  </rv>
  <rv s="6">
    <fb>45468</fb>
    <v>11</v>
  </rv>
  <rv s="6">
    <fb>505.3</fb>
    <v>10</v>
  </rv>
  <rv s="6">
    <fb>415.42</fb>
    <v>10</v>
  </rv>
  <rv s="6">
    <fb>63.84</fb>
    <v>10</v>
  </rv>
  <rv s="6">
    <fb>215.43</fb>
    <v>10</v>
  </rv>
  <rv s="6">
    <fb>32.799999999999997</fb>
    <v>10</v>
  </rv>
  <rv s="6">
    <fb>172.6</fb>
    <v>10</v>
  </rv>
  <rv s="6">
    <fb>32.71</fb>
    <v>10</v>
  </rv>
  <rv s="6">
    <fb>25.4</fb>
    <v>10</v>
  </rv>
  <rv s="6">
    <fb>510.6</fb>
    <v>10</v>
  </rv>
  <rv s="6">
    <fb>272.97000000000003</fb>
    <v>10</v>
  </rv>
  <rv s="6">
    <fb>261.68</fb>
    <v>10</v>
  </rv>
  <rv s="6">
    <fb>468.07</fb>
    <v>10</v>
  </rv>
  <rv s="6">
    <fb>184.03</fb>
    <v>10</v>
  </rv>
  <rv s="6">
    <fb>450.95</fb>
    <v>10</v>
  </rv>
  <rv s="6">
    <fb>45469</fb>
    <v>11</v>
  </rv>
  <rv s="6">
    <fb>502.63</fb>
    <v>10</v>
  </rv>
  <rv s="6">
    <fb>412.43</fb>
    <v>10</v>
  </rv>
  <rv s="6">
    <fb>167.45</fb>
    <v>10</v>
  </rv>
  <rv s="6">
    <fb>172.07</fb>
    <v>10</v>
  </rv>
  <rv s="6">
    <fb>33.01</fb>
    <v>10</v>
  </rv>
  <rv s="6">
    <fb>25.33</fb>
    <v>10</v>
  </rv>
  <rv s="6">
    <fb>513.12</fb>
    <v>10</v>
  </rv>
  <rv s="6">
    <fb>266.57</fb>
    <v>10</v>
  </rv>
  <rv s="6">
    <fb>261.07</fb>
    <v>10</v>
  </rv>
  <rv s="6">
    <fb>466.99</fb>
    <v>10</v>
  </rv>
  <rv s="6">
    <fb>183.88</fb>
    <v>10</v>
  </rv>
  <rv s="6">
    <fb>452.16</fb>
    <v>10</v>
  </rv>
  <rv s="6">
    <fb>45470</fb>
    <v>11</v>
  </rv>
  <rv s="6">
    <fb>504.22</fb>
    <v>10</v>
  </rv>
  <rv s="6">
    <fb>411.23</fb>
    <v>10</v>
  </rv>
  <rv s="6">
    <fb>171.63</fb>
    <v>10</v>
  </rv>
  <rv s="6">
    <fb>519.55999999999995</fb>
    <v>10</v>
  </rv>
  <rv s="6">
    <fb>267.06</fb>
    <v>10</v>
  </rv>
  <rv s="6">
    <fb>467.13</fb>
    <v>10</v>
  </rv>
  <rv s="6">
    <fb>185.41</fb>
    <v>10</v>
  </rv>
  <rv s="6">
    <fb>452.85</fb>
    <v>10</v>
  </rv>
  <rv s="6">
    <fb>45471</fb>
    <v>11</v>
  </rv>
  <rv s="6">
    <fb>505.81</fb>
    <v>10</v>
  </rv>
  <rv s="6">
    <fb>405.21</fb>
    <v>10</v>
  </rv>
  <rv s="6">
    <fb>219.54</fb>
    <v>10</v>
  </rv>
  <rv s="6">
    <fb>164.92</fb>
    <v>10</v>
  </rv>
  <rv s="6">
    <fb>32.22</fb>
    <v>10</v>
  </rv>
  <rv s="6">
    <fb>173.81</fb>
    <v>10</v>
  </rv>
  <rv s="6">
    <fb>257.27999999999997</fb>
    <v>10</v>
  </rv>
  <rv s="6">
    <fb>467.1</fb>
    <v>10</v>
  </rv>
  <rv s="6">
    <fb>182.15</fb>
    <v>10</v>
  </rv>
  <rv s="6">
    <fb>446.95</fb>
    <v>10</v>
  </rv>
  <rv s="6">
    <fb>45474</fb>
    <v>11</v>
  </rv>
  <rv s="6">
    <fb>501.01</fb>
    <v>10</v>
  </rv>
  <rv s="6">
    <fb>397.61</fb>
    <v>10</v>
  </rv>
  <rv s="6">
    <fb>63.28</fb>
    <v>10</v>
  </rv>
  <rv s="6">
    <fb>218.54</fb>
    <v>10</v>
  </rv>
  <rv s="6">
    <fb>162.72</fb>
    <v>10</v>
  </rv>
  <rv s="6">
    <fb>172.33</fb>
    <v>10</v>
  </rv>
  <rv s="6">
    <fb>24.97</fb>
    <v>10</v>
  </rv>
  <rv s="6">
    <fb>504.68</fb>
    <v>10</v>
  </rv>
  <rv s="6">
    <fb>247.61</fb>
    <v>10</v>
  </rv>
  <rv s="6">
    <fb>256.29000000000002</fb>
    <v>10</v>
  </rv>
  <rv s="6">
    <fb>466.44</fb>
    <v>10</v>
  </rv>
  <rv s="6">
    <fb>182.99</fb>
    <v>10</v>
  </rv>
  <rv s="6">
    <fb>456.73</fb>
    <v>10</v>
  </rv>
  <rv s="6">
    <fb>45475</fb>
    <v>11</v>
  </rv>
  <rv s="6">
    <fb>510.03</fb>
    <v>10</v>
  </rv>
  <rv s="6">
    <fb>405.46</fb>
    <v>10</v>
  </rv>
  <rv s="6">
    <fb>218.34</fb>
    <v>10</v>
  </rv>
  <rv s="6">
    <fb>163.9</fb>
    <v>10</v>
  </rv>
  <rv s="6">
    <fb>32</fb>
    <v>10</v>
  </rv>
  <rv s="6">
    <fb>175.7</fb>
    <v>10</v>
  </rv>
  <rv s="6">
    <fb>25</fb>
    <v>10</v>
  </rv>
  <rv s="6">
    <fb>509.5</fb>
    <v>10</v>
  </rv>
  <rv s="6">
    <fb>247.78</fb>
    <v>10</v>
  </rv>
  <rv s="6">
    <fb>258.94</fb>
    <v>10</v>
  </rv>
  <rv s="6">
    <fb>185.24</fb>
    <v>10</v>
  </rv>
  <rv s="6">
    <fb>459.28</fb>
    <v>10</v>
  </rv>
  <rv s="6">
    <fb>45476</fb>
    <v>11</v>
  </rv>
  <rv s="6">
    <fb>512.72</fb>
    <v>10</v>
  </rv>
  <rv s="6">
    <fb>63.33</fb>
    <v>10</v>
  </rv>
  <rv s="6">
    <fb>217.38</fb>
    <v>10</v>
  </rv>
  <rv s="6">
    <fb>163.83000000000001</fb>
    <v>10</v>
  </rv>
  <rv s="6">
    <fb>32.090000000000003</fb>
    <v>10</v>
  </rv>
  <rv s="6">
    <fb>182.49</fb>
    <v>10</v>
  </rv>
  <rv s="6">
    <fb>25.15</fb>
    <v>10</v>
  </rv>
  <rv s="6">
    <fb>509.96</fb>
    <v>10</v>
  </rv>
  <rv s="6">
    <fb>254.6</fb>
    <v>10</v>
  </rv>
  <rv s="6">
    <fb>250.37</fb>
    <v>10</v>
  </rv>
  <rv s="6">
    <fb>466.03</fb>
    <v>10</v>
  </rv>
  <rv s="6">
    <fb>185.82</fb>
    <v>10</v>
  </rv>
  <rv s="6">
    <fb>460.77</fb>
    <v>10</v>
  </rv>
  <rv s="6">
    <fb>45478</fb>
    <v>11</v>
  </rv>
  <rv s="6">
    <fb>505.5</fb>
    <v>10</v>
  </rv>
  <rv s="6">
    <fb>406.95</fb>
    <v>10</v>
  </rv>
  <rv s="6">
    <fb>63.76</fb>
    <v>10</v>
  </rv>
  <rv s="6">
    <fb>220.05</fb>
    <v>10</v>
  </rv>
  <rv s="6">
    <fb>165.21</fb>
    <v>10</v>
  </rv>
  <rv s="6">
    <fb>183.99</fb>
    <v>10</v>
  </rv>
  <rv s="6">
    <fb>24.41</fb>
    <v>10</v>
  </rv>
  <rv s="6">
    <fb>539.91</fb>
    <v>10</v>
  </rv>
  <rv s="6">
    <fb>252.53</fb>
    <v>10</v>
  </rv>
  <rv s="6">
    <fb>259.14</fb>
    <v>10</v>
  </rv>
  <rv s="6">
    <fb>462.16</fb>
    <v>10</v>
  </rv>
  <rv s="6">
    <fb>190.6</fb>
    <v>10</v>
  </rv>
  <rv s="6">
    <fb>467.56</fb>
    <v>10</v>
  </rv>
  <rv s="6">
    <fb>45481</fb>
    <v>11</v>
  </rv>
  <rv s="6">
    <fb>508.77</fb>
    <v>10</v>
  </rv>
  <rv s="6">
    <fb>410.13</fb>
    <v>10</v>
  </rv>
  <rv s="6">
    <fb>62.96</fb>
    <v>10</v>
  </rv>
  <rv s="6">
    <fb>219.83</fb>
    <v>10</v>
  </rv>
  <rv s="6">
    <fb>32.1</fb>
    <v>10</v>
  </rv>
  <rv s="6">
    <fb>186.63</fb>
    <v>10</v>
  </rv>
  <rv s="6">
    <fb>33.39</fb>
    <v>10</v>
  </rv>
  <rv s="6">
    <fb>24.37</fb>
    <v>10</v>
  </rv>
  <rv s="6">
    <fb>529.32000000000005</fb>
    <v>10</v>
  </rv>
  <rv s="6">
    <fb>254.66</fb>
    <v>10</v>
  </rv>
  <rv s="6">
    <fb>253.84</fb>
    <v>10</v>
  </rv>
  <rv s="6">
    <fb>461.76</fb>
    <v>10</v>
  </rv>
  <rv s="6">
    <fb>189.03</fb>
    <v>10</v>
  </rv>
  <rv s="6">
    <fb>466.24</fb>
    <v>10</v>
  </rv>
  <rv s="6">
    <fb>45482</fb>
    <v>11</v>
  </rv>
  <rv s="6">
    <fb>508.68</fb>
    <v>10</v>
  </rv>
  <rv s="6">
    <fb>407.6</fb>
    <v>10</v>
  </rv>
  <rv s="6">
    <fb>213.51</fb>
    <v>10</v>
  </rv>
  <rv s="6">
    <fb>165.66</fb>
    <v>10</v>
  </rv>
  <rv s="6">
    <fb>31.93</fb>
    <v>10</v>
  </rv>
  <rv s="6">
    <fb>184.52</fb>
    <v>10</v>
  </rv>
  <rv s="6">
    <fb>32.479999999999997</fb>
    <v>10</v>
  </rv>
  <rv s="6">
    <fb>22.87</fb>
    <v>10</v>
  </rv>
  <rv s="6">
    <fb>254.79</fb>
    <v>10</v>
  </rv>
  <rv s="6">
    <fb>252.09</fb>
    <v>10</v>
  </rv>
  <rv s="6">
    <fb>460.3</fb>
    <v>10</v>
  </rv>
  <rv s="6">
    <fb>459.54</fb>
    <v>10</v>
  </rv>
  <rv s="6">
    <fb>45483</fb>
    <v>11</v>
  </rv>
  <rv s="6">
    <fb>523.16999999999996</fb>
    <v>10</v>
  </rv>
  <rv s="6">
    <fb>416.88</fb>
    <v>10</v>
  </rv>
  <rv s="6">
    <fb>166.8</fb>
    <v>10</v>
  </rv>
  <rv s="6">
    <fb>191.05</fb>
    <v>10</v>
  </rv>
  <rv s="6">
    <fb>23.17</fb>
    <v>10</v>
  </rv>
  <rv s="6">
    <fb>534.69000000000005</fb>
    <v>10</v>
  </rv>
  <rv s="6">
    <fb>253.08</fb>
    <v>10</v>
  </rv>
  <rv s="6">
    <fb>461.01</fb>
    <v>10</v>
  </rv>
  <rv s="6">
    <fb>191.18</fb>
    <v>10</v>
  </rv>
  <rv s="6">
    <fb>466.25</fb>
    <v>10</v>
  </rv>
  <rv s="6">
    <fb>45484</fb>
    <v>11</v>
  </rv>
  <rv s="6">
    <fb>528.16</fb>
    <v>10</v>
  </rv>
  <rv s="6">
    <fb>426.05</fb>
    <v>10</v>
  </rv>
  <rv s="6">
    <fb>217.84</fb>
    <v>10</v>
  </rv>
  <rv s="6">
    <fb>165.54</fb>
    <v>10</v>
  </rv>
  <rv s="6">
    <fb>184.5</fb>
    <v>10</v>
  </rv>
  <rv s="6">
    <fb>33.74</fb>
    <v>10</v>
  </rv>
  <rv s="6">
    <fb>23.86</fb>
    <v>10</v>
  </rv>
  <rv s="6">
    <fb>512.70000000000005</fb>
    <v>10</v>
  </rv>
  <rv s="6">
    <fb>264.14</fb>
    <v>10</v>
  </rv>
  <rv s="6">
    <fb>259.37</fb>
    <v>10</v>
  </rv>
  <rv s="6">
    <fb>185.57</fb>
    <v>10</v>
  </rv>
  <rv s="6">
    <fb>454.7</fb>
    <v>10</v>
  </rv>
  <rv s="6">
    <fb>45485</fb>
    <v>11</v>
  </rv>
  <rv s="6">
    <fb>537.9</fb>
    <v>10</v>
  </rv>
  <rv s="6">
    <fb>430.54</fb>
    <v>10</v>
  </rv>
  <rv s="6">
    <fb>63.7</fb>
    <v>10</v>
  </rv>
  <rv s="6">
    <fb>221.72</fb>
    <v>10</v>
  </rv>
  <rv s="6">
    <fb>32.07</fb>
    <v>10</v>
  </rv>
  <rv s="6">
    <fb>187.35</fb>
    <v>10</v>
  </rv>
  <rv s="6">
    <fb>24.94</fb>
    <v>10</v>
  </rv>
  <rv s="6">
    <fb>498.87</fb>
    <v>10</v>
  </rv>
  <rv s="6">
    <fb>268.81</fb>
    <v>10</v>
  </rv>
  <rv s="6">
    <fb>259.82</fb>
    <v>10</v>
  </rv>
  <rv s="6">
    <fb>463.73</fb>
    <v>10</v>
  </rv>
  <rv s="6">
    <fb>185.07</fb>
    <v>10</v>
  </rv>
  <rv s="6">
    <fb>45488</fb>
    <v>11</v>
  </rv>
  <rv s="6">
    <fb>544.74</fb>
    <v>10</v>
  </rv>
  <rv s="6">
    <fb>430.91</fb>
    <v>10</v>
  </rv>
  <rv s="6">
    <fb>63.41</fb>
    <v>10</v>
  </rv>
  <rv s="6">
    <fb>220.5</fb>
    <v>10</v>
  </rv>
  <rv s="6">
    <fb>164.58</fb>
    <v>10</v>
  </rv>
  <rv s="6">
    <fb>185.22</fb>
    <v>10</v>
  </rv>
  <rv s="6">
    <fb>26.24</fb>
    <v>10</v>
  </rv>
  <rv s="6">
    <fb>496.16</fb>
    <v>10</v>
  </rv>
  <rv s="6">
    <fb>257.24</fb>
    <v>10</v>
  </rv>
  <rv s="6">
    <fb>249.53</fb>
    <v>10</v>
  </rv>
  <rv s="6">
    <fb>463.88</fb>
    <v>10</v>
  </rv>
  <rv s="6">
    <fb>453.96</fb>
    <v>10</v>
  </rv>
  <rv s="6">
    <fb>45489</fb>
    <v>11</v>
  </rv>
  <rv s="6">
    <fb>568.67999999999995</fb>
    <v>10</v>
  </rv>
  <rv s="6">
    <fb>440.08</fb>
    <v>10</v>
  </rv>
  <rv s="6">
    <fb>64.27</fb>
    <v>10</v>
  </rv>
  <rv s="6">
    <fb>227.64</fb>
    <v>10</v>
  </rv>
  <rv s="6">
    <fb>166.95</fb>
    <v>10</v>
  </rv>
  <rv s="6">
    <fb>32.840000000000003</fb>
    <v>10</v>
  </rv>
  <rv s="6">
    <fb>186.04</fb>
    <v>10</v>
  </rv>
  <rv s="6">
    <fb>35.33</fb>
    <v>10</v>
  </rv>
  <rv s="6">
    <fb>27.84</fb>
    <v>10</v>
  </rv>
  <rv s="6">
    <fb>489.79</fb>
    <v>10</v>
  </rv>
  <rv s="6">
    <fb>248.09</fb>
    <v>10</v>
  </rv>
  <rv s="6">
    <fb>468.58</fb>
    <v>10</v>
  </rv>
  <rv s="6">
    <fb>183.92</fb>
    <v>10</v>
  </rv>
  <rv s="6">
    <fb>449.52</fb>
    <v>10</v>
  </rv>
  <rv s="6">
    <fb>45490</fb>
    <v>11</v>
  </rv>
  <rv s="6">
    <fb>557.94000000000005</fb>
    <v>10</v>
  </rv>
  <rv s="6">
    <fb>65.209999999999994</fb>
    <v>10</v>
  </rv>
  <rv s="6">
    <fb>228.71</fb>
    <v>10</v>
  </rv>
  <rv s="6">
    <fb>169.44</fb>
    <v>10</v>
  </rv>
  <rv s="6">
    <fb>33.9</fb>
    <v>10</v>
  </rv>
  <rv s="6">
    <fb>171.2</fb>
    <v>10</v>
  </rv>
  <rv s="6">
    <fb>35.450000000000003</fb>
    <v>10</v>
  </rv>
  <rv s="6">
    <fb>28.87</fb>
    <v>10</v>
  </rv>
  <rv s="6">
    <fb>461.99</fb>
    <v>10</v>
  </rv>
  <rv s="6">
    <fb>244.94</fb>
    <v>10</v>
  </rv>
  <rv s="6">
    <fb>248.23</fb>
    <v>10</v>
  </rv>
  <rv s="6">
    <fb>476.07</fb>
    <v>10</v>
  </rv>
  <rv s="6">
    <fb>181.02</fb>
    <v>10</v>
  </rv>
  <rv s="6">
    <fb>443.52</fb>
    <v>10</v>
  </rv>
  <rv s="6">
    <fb>45491</fb>
    <v>11</v>
  </rv>
  <rv s="6">
    <fb>547.66999999999996</fb>
    <v>10</v>
  </rv>
  <rv s="6">
    <fb>423.03</fb>
    <v>10</v>
  </rv>
  <rv s="6">
    <fb>65.19</fb>
    <v>10</v>
  </rv>
  <rv s="6">
    <fb>225.45</fb>
    <v>10</v>
  </rv>
  <rv s="6">
    <fb>168.44</fb>
    <v>10</v>
  </rv>
  <rv s="6">
    <fb>171.87</fb>
    <v>10</v>
  </rv>
  <rv s="6">
    <fb>28.62</fb>
    <v>10</v>
  </rv>
  <rv s="6">
    <fb>264.70999999999998</fb>
    <v>10</v>
  </rv>
  <rv s="6">
    <fb>476</fb>
    <v>10</v>
  </rv>
  <rv s="6">
    <fb>177.69</fb>
    <v>10</v>
  </rv>
  <rv s="6">
    <fb>440.37</fb>
    <v>10</v>
  </rv>
  <rv s="6">
    <fb>45492</fb>
    <v>11</v>
  </rv>
  <rv s="6">
    <fb>544.65</fb>
    <v>10</v>
  </rv>
  <rv s="6">
    <fb>417</fb>
    <v>10</v>
  </rv>
  <rv s="6">
    <fb>65.290000000000006</fb>
    <v>10</v>
  </rv>
  <rv s="6">
    <fb>224.29</fb>
    <v>10</v>
  </rv>
  <rv s="6">
    <fb>167.96</fb>
    <v>10</v>
  </rv>
  <rv s="6">
    <fb>33.119999999999997</fb>
    <v>10</v>
  </rv>
  <rv s="6">
    <fb>165.77</fb>
    <v>10</v>
  </rv>
  <rv s="6">
    <fb>28.61</fb>
    <v>10</v>
  </rv>
  <rv s="6">
    <fb>476.79</fb>
    <v>10</v>
  </rv>
  <rv s="6">
    <fb>245.45</fb>
    <v>10</v>
  </rv>
  <rv s="6">
    <fb>474.92</fb>
    <v>10</v>
  </rv>
  <rv s="6">
    <fb>177.66</fb>
    <v>10</v>
  </rv>
  <rv s="6">
    <fb>437.11</fb>
    <v>10</v>
  </rv>
  <rv s="6">
    <fb>45495</fb>
    <v>11</v>
  </rv>
  <rv s="6">
    <fb>552.12</fb>
    <v>10</v>
  </rv>
  <rv s="6">
    <fb>427.37</fb>
    <v>10</v>
  </rv>
  <rv s="6">
    <fb>64.77</fb>
    <v>10</v>
  </rv>
  <rv s="6">
    <fb>228.77</fb>
    <v>10</v>
  </rv>
  <rv s="6">
    <fb>168.25</fb>
    <v>10</v>
  </rv>
  <rv s="6">
    <fb>32.82</fb>
    <v>10</v>
  </rv>
  <rv s="6">
    <fb>169.35</fb>
    <v>10</v>
  </rv>
  <rv s="6">
    <fb>34.51</fb>
    <v>10</v>
  </rv>
  <rv s="6">
    <fb>487.4</fb>
    <v>10</v>
  </rv>
  <rv s="6">
    <fb>267.70999999999998</fb>
    <v>10</v>
  </rv>
  <rv s="6">
    <fb>243.21</fb>
    <v>10</v>
  </rv>
  <rv s="6">
    <fb>474.59</fb>
    <v>10</v>
  </rv>
  <rv s="6">
    <fb>181.67</fb>
    <v>10</v>
  </rv>
  <rv s="6">
    <fb>442.94</fb>
    <v>10</v>
  </rv>
  <rv s="6">
    <fb>45496</fb>
    <v>11</v>
  </rv>
  <rv s="6">
    <fb>551.66</fb>
    <v>10</v>
  </rv>
  <rv s="6">
    <fb>429.48</fb>
    <v>10</v>
  </rv>
  <rv s="6">
    <fb>64.959999999999994</fb>
    <v>10</v>
  </rv>
  <rv s="6">
    <fb>231.7</fb>
    <v>10</v>
  </rv>
  <rv s="6">
    <fb>169.82</fb>
    <v>10</v>
  </rv>
  <rv s="6">
    <fb>30.26</fb>
    <v>10</v>
  </rv>
  <rv s="6">
    <fb>488.69</fb>
    <v>10</v>
  </rv>
  <rv s="6">
    <fb>264.45999999999998</fb>
    <v>10</v>
  </rv>
  <rv s="6">
    <fb>245.98</fb>
    <v>10</v>
  </rv>
  <rv s="6">
    <fb>501.29</fb>
    <v>10</v>
  </rv>
  <rv s="6">
    <fb>181.79</fb>
    <v>10</v>
  </rv>
  <rv s="6">
    <fb>444.85</fb>
    <v>10</v>
  </rv>
  <rv s="6">
    <fb>45497</fb>
    <v>11</v>
  </rv>
  <rv s="6">
    <fb>529.26</fb>
    <v>10</v>
  </rv>
  <rv s="6">
    <fb>412.27</fb>
    <v>10</v>
  </rv>
  <rv s="6">
    <fb>65.81</fb>
    <v>10</v>
  </rv>
  <rv s="6">
    <fb>231.72</fb>
    <v>10</v>
  </rv>
  <rv s="6">
    <fb>168</fb>
    <v>10</v>
  </rv>
  <rv s="6">
    <fb>159.80000000000001</fb>
    <v>10</v>
  </rv>
  <rv s="6">
    <fb>29.43</fb>
    <v>10</v>
  </rv>
  <rv s="6">
    <fb>461.27</fb>
    <v>10</v>
  </rv>
  <rv s="6">
    <fb>251.92</fb>
    <v>10</v>
  </rv>
  <rv s="6">
    <fb>246.88</fb>
    <v>10</v>
  </rv>
  <rv s="6">
    <fb>515.20000000000005</fb>
    <v>10</v>
  </rv>
  <rv s="6">
    <fb>172.63</fb>
    <v>10</v>
  </rv>
  <rv s="6">
    <fb>428.9</fb>
    <v>10</v>
  </rv>
  <rv s="6">
    <fb>45498</fb>
    <v>11</v>
  </rv>
  <rv s="6">
    <fb>545.13</fb>
    <v>10</v>
  </rv>
  <rv s="6">
    <fb>410.67</fb>
    <v>10</v>
  </rv>
  <rv s="6">
    <fb>66.069999999999993</fb>
    <v>10</v>
  </rv>
  <rv s="6">
    <fb>227.56</fb>
    <v>10</v>
  </rv>
  <rv s="6">
    <fb>166.9</fb>
    <v>10</v>
  </rv>
  <rv s="6">
    <fb>160.28</fb>
    <v>10</v>
  </rv>
  <rv s="6">
    <fb>33.6</fb>
    <v>10</v>
  </rv>
  <rv s="6">
    <fb>453.41</fb>
    <v>10</v>
  </rv>
  <rv s="6">
    <fb>248.81</fb>
    <v>10</v>
  </rv>
  <rv s="6">
    <fb>249.38</fb>
    <v>10</v>
  </rv>
  <rv s="6">
    <fb>521.4</fb>
    <v>10</v>
  </rv>
  <rv s="6">
    <fb>167.28</fb>
    <v>10</v>
  </rv>
  <rv s="6">
    <fb>418.4</fb>
    <v>10</v>
  </rv>
  <rv s="6">
    <fb>45499</fb>
    <v>11</v>
  </rv>
  <rv s="6">
    <fb>554.61</fb>
    <v>10</v>
  </rv>
  <rv s="6">
    <fb>424.66</fb>
    <v>10</v>
  </rv>
  <rv s="6">
    <fb>67.05</fb>
    <v>10</v>
  </rv>
  <rv s="6">
    <fb>232.79</fb>
    <v>10</v>
  </rv>
  <rv s="6">
    <fb>169.11</fb>
    <v>10</v>
  </rv>
  <rv s="6">
    <fb>33.36</fb>
    <v>10</v>
  </rv>
  <rv s="6">
    <fb>161.94</fb>
    <v>10</v>
  </rv>
  <rv s="6">
    <fb>30.58</fb>
    <v>10</v>
  </rv>
  <rv s="6">
    <fb>256.73</fb>
    <v>10</v>
  </rv>
  <rv s="6">
    <fb>253.48</fb>
    <v>10</v>
  </rv>
  <rv s="6">
    <fb>524.79999999999995</fb>
    <v>10</v>
  </rv>
  <rv s="6">
    <fb>167</fb>
    <v>10</v>
  </rv>
  <rv s="6">
    <fb>425.27</fb>
    <v>10</v>
  </rv>
  <rv s="6">
    <fb>45502</fb>
    <v>11</v>
  </rv>
  <rv s="6">
    <fb>548.52</fb>
    <v>10</v>
  </rv>
  <rv s="6">
    <fb>426.15</fb>
    <v>10</v>
  </rv>
  <rv s="6">
    <fb>66.83</fb>
    <v>10</v>
  </rv>
  <rv s="6">
    <fb>236.32</fb>
    <v>10</v>
  </rv>
  <rv s="6">
    <fb>169.93</fb>
    <v>10</v>
  </rv>
  <rv s="6">
    <fb>160.01</fb>
    <v>10</v>
  </rv>
  <rv s="6">
    <fb>34.4</fb>
    <v>10</v>
  </rv>
  <rv s="6">
    <fb>465.71</fb>
    <v>10</v>
  </rv>
  <rv s="6">
    <fb>246.17</fb>
    <v>10</v>
  </rv>
  <rv s="6">
    <fb>527.64</fb>
    <v>10</v>
  </rv>
  <rv s="6">
    <fb>169.53</fb>
    <v>10</v>
  </rv>
  <rv s="6">
    <fb>426.73</fb>
    <v>10</v>
  </rv>
  <rv s="6">
    <fb>45503</fb>
    <v>11</v>
  </rv>
  <rv s="6">
    <fb>551.21</fb>
    <v>10</v>
  </rv>
  <rv s="6">
    <fb>417.16</fb>
    <v>10</v>
  </rv>
  <rv s="6">
    <fb>67.680000000000007</fb>
    <v>10</v>
  </rv>
  <rv s="6">
    <fb>237.24</fb>
    <v>10</v>
  </rv>
  <rv s="6">
    <fb>161.69999999999999</fb>
    <v>10</v>
  </rv>
  <rv s="6">
    <fb>154.54</fb>
    <v>10</v>
  </rv>
  <rv s="6">
    <fb>463.19</fb>
    <v>10</v>
  </rv>
  <rv s="6">
    <fb>251.6</fb>
    <v>10</v>
  </rv>
  <rv s="6">
    <fb>243.3</fb>
    <v>10</v>
  </rv>
  <rv s="6">
    <fb>537.66</fb>
    <v>10</v>
  </rv>
  <rv s="6">
    <fb>170.29</fb>
    <v>10</v>
  </rv>
  <rv s="6">
    <fb>422.92</fb>
    <v>10</v>
  </rv>
  <rv s="6">
    <fb>45504</fb>
    <v>11</v>
  </rv>
  <rv s="6">
    <fb>561.16</fb>
    <v>10</v>
  </rv>
  <rv s="6">
    <fb>418.58</fb>
    <v>10</v>
  </rv>
  <rv s="6">
    <fb>66.739999999999995</fb>
    <v>10</v>
  </rv>
  <rv s="6">
    <fb>238.76</fb>
    <v>10</v>
  </rv>
  <rv s="6">
    <fb>160.76</fb>
    <v>10</v>
  </rv>
  <rv s="6">
    <fb>35.21</fb>
    <v>10</v>
  </rv>
  <rv s="6">
    <fb>31.22</fb>
    <v>10</v>
  </rv>
  <rv s="6">
    <fb>474.83</fb>
    <v>10</v>
  </rv>
  <rv s="6">
    <fb>265.38</fb>
    <v>10</v>
  </rv>
  <rv s="6">
    <fb>245.16</fb>
    <v>10</v>
  </rv>
  <rv s="6">
    <fb>541.91999999999996</fb>
    <v>10</v>
  </rv>
  <rv s="6">
    <fb>171.54</fb>
    <v>10</v>
  </rv>
  <rv s="6">
    <fb>418.35</fb>
    <v>10</v>
  </rv>
  <rv s="6">
    <fb>45505</fb>
    <v>11</v>
  </rv>
  <rv s="6">
    <fb>534.54</fb>
    <v>10</v>
  </rv>
  <rv s="6">
    <fb>405</fb>
    <v>10</v>
  </rv>
  <rv s="6">
    <fb>67.959999999999994</fb>
    <v>10</v>
  </rv>
  <rv s="6">
    <fb>241.01</fb>
    <v>10</v>
  </rv>
  <rv s="6">
    <fb>165.69</fb>
    <v>10</v>
  </rv>
  <rv s="6">
    <fb>158.18</fb>
    <v>10</v>
  </rv>
  <rv s="6">
    <fb>34.770000000000003</fb>
    <v>10</v>
  </rv>
  <rv s="6">
    <fb>29.77</fb>
    <v>10</v>
  </rv>
  <rv s="6">
    <fb>497.74</fb>
    <v>10</v>
  </rv>
  <rv s="6">
    <fb>254.88</fb>
    <v>10</v>
  </rv>
  <rv s="6">
    <fb>245.37</fb>
    <v>10</v>
  </rv>
  <rv s="6">
    <fb>548.86</fb>
    <v>10</v>
  </rv>
  <rv s="6">
    <fb>170.76</fb>
    <v>10</v>
  </rv>
  <rv s="6">
    <fb>417.11</fb>
    <v>10</v>
  </rv>
  <rv s="6">
    <fb>45506</fb>
    <v>11</v>
  </rv>
  <rv s="6">
    <fb>518.51</fb>
    <v>10</v>
  </rv>
  <rv s="6">
    <fb>397.27</fb>
    <v>10</v>
  </rv>
  <rv s="6">
    <fb>69.33</fb>
    <v>10</v>
  </rv>
  <rv s="6">
    <fb>242.6</fb>
    <v>10</v>
  </rv>
  <rv s="6">
    <fb>170.08</fb>
    <v>10</v>
  </rv>
  <rv s="6">
    <fb>36.06</fb>
    <v>10</v>
  </rv>
  <rv s="6">
    <fb>149.86000000000001</fb>
    <v>10</v>
  </rv>
  <rv s="6">
    <fb>34.08</fb>
    <v>10</v>
  </rv>
  <rv s="6">
    <fb>28.15</fb>
    <v>10</v>
  </rv>
  <rv s="6">
    <fb>488.14</fb>
    <v>10</v>
  </rv>
  <rv s="6">
    <fb>240.92</fb>
    <v>10</v>
  </rv>
  <rv s="6">
    <fb>246.94</fb>
    <v>10</v>
  </rv>
  <rv s="6">
    <fb>548.77</fb>
    <v>10</v>
  </rv>
  <rv s="6">
    <fb>166.66</fb>
    <v>10</v>
  </rv>
  <rv s="6">
    <fb>45509</fb>
    <v>11</v>
  </rv>
  <rv s="6">
    <fb>506.31</fb>
    <v>10</v>
  </rv>
  <rv s="6">
    <fb>376.98</fb>
    <v>10</v>
  </rv>
  <rv s="6">
    <fb>68.099999999999994</fb>
    <v>10</v>
  </rv>
  <rv s="6">
    <fb>168.06</fb>
    <v>10</v>
  </rv>
  <rv s="6">
    <fb>35.200000000000003</fb>
    <v>10</v>
  </rv>
  <rv s="6">
    <fb>147.94999999999999</fb>
    <v>10</v>
  </rv>
  <rv s="6">
    <fb>33</fb>
    <v>10</v>
  </rv>
  <rv s="6">
    <fb>27</fb>
    <v>10</v>
  </rv>
  <rv s="6">
    <fb>475.73</fb>
    <v>10</v>
  </rv>
  <rv s="6">
    <fb>236.42</fb>
    <v>10</v>
  </rv>
  <rv s="6">
    <fb>545.38</fb>
    <v>10</v>
  </rv>
  <rv s="6">
    <fb>159.25</fb>
    <v>10</v>
  </rv>
  <rv s="6">
    <fb>395.15</fb>
    <v>10</v>
  </rv>
  <rv s="6">
    <fb>45510</fb>
    <v>11</v>
  </rv>
  <rv s="6">
    <fb>518.02</fb>
    <v>10</v>
  </rv>
  <rv s="6">
    <fb>383.02</fb>
    <v>10</v>
  </rv>
  <rv s="6">
    <fb>68.05</fb>
    <v>10</v>
  </rv>
  <rv s="6">
    <fb>239.18</fb>
    <v>10</v>
  </rv>
  <rv s="6">
    <fb>168.09</fb>
    <v>10</v>
  </rv>
  <rv s="6">
    <fb>34.82</fb>
    <v>10</v>
  </rv>
  <rv s="6">
    <fb>155.38999999999999</fb>
    <v>10</v>
  </rv>
  <rv s="6">
    <fb>33.86</fb>
    <v>10</v>
  </rv>
  <rv s="6">
    <fb>27.58</fb>
    <v>10</v>
  </rv>
  <rv s="6">
    <fb>494.09</fb>
    <v>10</v>
  </rv>
  <rv s="6">
    <fb>238.52</fb>
    <v>10</v>
  </rv>
  <rv s="6">
    <fb>541.55999999999995</fb>
    <v>10</v>
  </rv>
  <rv s="6">
    <fb>158.29</fb>
    <v>10</v>
  </rv>
  <rv s="6">
    <fb>399.61</fb>
    <v>10</v>
  </rv>
  <rv s="6">
    <fb>45511</fb>
    <v>11</v>
  </rv>
  <rv s="6">
    <fb>512.5</fb>
    <v>10</v>
  </rv>
  <rv s="6">
    <fb>376.5</fb>
    <v>10</v>
  </rv>
  <rv s="6">
    <fb>68.459999999999994</fb>
    <v>10</v>
  </rv>
  <rv s="6">
    <fb>233.53</fb>
    <v>10</v>
  </rv>
  <rv s="6">
    <fb>170.02</fb>
    <v>10</v>
  </rv>
  <rv s="6">
    <fb>155.04</fb>
    <v>10</v>
  </rv>
  <rv s="6">
    <fb>33.619999999999997</fb>
    <v>10</v>
  </rv>
  <rv s="6">
    <fb>488.92</fb>
    <v>10</v>
  </rv>
  <rv s="6">
    <fb>248.5</fb>
    <v>10</v>
  </rv>
  <rv s="6">
    <fb>237.81</fb>
    <v>10</v>
  </rv>
  <rv s="6">
    <fb>548.51</fb>
    <v>10</v>
  </rv>
  <rv s="6">
    <fb>398.43</fb>
    <v>10</v>
  </rv>
  <rv s="6">
    <fb>45512</fb>
    <v>11</v>
  </rv>
  <rv s="6">
    <fb>568.08000000000004</fb>
    <v>10</v>
  </rv>
  <rv s="6">
    <fb>385.56</fb>
    <v>10</v>
  </rv>
  <rv s="6">
    <fb>68.73</fb>
    <v>10</v>
  </rv>
  <rv s="6">
    <fb>239.68</fb>
    <v>10</v>
  </rv>
  <rv s="6">
    <fb>170.87</fb>
    <v>10</v>
  </rv>
  <rv s="6">
    <fb>164.55</fb>
    <v>10</v>
  </rv>
  <rv s="6">
    <fb>34.25</fb>
    <v>10</v>
  </rv>
  <rv s="6">
    <fb>509.63</fb>
    <v>10</v>
  </rv>
  <rv s="6">
    <fb>262.8</fb>
    <v>10</v>
  </rv>
  <rv s="6">
    <fb>239.87</fb>
    <v>10</v>
  </rv>
  <rv s="6">
    <fb>551.62</fb>
    <v>10</v>
  </rv>
  <rv s="6">
    <fb>162.03</fb>
    <v>10</v>
  </rv>
  <rv s="6">
    <fb>45513</fb>
    <v>11</v>
  </rv>
  <rv s="6">
    <fb>569.80999999999995</fb>
    <v>10</v>
  </rv>
  <rv s="6">
    <fb>388.15</fb>
    <v>10</v>
  </rv>
  <rv s="6">
    <fb>68.680000000000007</fb>
    <v>10</v>
  </rv>
  <rv s="6">
    <fb>235.98</fb>
    <v>10</v>
  </rv>
  <rv s="6">
    <fb>170.54</fb>
    <v>10</v>
  </rv>
  <rv s="6">
    <fb>28.05</fb>
    <v>10</v>
  </rv>
  <rv s="6">
    <fb>517.77</fb>
    <v>10</v>
  </rv>
  <rv s="6">
    <fb>259.62</fb>
    <v>10</v>
  </rv>
  <rv s="6">
    <fb>241.41</fb>
    <v>10</v>
  </rv>
  <rv s="6">
    <fb>551.58000000000004</fb>
    <v>10</v>
  </rv>
  <rv s="6">
    <fb>163.66999999999999</fb>
    <v>10</v>
  </rv>
  <rv s="6">
    <fb>406.02</fb>
    <v>10</v>
  </rv>
  <rv s="6">
    <fb>45516</fb>
    <v>11</v>
  </rv>
  <rv s="6">
    <fb>567.78</fb>
    <v>10</v>
  </rv>
  <rv s="6">
    <fb>383.93</fb>
    <v>10</v>
  </rv>
  <rv s="6">
    <fb>68.17</fb>
    <v>10</v>
  </rv>
  <rv s="6">
    <fb>233.94</fb>
    <v>10</v>
  </rv>
  <rv s="6">
    <fb>166.81</fb>
    <v>10</v>
  </rv>
  <rv s="6">
    <fb>34.17</fb>
    <v>10</v>
  </rv>
  <rv s="6">
    <fb>167.63</fb>
    <v>10</v>
  </rv>
  <rv s="6">
    <fb>27.87</fb>
    <v>10</v>
  </rv>
  <rv s="6">
    <fb>515.95000000000005</fb>
    <v>10</v>
  </rv>
  <rv s="6">
    <fb>238.8</fb>
    <v>10</v>
  </rv>
  <rv s="6">
    <fb>556.91</fb>
    <v>10</v>
  </rv>
  <rv s="6">
    <fb>162.29</fb>
    <v>10</v>
  </rv>
  <rv s="6">
    <fb>406.81</fb>
    <v>10</v>
  </rv>
  <rv s="6">
    <fb>45517</fb>
    <v>11</v>
  </rv>
  <rv s="6">
    <fb>571.53</fb>
    <v>10</v>
  </rv>
  <rv s="6">
    <fb>395.54</fb>
    <v>10</v>
  </rv>
  <rv s="6">
    <fb>172.34</fb>
    <v>10</v>
  </rv>
  <rv s="6">
    <fb>27.83</fb>
    <v>10</v>
  </rv>
  <rv s="6">
    <fb>528.54</fb>
    <v>10</v>
  </rv>
  <rv s="6">
    <fb>262</fb>
    <v>10</v>
  </rv>
  <rv s="6">
    <fb>240.1</fb>
    <v>10</v>
  </rv>
  <rv s="6">
    <fb>559.41999999999996</fb>
    <v>10</v>
  </rv>
  <rv s="6">
    <fb>164.16</fb>
    <v>10</v>
  </rv>
  <rv s="6">
    <fb>414.01</fb>
    <v>10</v>
  </rv>
  <rv s="6">
    <fb>45518</fb>
    <v>11</v>
  </rv>
  <rv s="6">
    <fb>578.39</fb>
    <v>10</v>
  </rv>
  <rv s="6">
    <fb>396.48</fb>
    <v>10</v>
  </rv>
  <rv s="6">
    <fb>68.58</fb>
    <v>10</v>
  </rv>
  <rv s="6">
    <fb>168.8</fb>
    <v>10</v>
  </rv>
  <rv s="6">
    <fb>169.97</fb>
    <v>10</v>
  </rv>
  <rv s="6">
    <fb>27.71</fb>
    <v>10</v>
  </rv>
  <rv s="6">
    <fb>526.76</fb>
    <v>10</v>
  </rv>
  <rv s="6">
    <fb>263.47000000000003</fb>
    <v>10</v>
  </rv>
  <rv s="6">
    <fb>241.08</fb>
    <v>10</v>
  </rv>
  <rv s="6">
    <fb>563.22</fb>
    <v>10</v>
  </rv>
  <rv s="6">
    <fb>160.37</fb>
    <v>10</v>
  </rv>
  <rv s="6">
    <fb>416.86</fb>
    <v>10</v>
  </rv>
  <rv s="6">
    <fb>45519</fb>
    <v>11</v>
  </rv>
  <rv s="6">
    <fb>590.84</fb>
    <v>10</v>
  </rv>
  <rv s="6">
    <fb>406.51</fb>
    <v>10</v>
  </rv>
  <rv s="6">
    <fb>68.650000000000006</fb>
    <v>10</v>
  </rv>
  <rv s="6">
    <fb>230.32</fb>
    <v>10</v>
  </rv>
  <rv s="6">
    <fb>167.92</fb>
    <v>10</v>
  </rv>
  <rv s="6">
    <fb>34.19</fb>
    <v>10</v>
  </rv>
  <rv s="6">
    <fb>28.86</fb>
    <v>10</v>
  </rv>
  <rv s="6">
    <fb>537.33000000000004</fb>
    <v>10</v>
  </rv>
  <rv s="6">
    <fb>267.94</fb>
    <v>10</v>
  </rv>
  <rv s="6">
    <fb>245.24</fb>
    <v>10</v>
  </rv>
  <rv s="6">
    <fb>560.29</fb>
    <v>10</v>
  </rv>
  <rv s="6">
    <fb>161.30000000000001</fb>
    <v>10</v>
  </rv>
  <rv s="6">
    <fb>421.03</fb>
    <v>10</v>
  </rv>
  <rv s="6">
    <fb>45520</fb>
    <v>11</v>
  </rv>
  <rv s="6">
    <fb>583.4</fb>
    <v>10</v>
  </rv>
  <rv s="6">
    <fb>403.47</fb>
    <v>10</v>
  </rv>
  <rv s="6">
    <fb>69.180000000000007</fb>
    <v>10</v>
  </rv>
  <rv s="6">
    <fb>232.34</fb>
    <v>10</v>
  </rv>
  <rv s="6">
    <fb>167.89</fb>
    <v>10</v>
  </rv>
  <rv s="6">
    <fb>174.54</fb>
    <v>10</v>
  </rv>
  <rv s="6">
    <fb>29.25</fb>
    <v>10</v>
  </rv>
  <rv s="6">
    <fb>527.41999999999996</fb>
    <v>10</v>
  </rv>
  <rv s="6">
    <fb>265.89</fb>
    <v>10</v>
  </rv>
  <rv s="6">
    <fb>560.13</fb>
    <v>10</v>
  </rv>
  <rv s="6">
    <fb>162.96</fb>
    <v>10</v>
  </rv>
  <rv s="6">
    <fb>418.47</fb>
    <v>10</v>
  </rv>
  <rv s="6">
    <fb>45523</fb>
    <v>11</v>
  </rv>
  <rv s="6">
    <fb>586.5</fb>
    <v>10</v>
  </rv>
  <rv s="6">
    <fb>408.13</fb>
    <v>10</v>
  </rv>
  <rv s="6">
    <fb>68.98</fb>
    <v>10</v>
  </rv>
  <rv s="6">
    <fb>233.57</fb>
    <v>10</v>
  </rv>
  <rv s="6">
    <fb>168.42</fb>
    <v>10</v>
  </rv>
  <rv s="6">
    <fb>35.36</fb>
    <v>10</v>
  </rv>
  <rv s="6">
    <fb>175.45</fb>
    <v>10</v>
  </rv>
  <rv s="6">
    <fb>29.72</fb>
    <v>10</v>
  </rv>
  <rv s="6">
    <fb>529.28</fb>
    <v>10</v>
  </rv>
  <rv s="6">
    <fb>268.10000000000002</fb>
    <v>10</v>
  </rv>
  <rv s="6">
    <fb>242.96</fb>
    <v>10</v>
  </rv>
  <rv s="6">
    <fb>558.39</fb>
    <v>10</v>
  </rv>
  <rv s="6">
    <fb>166.67</fb>
    <v>10</v>
  </rv>
  <rv s="6">
    <fb>421.53</fb>
    <v>10</v>
  </rv>
  <rv s="6">
    <fb>45524</fb>
    <v>11</v>
  </rv>
  <rv s="6">
    <fb>582.29</fb>
    <v>10</v>
  </rv>
  <rv s="6">
    <fb>69.38</fb>
    <v>10</v>
  </rv>
  <rv s="6">
    <fb>170.41</fb>
    <v>10</v>
  </rv>
  <rv s="6">
    <fb>35.29</fb>
    <v>10</v>
  </rv>
  <rv s="6">
    <fb>28.7</fb>
    <v>10</v>
  </rv>
  <rv s="6">
    <fb>526.73</fb>
    <v>10</v>
  </rv>
  <rv s="6">
    <fb>266.86</fb>
    <v>10</v>
  </rv>
  <rv s="6">
    <fb>557.01</fb>
    <v>10</v>
  </rv>
  <rv s="6">
    <fb>167.18</fb>
    <v>10</v>
  </rv>
  <rv s="6">
    <fb>424.8</fb>
    <v>10</v>
  </rv>
  <rv s="6">
    <fb>45525</fb>
    <v>11</v>
  </rv>
  <rv s="6">
    <fb>585.94000000000005</fb>
    <v>10</v>
  </rv>
  <rv s="6">
    <fb>413.08</fb>
    <v>10</v>
  </rv>
  <rv s="6">
    <fb>69.569999999999993</fb>
    <v>10</v>
  </rv>
  <rv s="6">
    <fb>234.38</fb>
    <v>10</v>
  </rv>
  <rv s="6">
    <fb>170.16</fb>
    <v>10</v>
  </rv>
  <rv s="6">
    <fb>35.44</fb>
    <v>10</v>
  </rv>
  <rv s="6">
    <fb>171.44</fb>
    <v>10</v>
  </rv>
  <rv s="6">
    <fb>535.16</fb>
    <v>10</v>
  </rv>
  <rv s="6">
    <fb>269.36</fb>
    <v>10</v>
  </rv>
  <rv s="6">
    <fb>244.74</fb>
    <v>10</v>
  </rv>
  <rv s="6">
    <fb>553.76</fb>
    <v>10</v>
  </rv>
  <rv s="6">
    <fb>165.85</fb>
    <v>10</v>
  </rv>
  <rv s="6">
    <fb>424.14</fb>
    <v>10</v>
  </rv>
  <rv s="6">
    <fb>45526</fb>
    <v>11</v>
  </rv>
  <rv s="6">
    <fb>587.29999999999995</fb>
    <v>10</v>
  </rv>
  <rv s="6">
    <fb>410.86</fb>
    <v>10</v>
  </rv>
  <rv s="6">
    <fb>234.14</fb>
    <v>10</v>
  </rv>
  <rv s="6">
    <fb>170.15</fb>
    <v>10</v>
  </rv>
  <rv s="6">
    <fb>166.44</fb>
    <v>10</v>
  </rv>
  <rv s="6">
    <fb>33.229999999999997</fb>
    <v>10</v>
  </rv>
  <rv s="6">
    <fb>29.03</fb>
    <v>10</v>
  </rv>
  <rv s="6">
    <fb>531.92999999999995</fb>
    <v>10</v>
  </rv>
  <rv s="6">
    <fb>267.8</fb>
    <v>10</v>
  </rv>
  <rv s="6">
    <fb>243.7</fb>
    <v>10</v>
  </rv>
  <rv s="6">
    <fb>557.03</fb>
    <v>10</v>
  </rv>
  <rv s="6">
    <fb>163.80000000000001</fb>
    <v>10</v>
  </rv>
  <rv s="6">
    <fb>415.55</fb>
    <v>10</v>
  </rv>
  <rv s="6">
    <fb>45527</fb>
    <v>11</v>
  </rv>
  <rv s="6">
    <fb>593.82000000000005</fb>
    <v>10</v>
  </rv>
  <rv s="6">
    <fb>422.76</fb>
    <v>10</v>
  </rv>
  <rv s="6">
    <fb>69.790000000000006</fb>
    <v>10</v>
  </rv>
  <rv s="6">
    <fb>236.01</fb>
    <v>10</v>
  </rv>
  <rv s="6">
    <fb>169.17</fb>
    <v>10</v>
  </rv>
  <rv s="6">
    <fb>171.28</fb>
    <v>10</v>
  </rv>
  <rv s="6">
    <fb>33.69</fb>
    <v>10</v>
  </rv>
  <rv s="6">
    <fb>273.17</fb>
    <v>10</v>
  </rv>
  <rv s="6">
    <fb>245.18</fb>
    <v>10</v>
  </rv>
  <rv s="6">
    <fb>555.01</fb>
    <v>10</v>
  </rv>
  <rv s="6">
    <fb>165.62</fb>
    <v>10</v>
  </rv>
  <rv s="6">
    <fb>416.79</fb>
    <v>10</v>
  </rv>
  <rv s="6">
    <fb>45530</fb>
    <v>11</v>
  </rv>
  <rv s="6">
    <fb>591.25</fb>
    <v>10</v>
  </rv>
  <rv s="6">
    <fb>419.25</fb>
    <v>10</v>
  </rv>
  <rv s="6">
    <fb>70.84</fb>
    <v>10</v>
  </rv>
  <rv s="6">
    <fb>170.35</fb>
    <v>10</v>
  </rv>
  <rv s="6">
    <fb>35.93</fb>
    <v>10</v>
  </rv>
  <rv s="6">
    <fb>169.07</fb>
    <v>10</v>
  </rv>
  <rv s="6">
    <fb>30.24</fb>
    <v>10</v>
  </rv>
  <rv s="6">
    <fb>521.12</fb>
    <v>10</v>
  </rv>
  <rv s="6">
    <fb>271.01</fb>
    <v>10</v>
  </rv>
  <rv s="6">
    <fb>243.11</fb>
    <v>10</v>
  </rv>
  <rv s="6">
    <fb>558.1</fb>
    <v>10</v>
  </rv>
  <rv s="6">
    <fb>166.16</fb>
    <v>10</v>
  </rv>
  <rv s="6">
    <fb>413.49</fb>
    <v>10</v>
  </rv>
  <rv s="6">
    <fb>45531</fb>
    <v>11</v>
  </rv>
  <rv s="6">
    <fb>590.09</fb>
    <v>10</v>
  </rv>
  <rv s="6">
    <fb>416.41</fb>
    <v>10</v>
  </rv>
  <rv s="6">
    <fb>71.5</fb>
    <v>10</v>
  </rv>
  <rv s="6">
    <fb>236.43</fb>
    <v>10</v>
  </rv>
  <rv s="6">
    <fb>169.25</fb>
    <v>10</v>
  </rv>
  <rv s="6">
    <fb>170.55</fb>
    <v>10</v>
  </rv>
  <rv s="6">
    <fb>30.32</fb>
    <v>10</v>
  </rv>
  <rv s="6">
    <fb>519.1</fb>
    <v>10</v>
  </rv>
  <rv s="6">
    <fb>270.36</fb>
    <v>10</v>
  </rv>
  <rv s="6">
    <fb>239.98</fb>
    <v>10</v>
  </rv>
  <rv s="6">
    <fb>560.41</fb>
    <v>10</v>
  </rv>
  <rv s="6">
    <fb>164.68</fb>
    <v>10</v>
  </rv>
  <rv s="6">
    <fb>413.84</fb>
    <v>10</v>
  </rv>
  <rv s="6">
    <fb>45532</fb>
    <v>11</v>
  </rv>
  <rv s="6">
    <fb>588.01</fb>
    <v>10</v>
  </rv>
  <rv s="6">
    <fb>416.45</fb>
    <v>10</v>
  </rv>
  <rv s="6">
    <fb>71.75</fb>
    <v>10</v>
  </rv>
  <rv s="6">
    <fb>237.07</fb>
    <v>10</v>
  </rv>
  <rv s="6">
    <fb>169.06</fb>
    <v>10</v>
  </rv>
  <rv s="6">
    <fb>169.2</fb>
    <v>10</v>
  </rv>
  <rv s="6">
    <fb>516.78</fb>
    <v>10</v>
  </rv>
  <rv s="6">
    <fb>267.5</fb>
    <v>10</v>
  </rv>
  <rv s="6">
    <fb>240.37</fb>
    <v>10</v>
  </rv>
  <rv s="6">
    <fb>563.98</fb>
    <v>10</v>
  </rv>
  <rv s="6">
    <fb>162.85</fb>
    <v>10</v>
  </rv>
  <rv s="6">
    <fb>410.6</fb>
    <v>10</v>
  </rv>
  <rv s="6">
    <fb>45533</fb>
    <v>11</v>
  </rv>
  <rv s="6">
    <fb>591.22</fb>
    <v>10</v>
  </rv>
  <rv s="6">
    <fb>413.51</fb>
    <v>10</v>
  </rv>
  <rv s="6">
    <fb>72.05</fb>
    <v>10</v>
  </rv>
  <rv s="6">
    <fb>237.71</fb>
    <v>10</v>
  </rv>
  <rv s="6">
    <fb>170.03</fb>
    <v>10</v>
  </rv>
  <rv s="6">
    <fb>35.26</fb>
    <v>10</v>
  </rv>
  <rv s="6">
    <fb>169.15</fb>
    <v>10</v>
  </rv>
  <rv s="6">
    <fb>518.22</fb>
    <v>10</v>
  </rv>
  <rv s="6">
    <fb>237.97</fb>
    <v>10</v>
  </rv>
  <rv s="6">
    <fb>566.85</fb>
    <v>10</v>
  </rv>
  <rv s="6">
    <fb>161.78</fb>
    <v>10</v>
  </rv>
  <rv s="6">
    <fb>413.12</fb>
    <v>10</v>
  </rv>
  <rv s="6">
    <fb>45534</fb>
    <v>11</v>
  </rv>
  <rv s="6">
    <fb>600.20000000000005</fb>
    <v>10</v>
  </rv>
  <rv s="6">
    <fb>423.8</fb>
    <v>10</v>
  </rv>
  <rv s="6">
    <fb>72.47</fb>
    <v>10</v>
  </rv>
  <rv s="6">
    <fb>241.1</fb>
    <v>10</v>
  </rv>
  <rv s="6">
    <fb>171.7</fb>
    <v>10</v>
  </rv>
  <rv s="6">
    <fb>34.270000000000003</fb>
    <v>10</v>
  </rv>
  <rv s="6">
    <fb>521.30999999999995</fb>
    <v>10</v>
  </rv>
  <rv s="6">
    <fb>275.13</fb>
    <v>10</v>
  </rv>
  <rv s="6">
    <fb>240.71</fb>
    <v>10</v>
  </rv>
  <rv s="6">
    <fb>568.1</fb>
    <v>10</v>
  </rv>
  <rv s="6">
    <fb>163.38</fb>
    <v>10</v>
  </rv>
  <rv s="6">
    <fb>417.14</fb>
    <v>10</v>
  </rv>
  <rv s="6">
    <fb>45538</fb>
    <v>11</v>
  </rv>
  <rv s="6">
    <fb>575.35</fb>
    <v>10</v>
  </rv>
  <rv s="6">
    <fb>403.4</fb>
    <v>10</v>
  </rv>
  <rv s="6">
    <fb>73.010000000000005</fb>
    <v>10</v>
  </rv>
  <rv s="6">
    <fb>243.15</fb>
    <v>10</v>
  </rv>
  <rv s="6">
    <fb>174.52</fb>
    <v>10</v>
  </rv>
  <rv s="6">
    <fb>160.49</fb>
    <v>10</v>
  </rv>
  <rv s="6">
    <fb>511.76</fb>
    <v>10</v>
  </rv>
  <rv s="6">
    <fb>257.60000000000002</fb>
    <v>10</v>
  </rv>
  <rv s="6">
    <fb>567.22</fb>
    <v>10</v>
  </rv>
  <rv s="6">
    <fb>157.36000000000001</fb>
    <v>10</v>
  </rv>
  <rv s="6">
    <fb>409.44</fb>
    <v>10</v>
  </rv>
  <rv s="6">
    <fb>45539</fb>
    <v>11</v>
  </rv>
  <rv s="6">
    <fb>576.95000000000005</fb>
    <v>10</v>
  </rv>
  <rv s="6">
    <fb>402.34</fb>
    <v>10</v>
  </rv>
  <rv s="6">
    <fb>72.56</fb>
    <v>10</v>
  </rv>
  <rv s="6">
    <fb>240.41</fb>
    <v>10</v>
  </rv>
  <rv s="6">
    <fb>160.87</fb>
    <v>10</v>
  </rv>
  <rv s="6">
    <fb>28.8</fb>
    <v>10</v>
  </rv>
  <rv s="6">
    <fb>512.74</fb>
    <v>10</v>
  </rv>
  <rv s="6">
    <fb>255.67</fb>
    <v>10</v>
  </rv>
  <rv s="6">
    <fb>246.61</fb>
    <v>10</v>
  </rv>
  <rv s="6">
    <fb>574.78</fb>
    <v>10</v>
  </rv>
  <rv s="6">
    <fb>156.44999999999999</fb>
    <v>10</v>
  </rv>
  <rv s="6">
    <fb>408.9</fb>
    <v>10</v>
  </rv>
  <rv s="6">
    <fb>45540</fb>
    <v>11</v>
  </rv>
  <rv s="6">
    <fb>575.20000000000005</fb>
    <v>10</v>
  </rv>
  <rv s="6">
    <fb>402.28</fb>
    <v>10</v>
  </rv>
  <rv s="6">
    <fb>71.17</fb>
    <v>10</v>
  </rv>
  <rv s="6">
    <fb>239.05</fb>
    <v>10</v>
  </rv>
  <rv s="6">
    <fb>175.47</fb>
    <v>10</v>
  </rv>
  <rv s="6">
    <fb>163.69999999999999</fb>
    <v>10</v>
  </rv>
  <rv s="6">
    <fb>28.12</fb>
    <v>10</v>
  </rv>
  <rv s="6">
    <fb>516.86</fb>
    <v>10</v>
  </rv>
  <rv s="6">
    <fb>251.39</fb>
    <v>10</v>
  </rv>
  <rv s="6">
    <fb>248.29</fb>
    <v>10</v>
  </rv>
  <rv s="6">
    <fb>568.59</fb>
    <v>10</v>
  </rv>
  <rv s="6">
    <fb>408.39</fb>
    <v>10</v>
  </rv>
  <rv s="6">
    <fb>45541</fb>
    <v>11</v>
  </rv>
  <rv s="6">
    <fb>571.30999999999995</fb>
    <v>10</v>
  </rv>
  <rv s="6">
    <fb>402.11</fb>
    <v>10</v>
  </rv>
  <rv s="6">
    <fb>71.14</fb>
    <v>10</v>
  </rv>
  <rv s="6">
    <fb>239.82</fb>
    <v>10</v>
  </rv>
  <rv s="6">
    <fb>175.59</fb>
    <v>10</v>
  </rv>
  <rv s="6">
    <fb>156.82</fb>
    <v>10</v>
  </rv>
  <rv s="6">
    <fb>33.369999999999997</fb>
    <v>10</v>
  </rv>
  <rv s="6">
    <fb>27.69</fb>
    <v>10</v>
  </rv>
  <rv s="6">
    <fb>500.27</fb>
    <v>10</v>
  </rv>
  <rv s="6">
    <fb>247.92</fb>
    <v>10</v>
  </rv>
  <rv s="6">
    <fb>249.01</fb>
    <v>10</v>
  </rv>
  <rv s="6">
    <fb>566.63</fb>
    <v>10</v>
  </rv>
  <rv s="6">
    <fb>150.91999999999999</fb>
    <v>10</v>
  </rv>
  <rv s="6">
    <fb>401.7</fb>
    <v>10</v>
  </rv>
  <rv s="6">
    <fb>45544</fb>
    <v>11</v>
  </rv>
  <rv s="6">
    <fb>580.20000000000005</fb>
    <v>10</v>
  </rv>
  <rv s="6">
    <fb>395.08</fb>
    <v>10</v>
  </rv>
  <rv s="6">
    <fb>71.849999999999994</fb>
    <v>10</v>
  </rv>
  <rv s="6">
    <fb>245.5</fb>
    <v>10</v>
  </rv>
  <rv s="6">
    <fb>27.47</fb>
    <v>10</v>
  </rv>
  <rv s="6">
    <fb>504.79</fb>
    <v>10</v>
  </rv>
  <rv s="6">
    <fb>250.06</fb>
    <v>10</v>
  </rv>
  <rv s="6">
    <fb>250.89</fb>
    <v>10</v>
  </rv>
  <rv s="6">
    <fb>576.57000000000005</fb>
    <v>10</v>
  </rv>
  <rv s="6">
    <fb>148.71</fb>
    <v>10</v>
  </rv>
  <rv s="6">
    <fb>405.72</fb>
    <v>10</v>
  </rv>
  <rv s="6">
    <fb>45545</fb>
    <v>11</v>
  </rv>
  <rv s="6">
    <fb>581.1</fb>
    <v>10</v>
  </rv>
  <rv s="6">
    <fb>396.84</fb>
    <v>10</v>
  </rv>
  <rv s="6">
    <fb>71.55</fb>
    <v>10</v>
  </rv>
  <rv s="6">
    <fb>247.17</fb>
    <v>10</v>
  </rv>
  <rv s="6">
    <fb>249.49</fb>
    <v>10</v>
  </rv>
  <rv s="6">
    <fb>572.19000000000005</fb>
    <v>10</v>
  </rv>
  <rv s="6">
    <fb>148.66</fb>
    <v>10</v>
  </rv>
  <rv s="6">
    <fb>414.2</fb>
    <v>10</v>
  </rv>
  <rv s="6">
    <fb>45546</fb>
    <v>11</v>
  </rv>
  <rv s="6">
    <fb>584.4</fb>
    <v>10</v>
  </rv>
  <rv s="6">
    <fb>399.85</fb>
    <v>10</v>
  </rv>
  <rv s="6">
    <fb>71.08</fb>
    <v>10</v>
  </rv>
  <rv s="6">
    <fb>173.92</fb>
    <v>10</v>
  </rv>
  <rv s="6">
    <fb>35.159999999999997</fb>
    <v>10</v>
  </rv>
  <rv s="6">
    <fb>170.23</fb>
    <v>10</v>
  </rv>
  <rv s="6">
    <fb>28.03</fb>
    <v>10</v>
  </rv>
  <rv s="6">
    <fb>511.83</fb>
    <v>10</v>
  </rv>
  <rv s="6">
    <fb>263.08999999999997</fb>
    <v>10</v>
  </rv>
  <rv s="6">
    <fb>248.79</fb>
    <v>10</v>
  </rv>
  <rv s="6">
    <fb>566.96</fb>
    <v>10</v>
  </rv>
  <rv s="6">
    <fb>151.16</fb>
    <v>10</v>
  </rv>
  <rv s="6">
    <fb>423.04</fb>
    <v>10</v>
  </rv>
  <rv s="6">
    <fb>45547</fb>
    <v>11</v>
  </rv>
  <rv s="6">
    <fb>587.54999999999995</fb>
    <v>10</v>
  </rv>
  <rv s="6">
    <fb>403.89</fb>
    <v>10</v>
  </rv>
  <rv s="6">
    <fb>71.23</fb>
    <v>10</v>
  </rv>
  <rv s="6">
    <fb>246.48</fb>
    <v>10</v>
  </rv>
  <rv s="6">
    <fb>173.47</fb>
    <v>10</v>
  </rv>
  <rv s="6">
    <fb>28.07</fb>
    <v>10</v>
  </rv>
  <rv s="6">
    <fb>525.6</fb>
    <v>10</v>
  </rv>
  <rv s="6">
    <fb>251.71</fb>
    <v>10</v>
  </rv>
  <rv s="6">
    <fb>568.27</fb>
    <v>10</v>
  </rv>
  <rv s="6">
    <fb>154.69</fb>
    <v>10</v>
  </rv>
  <rv s="6">
    <fb>45548</fb>
    <v>11</v>
  </rv>
  <rv s="6">
    <fb>591.33000000000004</fb>
    <v>10</v>
  </rv>
  <rv s="6">
    <fb>411.3</fb>
    <v>10</v>
  </rv>
  <rv s="6">
    <fb>71.41</fb>
    <v>10</v>
  </rv>
  <rv s="6">
    <fb>244.83</fb>
    <v>10</v>
  </rv>
  <rv s="6">
    <fb>174.08</fb>
    <v>10</v>
  </rv>
  <rv s="6">
    <fb>28.73</fb>
    <v>10</v>
  </rv>
  <rv s="6">
    <fb>524.62</fb>
    <v>10</v>
  </rv>
  <rv s="6">
    <fb>269.54000000000002</fb>
    <v>10</v>
  </rv>
  <rv s="6">
    <fb>252.57</fb>
    <v>10</v>
  </rv>
  <rv s="6">
    <fb>569.91</fb>
    <v>10</v>
  </rv>
  <rv s="6">
    <fb>157.46</fb>
    <v>10</v>
  </rv>
  <rv s="6">
    <fb>430.59</fb>
    <v>10</v>
  </rv>
  <rv s="6">
    <fb>45551</fb>
    <v>11</v>
  </rv>
  <rv s="6">
    <fb>596.78</fb>
    <v>10</v>
  </rv>
  <rv s="6">
    <fb>72.099999999999994</fb>
    <v>10</v>
  </rv>
  <rv s="6">
    <fb>243.73</fb>
    <v>10</v>
  </rv>
  <rv s="6">
    <fb>169.08</fb>
    <v>10</v>
  </rv>
  <rv s="6">
    <fb>28.85</fb>
    <v>10</v>
  </rv>
  <rv s="6">
    <fb>533.28</fb>
    <v>10</v>
  </rv>
  <rv s="6">
    <fb>271.54000000000002</fb>
    <v>10</v>
  </rv>
  <rv s="6">
    <fb>572.91999999999996</fb>
    <v>10</v>
  </rv>
  <rv s="6">
    <fb>158.06</fb>
    <v>10</v>
  </rv>
  <rv s="6">
    <fb>431.34</fb>
    <v>10</v>
  </rv>
  <rv s="6">
    <fb>45552</fb>
    <v>11</v>
  </rv>
  <rv s="6">
    <fb>605.16999999999996</fb>
    <v>10</v>
  </rv>
  <rv s="6">
    <fb>420.3</fb>
    <v>10</v>
  </rv>
  <rv s="6">
    <fb>71.8</fb>
    <v>10</v>
  </rv>
  <rv s="6">
    <fb>175.88</fb>
    <v>10</v>
  </rv>
  <rv s="6">
    <fb>34.07</fb>
    <v>10</v>
  </rv>
  <rv s="6">
    <fb>536.31500000000005</fb>
    <v>10</v>
  </rv>
  <rv s="6">
    <fb>273.92</fb>
    <v>10</v>
  </rv>
  <rv s="6">
    <fb>252.86</fb>
    <v>10</v>
  </rv>
  <rv s="6">
    <fb>567.01</fb>
    <v>10</v>
  </rv>
  <rv s="6">
    <fb>435.15</fb>
    <v>10</v>
  </rv>
  <rv s="6">
    <fb>45553</fb>
    <v>11</v>
  </rv>
  <rv s="6">
    <fb>609.03</fb>
    <v>10</v>
  </rv>
  <rv s="6">
    <fb>425.29</fb>
    <v>10</v>
  </rv>
  <rv s="6">
    <fb>238.38</fb>
    <v>10</v>
  </rv>
  <rv s="6">
    <fb>34.049999999999997</fb>
    <v>10</v>
  </rv>
  <rv s="6">
    <fb>28.63</fb>
    <v>10</v>
  </rv>
  <rv s="6">
    <fb>537.95000000000005</fb>
    <v>10</v>
  </rv>
  <rv s="6">
    <fb>272.06</fb>
    <v>10</v>
  </rv>
  <rv s="6">
    <fb>565.49</fb>
    <v>10</v>
  </rv>
  <rv s="6">
    <fb>159.81</fb>
    <v>10</v>
  </rv>
  <rv s="6">
    <fb>430.81</fb>
    <v>10</v>
  </rv>
  <rv s="6">
    <fb>45554</fb>
    <v>11</v>
  </rv>
  <rv s="6">
    <fb>626.04999999999995</fb>
    <v>10</v>
  </rv>
  <rv s="6">
    <fb>438.55</fb>
    <v>10</v>
  </rv>
  <rv s="6">
    <fb>70.62</fb>
    <v>10</v>
  </rv>
  <rv s="6">
    <fb>239.46</fb>
    <v>10</v>
  </rv>
  <rv s="6">
    <fb>34.99</fb>
    <v>10</v>
  </rv>
  <rv s="6">
    <fb>176.22</fb>
    <v>10</v>
  </rv>
  <rv s="6">
    <fb>34.799999999999997</fb>
    <v>10</v>
  </rv>
  <rv s="6">
    <fb>29.35</fb>
    <v>10</v>
  </rv>
  <rv s="6">
    <fb>559.1</fb>
    <v>10</v>
  </rv>
  <rv s="6">
    <fb>289.73</fb>
    <v>10</v>
  </rv>
  <rv s="6">
    <fb>248.45</fb>
    <v>10</v>
  </rv>
  <rv s="6">
    <fb>565.17999999999995</fb>
    <v>10</v>
  </rv>
  <rv s="6">
    <fb>162.13999999999999</fb>
    <v>10</v>
  </rv>
  <rv s="6">
    <fb>438.69</fb>
    <v>10</v>
  </rv>
  <rv s="6">
    <fb>45555</fb>
    <v>11</v>
  </rv>
  <rv s="6">
    <fb>623.77</fb>
    <v>10</v>
  </rv>
  <rv s="6">
    <fb>436.98</fb>
    <v>10</v>
  </rv>
  <rv s="6">
    <fb>71.64</fb>
    <v>10</v>
  </rv>
  <rv s="6">
    <fb>236.98</fb>
    <v>10</v>
  </rv>
  <rv s="6">
    <fb>174.22</fb>
    <v>10</v>
  </rv>
  <rv s="6">
    <fb>34.96</fb>
    <v>10</v>
  </rv>
  <rv s="6">
    <fb>34.93</fb>
    <v>10</v>
  </rv>
  <rv s="6">
    <fb>28.3</fb>
    <v>10</v>
  </rv>
  <rv s="6">
    <fb>290.89</fb>
    <v>10</v>
  </rv>
  <rv s="6">
    <fb>571.91999999999996</fb>
    <v>10</v>
  </rv>
  <rv s="6">
    <fb>163.59</fb>
    <v>10</v>
  </rv>
  <rv s="6">
    <fb>435.27</fb>
    <v>10</v>
  </rv>
  <rv s="6">
    <fb>45558</fb>
    <v>11</v>
  </rv>
  <rv s="6">
    <fb>618.72</fb>
    <v>10</v>
  </rv>
  <rv s="6">
    <fb>442.08</fb>
    <v>10</v>
  </rv>
  <rv s="6">
    <fb>71.73</fb>
    <v>10</v>
  </rv>
  <rv s="6">
    <fb>239.38</fb>
    <v>10</v>
  </rv>
  <rv s="6">
    <fb>173.77</fb>
    <v>10</v>
  </rv>
  <rv s="6">
    <fb>174.76</fb>
    <v>10</v>
  </rv>
  <rv s="6">
    <fb>28.58</fb>
    <v>10</v>
  </rv>
  <rv s="6">
    <fb>564.41</fb>
    <v>10</v>
  </rv>
  <rv s="6">
    <fb>296.13</fb>
    <v>10</v>
  </rv>
  <rv s="6">
    <fb>254.82</fb>
    <v>10</v>
  </rv>
  <rv s="6">
    <fb>580.51</fb>
    <v>10</v>
  </rv>
  <rv s="6">
    <fb>161.85</fb>
    <v>10</v>
  </rv>
  <rv s="6">
    <fb>433.51</fb>
    <v>10</v>
  </rv>
  <rv s="6">
    <fb>45559</fb>
    <v>11</v>
  </rv>
  <rv s="6">
    <fb>625.37</fb>
    <v>10</v>
  </rv>
  <rv s="6">
    <fb>438.5</fb>
    <v>10</v>
  </rv>
  <rv s="6">
    <fb>71.33</fb>
    <v>10</v>
  </rv>
  <rv s="6">
    <fb>173.24</fb>
    <v>10</v>
  </rv>
  <rv s="6">
    <fb>181.97</fb>
    <v>10</v>
  </rv>
  <rv s="6">
    <fb>34.14</fb>
    <v>10</v>
  </rv>
  <rv s="6">
    <fb>28.79</fb>
    <v>10</v>
  </rv>
  <rv s="6">
    <fb>563.33000000000004</fb>
    <v>10</v>
  </rv>
  <rv s="6">
    <fb>298.24</fb>
    <v>10</v>
  </rv>
  <rv s="6">
    <fb>578.63</fb>
    <v>10</v>
  </rv>
  <rv s="6">
    <fb>45560</fb>
    <v>11</v>
  </rv>
  <rv s="6">
    <fb>621.82000000000005</fb>
    <v>10</v>
  </rv>
  <rv s="6">
    <fb>438.13</fb>
    <v>10</v>
  </rv>
  <rv s="6">
    <fb>71.45</fb>
    <v>10</v>
  </rv>
  <rv s="6">
    <fb>236.41</fb>
    <v>10</v>
  </rv>
  <rv s="6">
    <fb>172.26</fb>
    <v>10</v>
  </rv>
  <rv s="6">
    <fb>182.35</fb>
    <v>10</v>
  </rv>
  <rv s="6">
    <fb>29.13</fb>
    <v>10</v>
  </rv>
  <rv s="6">
    <fb>568.30999999999995</fb>
    <v>10</v>
  </rv>
  <rv s="6">
    <fb>297.94</fb>
    <v>10</v>
  </rv>
  <rv s="6">
    <fb>251.9</fb>
    <v>10</v>
  </rv>
  <rv s="6">
    <fb>577.94000000000005</fb>
    <v>10</v>
  </rv>
  <rv s="6">
    <fb>161.49</fb>
    <v>10</v>
  </rv>
  <rv s="6">
    <fb>432.11</fb>
    <v>10</v>
  </rv>
  <rv s="6">
    <fb>45561</fb>
    <v>11</v>
  </rv>
  <rv s="6">
    <fb>635.4</fb>
    <v>10</v>
  </rv>
  <rv s="6">
    <fb>444.31</fb>
    <v>10</v>
  </rv>
  <rv s="6">
    <fb>71.400000000000006</fb>
    <v>10</v>
  </rv>
  <rv s="6">
    <fb>236.75</fb>
    <v>10</v>
  </rv>
  <rv s="6">
    <fb>173.21</fb>
    <v>10</v>
  </rv>
  <rv s="6">
    <fb>186.83</fb>
    <v>10</v>
  </rv>
  <rv s="6">
    <fb>29.75</fb>
    <v>10</v>
  </rv>
  <rv s="6">
    <fb>567.84</fb>
    <v>10</v>
  </rv>
  <rv s="6">
    <fb>296.36</fb>
    <v>10</v>
  </rv>
  <rv s="6">
    <fb>255.05</fb>
    <v>10</v>
  </rv>
  <rv s="6">
    <fb>577.4</fb>
    <v>10</v>
  </rv>
  <rv s="6">
    <fb>162.72999999999999</fb>
    <v>10</v>
  </rv>
  <rv s="6">
    <fb>431.31</fb>
    <v>10</v>
  </rv>
  <rv s="6">
    <fb>45562</fb>
    <v>11</v>
  </rv>
  <rv s="6">
    <fb>632.77</fb>
    <v>10</v>
  </rv>
  <rv s="6">
    <fb>444.59</fb>
    <v>10</v>
  </rv>
  <rv s="6">
    <fb>71.790000000000006</fb>
    <v>10</v>
  </rv>
  <rv s="6">
    <fb>177.97</fb>
    <v>10</v>
  </rv>
  <rv s="6">
    <fb>567.36</fb>
    <v>10</v>
  </rv>
  <rv s="6">
    <fb>296.74</fb>
    <v>10</v>
  </rv>
  <rv s="6">
    <fb>258.39999999999998</fb>
    <v>10</v>
  </rv>
  <rv s="6">
    <fb>582.36</fb>
    <v>10</v>
  </rv>
  <rv s="6">
    <fb>163.95</fb>
    <v>10</v>
  </rv>
  <rv s="6">
    <fb>428.02</fb>
    <v>10</v>
  </rv>
  <rv s="6">
    <fb>45565</fb>
    <v>11</v>
  </rv>
  <rv s="6">
    <fb>631.82000000000005</fb>
    <v>10</v>
  </rv>
  <rv s="6">
    <fb>449.75</fb>
    <v>10</v>
  </rv>
  <rv s="6">
    <fb>71.86</fb>
    <v>10</v>
  </rv>
  <rv s="6">
    <fb>242.54</fb>
    <v>10</v>
  </rv>
  <rv s="6">
    <fb>173.2</fb>
    <v>10</v>
  </rv>
  <rv s="6">
    <fb>173.67</fb>
    <v>10</v>
  </rv>
  <rv s="6">
    <fb>572.44000000000005</fb>
    <v>10</v>
  </rv>
  <rv s="6">
    <fb>298.14999999999998</fb>
    <v>10</v>
  </rv>
  <rv s="6">
    <fb>584.55999999999995</fb>
    <v>10</v>
  </rv>
  <rv s="6">
    <fb>430.3</fb>
    <v>10</v>
  </rv>
  <rv s="6">
    <fb>45566</fb>
    <v>11</v>
  </rv>
  <rv s="6">
    <fb>630.14</fb>
    <v>10</v>
  </rv>
  <rv s="6">
    <fb>71.709999999999994</fb>
    <v>10</v>
  </rv>
  <rv s="6">
    <fb>235.78</fb>
    <v>10</v>
  </rv>
  <rv s="6">
    <fb>173.04</fb>
    <v>10</v>
  </rv>
  <rv s="6">
    <fb>35.17</fb>
    <v>10</v>
  </rv>
  <rv s="6">
    <fb>576.47</fb>
    <v>10</v>
  </rv>
  <rv s="6">
    <fb>296.05</fb>
    <v>10</v>
  </rv>
  <rv s="6">
    <fb>257.68</fb>
    <v>10</v>
  </rv>
  <rv s="6">
    <fb>605.86</fb>
    <v>10</v>
  </rv>
  <rv s="6">
    <fb>166.99</fb>
    <v>10</v>
  </rv>
  <rv s="6">
    <fb>420.69</fb>
    <v>10</v>
  </rv>
  <rv s="6">
    <fb>45567</fb>
    <v>11</v>
  </rv>
  <rv s="6">
    <fb>627.5</fb>
    <v>10</v>
  </rv>
  <rv s="6">
    <fb>445.36</fb>
    <v>10</v>
  </rv>
  <rv s="6">
    <fb>71.010000000000005</fb>
    <v>10</v>
  </rv>
  <rv s="6">
    <fb>234.73</fb>
    <v>10</v>
  </rv>
  <rv s="6">
    <fb>171.92</fb>
    <v>10</v>
  </rv>
  <rv s="6">
    <fb>175.8</fb>
    <v>10</v>
  </rv>
  <rv s="6">
    <fb>29.96</fb>
    <v>10</v>
  </rv>
  <rv s="6">
    <fb>572.80999999999995</fb>
    <v>10</v>
  </rv>
  <rv s="6">
    <fb>299.08999999999997</fb>
    <v>10</v>
  </rv>
  <rv s="6">
    <fb>603.20000000000005</fb>
    <v>10</v>
  </rv>
  <rv s="6">
    <fb>165.86</fb>
    <v>10</v>
  </rv>
  <rv s="6">
    <fb>417.13</fb>
    <v>10</v>
  </rv>
  <rv s="6">
    <fb>45568</fb>
    <v>11</v>
  </rv>
  <rv s="6">
    <fb>626.30999999999995</fb>
    <v>10</v>
  </rv>
  <rv s="6">
    <fb>447.89</fb>
    <v>10</v>
  </rv>
  <rv s="6">
    <fb>70.52</fb>
    <v>10</v>
  </rv>
  <rv s="6">
    <fb>232.86</fb>
    <v>10</v>
  </rv>
  <rv s="6">
    <fb>170.12</fb>
    <v>10</v>
  </rv>
  <rv s="6">
    <fb>34.119999999999997</fb>
    <v>10</v>
  </rv>
  <rv s="6">
    <fb>29.64</fb>
    <v>10</v>
  </rv>
  <rv s="6">
    <fb>582.77</fb>
    <v>10</v>
  </rv>
  <rv s="6">
    <fb>298.39999999999998</fb>
    <v>10</v>
  </rv>
  <rv s="6">
    <fb>243.65</fb>
    <v>10</v>
  </rv>
  <rv s="6">
    <fb>605.82000000000005</fb>
    <v>10</v>
  </rv>
  <rv s="6">
    <fb>416.54</fb>
    <v>10</v>
  </rv>
  <rv s="6">
    <fb>45569</fb>
    <v>11</v>
  </rv>
  <rv s="6">
    <fb>630.67999999999995</fb>
    <v>10</v>
  </rv>
  <rv s="6">
    <fb>454.48</fb>
    <v>10</v>
  </rv>
  <rv s="6">
    <fb>70.17</fb>
    <v>10</v>
  </rv>
  <rv s="6">
    <fb>231.02</fb>
    <v>10</v>
  </rv>
  <rv s="6">
    <fb>34.590000000000003</fb>
    <v>10</v>
  </rv>
  <rv s="6">
    <fb>181.16</fb>
    <v>10</v>
  </rv>
  <rv s="6">
    <fb>595.94000000000005</fb>
    <v>10</v>
  </rv>
  <rv s="6">
    <fb>305.72000000000003</fb>
    <v>10</v>
  </rv>
  <rv s="6">
    <fb>246.67</fb>
    <v>10</v>
  </rv>
  <rv s="6">
    <fb>605.13</fb>
    <v>10</v>
  </rv>
  <rv s="6">
    <fb>416.06</fb>
    <v>10</v>
  </rv>
  <rv s="6">
    <fb>45572</fb>
    <v>11</v>
  </rv>
  <rv s="6">
    <fb>629.71</fb>
    <v>10</v>
  </rv>
  <rv s="6">
    <fb>466.21</fb>
    <v>10</v>
  </rv>
  <rv s="6">
    <fb>69.010000000000005</fb>
    <v>10</v>
  </rv>
  <rv s="6">
    <fb>226.02</fb>
    <v>10</v>
  </rv>
  <rv s="6">
    <fb>584.78</fb>
    <v>10</v>
  </rv>
  <rv s="6">
    <fb>307.51</fb>
    <v>10</v>
  </rv>
  <rv s="6">
    <fb>243.07</fb>
    <v>10</v>
  </rv>
  <rv s="6">
    <fb>605.54</fb>
    <v>10</v>
  </rv>
  <rv s="6">
    <fb>162.97999999999999</fb>
    <v>10</v>
  </rv>
  <rv s="6">
    <fb>409.54</fb>
    <v>10</v>
  </rv>
  <rv s="6">
    <fb>45573</fb>
    <v>11</v>
  </rv>
  <rv s="6">
    <fb>627.34</fb>
    <v>10</v>
  </rv>
  <rv s="6">
    <fb>460.46</fb>
    <v>10</v>
  </rv>
  <rv s="6">
    <fb>227.22</fb>
    <v>10</v>
  </rv>
  <rv s="6">
    <fb>186.05</fb>
    <v>10</v>
  </rv>
  <rv s="6">
    <fb>29.28</fb>
    <v>10</v>
  </rv>
  <rv s="6">
    <fb>592.89</fb>
    <v>10</v>
  </rv>
  <rv s="6">
    <fb>308.67</fb>
    <v>10</v>
  </rv>
  <rv s="6">
    <fb>241.13</fb>
    <v>10</v>
  </rv>
  <rv s="6">
    <fb>608.04999999999995</fb>
    <v>10</v>
  </rv>
  <rv s="6">
    <fb>164.38</fb>
    <v>10</v>
  </rv>
  <rv s="6">
    <fb>414.71</fb>
    <v>10</v>
  </rv>
  <rv s="6">
    <fb>45574</fb>
    <v>11</v>
  </rv>
  <rv s="6">
    <fb>632.79</fb>
    <v>10</v>
  </rv>
  <rv s="6">
    <fb>467.48</fb>
    <v>10</v>
  </rv>
  <rv s="6">
    <fb>227.15</fb>
    <v>10</v>
  </rv>
  <rv s="6">
    <fb>169.27</fb>
    <v>10</v>
  </rv>
  <rv s="6">
    <fb>187.14</fb>
    <v>10</v>
  </rv>
  <rv s="6">
    <fb>34.26</fb>
    <v>10</v>
  </rv>
  <rv s="6">
    <fb>29.21</fb>
    <v>10</v>
  </rv>
  <rv s="6">
    <fb>590.51</fb>
    <v>10</v>
  </rv>
  <rv s="6">
    <fb>307.61</fb>
    <v>10</v>
  </rv>
  <rv s="6">
    <fb>240.42</fb>
    <v>10</v>
  </rv>
  <rv s="6">
    <fb>605.11</fb>
    <v>10</v>
  </rv>
  <rv s="6">
    <fb>417.46</fb>
    <v>10</v>
  </rv>
  <rv s="6">
    <fb>45575</fb>
    <v>11</v>
  </rv>
  <rv s="6">
    <fb>631.52</fb>
    <v>10</v>
  </rv>
  <rv s="6">
    <fb>459.52</fb>
    <v>10</v>
  </rv>
  <rv s="6">
    <fb>69.25</fb>
    <v>10</v>
  </rv>
  <rv s="6">
    <fb>226.16</fb>
    <v>10</v>
  </rv>
  <rv s="6">
    <fb>168.95</fb>
    <v>10</v>
  </rv>
  <rv s="6">
    <fb>34.83</fb>
    <v>10</v>
  </rv>
  <rv s="6">
    <fb>185.78</fb>
    <v>10</v>
  </rv>
  <rv s="6">
    <fb>583.83000000000004</fb>
    <v>10</v>
  </rv>
  <rv s="6">
    <fb>306.99</fb>
    <v>10</v>
  </rv>
  <rv s="6">
    <fb>239.6</fb>
    <v>10</v>
  </rv>
  <rv s="6">
    <fb>597.49</fb>
    <v>10</v>
  </rv>
  <rv s="6">
    <fb>162.08000000000001</fb>
    <v>10</v>
  </rv>
  <rv s="6">
    <fb>415.84</fb>
    <v>10</v>
  </rv>
  <rv s="6">
    <fb>45576</fb>
    <v>11</v>
  </rv>
  <rv s="6">
    <fb>637.15</fb>
    <v>10</v>
  </rv>
  <rv s="6">
    <fb>470.25</fb>
    <v>10</v>
  </rv>
  <rv s="6">
    <fb>226.9</fb>
    <v>10</v>
  </rv>
  <rv s="6">
    <fb>171.09</fb>
    <v>10</v>
  </rv>
  <rv s="6">
    <fb>35.22</fb>
    <v>10</v>
  </rv>
  <rv s="6">
    <fb>190.81</fb>
    <v>10</v>
  </rv>
  <rv s="6">
    <fb>589.95000000000005</fb>
    <v>10</v>
  </rv>
  <rv s="6">
    <fb>309.42</fb>
    <v>10</v>
  </rv>
  <rv s="6">
    <fb>241.06</fb>
    <v>10</v>
  </rv>
  <rv s="6">
    <fb>604.16999999999996</fb>
    <v>10</v>
  </rv>
  <rv s="6">
    <fb>163.24</fb>
    <v>10</v>
  </rv>
  <rv s="6">
    <fb>416.32</fb>
    <v>10</v>
  </rv>
  <rv s="6">
    <fb>45579</fb>
    <v>11</v>
  </rv>
  <rv s="6">
    <fb>643.53</fb>
    <v>10</v>
  </rv>
  <rv s="6">
    <fb>480.93</fb>
    <v>10</v>
  </rv>
  <rv s="6">
    <fb>70.34</fb>
    <v>10</v>
  </rv>
  <rv s="6">
    <fb>228.21</fb>
    <v>10</v>
  </rv>
  <rv s="6">
    <fb>192.21</fb>
    <v>10</v>
  </rv>
  <rv s="6">
    <fb>29.79</fb>
    <v>10</v>
  </rv>
  <rv s="6">
    <fb>590.41999999999996</fb>
    <v>10</v>
  </rv>
  <rv s="6">
    <fb>310.98</fb>
    <v>10</v>
  </rv>
  <rv s="6">
    <fb>245.71</fb>
    <v>10</v>
  </rv>
  <rv s="6">
    <fb>610.87</fb>
    <v>10</v>
  </rv>
  <rv s="6">
    <fb>164.96</fb>
    <v>10</v>
  </rv>
  <rv s="6">
    <fb>419.14</fb>
    <v>10</v>
  </rv>
  <rv s="6">
    <fb>45580</fb>
    <v>11</v>
  </rv>
  <rv s="6">
    <fb>638.02</fb>
    <v>10</v>
  </rv>
  <rv s="6">
    <fb>471.54</fb>
    <v>10</v>
  </rv>
  <rv s="6">
    <fb>173.57</fb>
    <v>10</v>
  </rv>
  <rv s="6">
    <fb>35.72</fb>
    <v>10</v>
  </rv>
  <rv s="6">
    <fb>187.13</fb>
    <v>10</v>
  </rv>
  <rv s="6">
    <fb>586.27</fb>
    <v>10</v>
  </rv>
  <rv s="6">
    <fb>305.54000000000002</fb>
    <v>10</v>
  </rv>
  <rv s="6">
    <fb>244.07</fb>
    <v>10</v>
  </rv>
  <rv s="6">
    <fb>605</fb>
    <v>10</v>
  </rv>
  <rv s="6">
    <fb>418.74</fb>
    <v>10</v>
  </rv>
  <rv s="6">
    <fb>45581</fb>
    <v>11</v>
  </rv>
  <rv s="6">
    <fb>637.48</fb>
    <v>10</v>
  </rv>
  <rv s="6">
    <fb>462.43</fb>
    <v>10</v>
  </rv>
  <rv s="6">
    <fb>70.569999999999993</fb>
    <v>10</v>
  </rv>
  <rv s="6">
    <fb>172.38</fb>
    <v>10</v>
  </rv>
  <rv s="6">
    <fb>187.48</fb>
    <v>10</v>
  </rv>
  <rv s="6">
    <fb>35.47</fb>
    <v>10</v>
  </rv>
  <rv s="6">
    <fb>576.79</fb>
    <v>10</v>
  </rv>
  <rv s="6">
    <fb>312.22000000000003</fb>
    <v>10</v>
  </rv>
  <rv s="6">
    <fb>243.59</fb>
    <v>10</v>
  </rv>
  <rv s="6">
    <fb>612.83000000000004</fb>
    <v>10</v>
  </rv>
  <rv s="6">
    <fb>165.16</fb>
    <v>10</v>
  </rv>
  <rv s="6">
    <fb>416.12</fb>
    <v>10</v>
  </rv>
  <rv s="6">
    <fb>45582</fb>
    <v>11</v>
  </rv>
  <rv s="6">
    <fb>639.84</fb>
    <v>10</v>
  </rv>
  <rv s="6">
    <fb>472.55</fb>
    <v>10</v>
  </rv>
  <rv s="6">
    <fb>69.900000000000006</fb>
    <v>10</v>
  </rv>
  <rv s="6">
    <fb>172.28</fb>
    <v>10</v>
  </rv>
  <rv s="6">
    <fb>205.84</fb>
    <v>10</v>
  </rv>
  <rv s="6">
    <fb>30.79</fb>
    <v>10</v>
  </rv>
  <rv s="6">
    <fb>576.92999999999995</fb>
    <v>10</v>
  </rv>
  <rv s="6">
    <fb>313.14</fb>
    <v>10</v>
  </rv>
  <rv s="6">
    <fb>240.04</fb>
    <v>10</v>
  </rv>
  <rv s="6">
    <fb>609.62</fb>
    <v>10</v>
  </rv>
  <rv s="6">
    <fb>162.93</fb>
    <v>10</v>
  </rv>
  <rv s="6">
    <fb>416.72</fb>
    <v>10</v>
  </rv>
  <rv s="6">
    <fb>45583</fb>
    <v>11</v>
  </rv>
  <rv s="6">
    <fb>640.44000000000005</fb>
    <v>10</v>
  </rv>
  <rv s="6">
    <fb>471.16</fb>
    <v>10</v>
  </rv>
  <rv s="6">
    <fb>70.44</fb>
    <v>10</v>
  </rv>
  <rv s="6">
    <fb>225.65</fb>
    <v>10</v>
  </rv>
  <rv s="6">
    <fb>200.78</fb>
    <v>10</v>
  </rv>
  <rv s="6">
    <fb>30.11</fb>
    <v>10</v>
  </rv>
  <rv s="6">
    <fb>314.27</fb>
    <v>10</v>
  </rv>
  <rv s="6">
    <fb>241.52</fb>
    <v>10</v>
  </rv>
  <rv s="6">
    <fb>611.80999999999995</fb>
    <v>10</v>
  </rv>
  <rv s="6">
    <fb>163.41999999999999</fb>
    <v>10</v>
  </rv>
  <rv s="6">
    <fb>418.16</fb>
    <v>10</v>
  </rv>
  <rv s="6">
    <fb>45586</fb>
    <v>11</v>
  </rv>
  <rv s="6">
    <fb>639.24</fb>
    <v>10</v>
  </rv>
  <rv s="6">
    <fb>468.16</fb>
    <v>10</v>
  </rv>
  <rv s="6">
    <fb>69.45</fb>
    <v>10</v>
  </rv>
  <rv s="6">
    <fb>224.37</fb>
    <v>10</v>
  </rv>
  <rv s="6">
    <fb>35.49</fb>
    <v>10</v>
  </rv>
  <rv s="6">
    <fb>201.95</fb>
    <v>10</v>
  </rv>
  <rv s="6">
    <fb>29.58</fb>
    <v>10</v>
  </rv>
  <rv s="6">
    <fb>575.16</fb>
    <v>10</v>
  </rv>
  <rv s="6">
    <fb>317.64</fb>
    <v>10</v>
  </rv>
  <rv s="6">
    <fb>239.21</fb>
    <v>10</v>
  </rv>
  <rv s="6">
    <fb>614.61</fb>
    <v>10</v>
  </rv>
  <rv s="6">
    <fb>418.78</fb>
    <v>10</v>
  </rv>
  <rv s="6">
    <fb>45587</fb>
    <v>11</v>
  </rv>
  <rv s="6">
    <fb>629.28</fb>
    <v>10</v>
  </rv>
  <rv s="6">
    <fb>460.56</fb>
    <v>10</v>
  </rv>
  <rv s="6">
    <fb>221.55</fb>
    <v>10</v>
  </rv>
  <rv s="6">
    <fb>169.7</fb>
    <v>10</v>
  </rv>
  <rv s="6">
    <fb>198.48</fb>
    <v>10</v>
  </rv>
  <rv s="6">
    <fb>29.44</fb>
    <v>10</v>
  </rv>
  <rv s="6">
    <fb>582.01</fb>
    <v>10</v>
  </rv>
  <rv s="6">
    <fb>312.97000000000003</fb>
    <v>10</v>
  </rv>
  <rv s="6">
    <fb>576.98</fb>
    <v>10</v>
  </rv>
  <rv s="6">
    <fb>165.14</fb>
    <v>10</v>
  </rv>
  <rv s="6">
    <fb>427.51</fb>
    <v>10</v>
  </rv>
  <rv s="6">
    <fb>45588</fb>
    <v>11</v>
  </rv>
  <rv s="6">
    <fb>629.70000000000005</fb>
    <v>10</v>
  </rv>
  <rv s="6">
    <fb>458.85</fb>
    <v>10</v>
  </rv>
  <rv s="6">
    <fb>68.010000000000005</fb>
    <v>10</v>
  </rv>
  <rv s="6">
    <fb>221.15</fb>
    <v>10</v>
  </rv>
  <rv s="6">
    <fb>169.58</fb>
    <v>10</v>
  </rv>
  <rv s="6">
    <fb>200.86</fb>
    <v>10</v>
  </rv>
  <rv s="6">
    <fb>29.12</fb>
    <v>10</v>
  </rv>
  <rv s="6">
    <fb>563.69000000000005</fb>
    <v>10</v>
  </rv>
  <rv s="6">
    <fb>306.63</fb>
    <v>10</v>
  </rv>
  <rv s="6">
    <fb>571.1</fb>
    <v>10</v>
  </rv>
  <rv s="6">
    <fb>424.6</fb>
    <v>10</v>
  </rv>
  <rv s="6">
    <fb>45589</fb>
    <v>11</v>
  </rv>
  <rv s="6">
    <fb>624.14</fb>
    <v>10</v>
  </rv>
  <rv s="6">
    <fb>458.62</fb>
    <v>10</v>
  </rv>
  <rv s="6">
    <fb>67.3</fb>
    <v>10</v>
  </rv>
  <rv s="6">
    <fb>227.24</fb>
    <v>10</v>
  </rv>
  <rv s="6">
    <fb>169.62</fb>
    <v>10</v>
  </rv>
  <rv s="6">
    <fb>35.03</fb>
    <v>10</v>
  </rv>
  <rv s="6">
    <fb>197.93</fb>
    <v>10</v>
  </rv>
  <rv s="6">
    <fb>33.1</fb>
    <v>10</v>
  </rv>
  <rv s="6">
    <fb>309.87</fb>
    <v>10</v>
  </rv>
  <rv s="6">
    <fb>564.21</fb>
    <v>10</v>
  </rv>
  <rv s="6">
    <fb>424.73</fb>
    <v>10</v>
  </rv>
  <rv s="6">
    <fb>45590</fb>
    <v>11</v>
  </rv>
  <rv s="6">
    <fb>621.74</fb>
    <v>10</v>
  </rv>
  <rv s="6">
    <fb>417.2</fb>
    <v>10</v>
  </rv>
  <rv s="6">
    <fb>66.92</fb>
    <v>10</v>
  </rv>
  <rv s="6">
    <fb>224.12</fb>
    <v>10</v>
  </rv>
  <rv s="6">
    <fb>28.6</fb>
    <v>10</v>
  </rv>
  <rv s="6">
    <fb>573.25</fb>
    <v>10</v>
  </rv>
  <rv s="6">
    <fb>308.17</fb>
    <v>10</v>
  </rv>
  <rv s="6">
    <fb>562.29</fb>
    <v>10</v>
  </rv>
  <rv s="6">
    <fb>165.27</fb>
    <v>10</v>
  </rv>
  <rv s="6">
    <fb>428.15</fb>
    <v>10</v>
  </rv>
  <rv s="6">
    <fb>45593</fb>
    <v>11</v>
  </rv>
  <rv s="6">
    <fb>623.65</fb>
    <v>10</v>
  </rv>
  <rv s="6">
    <fb>421.05</fb>
    <v>10</v>
  </rv>
  <rv s="6">
    <fb>66.67</fb>
    <v>10</v>
  </rv>
  <rv s="6">
    <fb>169.3</fb>
    <v>10</v>
  </rv>
  <rv s="6">
    <fb>194.68</fb>
    <v>10</v>
  </rv>
  <rv s="6">
    <fb>33.26</fb>
    <v>10</v>
  </rv>
  <rv s="6">
    <fb>29.1</fb>
    <v>10</v>
  </rv>
  <rv s="6">
    <fb>578.16</fb>
    <v>10</v>
  </rv>
  <rv s="6">
    <fb>313.36</fb>
    <v>10</v>
  </rv>
  <rv s="6">
    <fb>237.51</fb>
    <v>10</v>
  </rv>
  <rv s="6">
    <fb>555.16999999999996</fb>
    <v>10</v>
  </rv>
  <rv s="6">
    <fb>166.72</fb>
    <v>10</v>
  </rv>
  <rv s="6">
    <fb>426.59</fb>
    <v>10</v>
  </rv>
  <rv s="6">
    <fb>45594</fb>
    <v>11</v>
  </rv>
  <rv s="6">
    <fb>625.11</fb>
    <v>10</v>
  </rv>
  <rv s="6">
    <fb>418.93</fb>
    <v>10</v>
  </rv>
  <rv s="6">
    <fb>65.56</fb>
    <v>10</v>
  </rv>
  <rv s="6">
    <fb>167.17</fb>
    <v>10</v>
  </rv>
  <rv s="6">
    <fb>196.94</fb>
    <v>10</v>
  </rv>
  <rv s="6">
    <fb>33.25</fb>
    <v>10</v>
  </rv>
  <rv s="6">
    <fb>593.28</fb>
    <v>10</v>
  </rv>
  <rv s="6">
    <fb>313.43</fb>
    <v>10</v>
  </rv>
  <rv s="6">
    <fb>236.07</fb>
    <v>10</v>
  </rv>
  <rv s="6">
    <fb>546.79999999999995</fb>
    <v>10</v>
  </rv>
  <rv s="6">
    <fb>169.68</fb>
    <v>10</v>
  </rv>
  <rv s="6">
    <fb>431.95</fb>
    <v>10</v>
  </rv>
  <rv s="6">
    <fb>45595</fb>
    <v>11</v>
  </rv>
  <rv s="6">
    <fb>624.29</fb>
    <v>10</v>
  </rv>
  <rv s="6">
    <fb>422.16</fb>
    <v>10</v>
  </rv>
  <rv s="6">
    <fb>65.92</fb>
    <v>10</v>
  </rv>
  <rv s="6">
    <fb>224.39</fb>
    <v>10</v>
  </rv>
  <rv s="6">
    <fb>33.729999999999997</fb>
    <v>10</v>
  </rv>
  <rv s="6">
    <fb>194.48</fb>
    <v>10</v>
  </rv>
  <rv s="6">
    <fb>33.54</fb>
    <v>10</v>
  </rv>
  <rv s="6">
    <fb>591.79999999999995</fb>
    <v>10</v>
  </rv>
  <rv s="6">
    <fb>311.63</fb>
    <v>10</v>
  </rv>
  <rv s="6">
    <fb>235.47</fb>
    <v>10</v>
  </rv>
  <rv s="6">
    <fb>545.94000000000005</fb>
    <v>10</v>
  </rv>
  <rv s="6">
    <fb>432.53</fb>
    <v>10</v>
  </rv>
  <rv s="6">
    <fb>45596</fb>
    <v>11</v>
  </rv>
  <rv s="6">
    <fb>634.07000000000005</fb>
    <v>10</v>
  </rv>
  <rv s="6">
    <fb>422.23</fb>
    <v>10</v>
  </rv>
  <rv s="6">
    <fb>65.31</fb>
    <v>10</v>
  </rv>
  <rv s="6">
    <fb>221.85</fb>
    <v>10</v>
  </rv>
  <rv s="6">
    <fb>190.54</fb>
    <v>10</v>
  </rv>
  <rv s="6">
    <fb>28.47</fb>
    <v>10</v>
  </rv>
  <rv s="6">
    <fb>567.58000000000004</fb>
    <v>10</v>
  </rv>
  <rv s="6">
    <fb>301.63</fb>
    <v>10</v>
  </rv>
  <rv s="6">
    <fb>546.04999999999995</fb>
    <v>10</v>
  </rv>
  <rv s="6">
    <fb>171.11</fb>
    <v>10</v>
  </rv>
  <rv s="6">
    <fb>406.35</fb>
    <v>10</v>
  </rv>
  <rv s="6">
    <fb>45597</fb>
    <v>11</v>
  </rv>
  <rv s="6">
    <fb>635.03</fb>
    <v>10</v>
  </rv>
  <rv s="6">
    <fb>65.010000000000005</fb>
    <v>10</v>
  </rv>
  <rv s="6">
    <fb>225.18</fb>
    <v>10</v>
  </rv>
  <rv s="6">
    <fb>165.1</fb>
    <v>10</v>
  </rv>
  <rv s="6">
    <fb>192.95</fb>
    <v>10</v>
  </rv>
  <rv s="6">
    <fb>28.24</fb>
    <v>10</v>
  </rv>
  <rv s="6">
    <fb>567.16</fb>
    <v>10</v>
  </rv>
  <rv s="6">
    <fb>303.5</fb>
    <v>10</v>
  </rv>
  <rv s="6">
    <fb>545.35</fb>
    <v>10</v>
  </rv>
  <rv s="6">
    <fb>171.29</fb>
    <v>10</v>
  </rv>
  <rv s="6">
    <fb>410.37</fb>
    <v>10</v>
  </rv>
  <rv s="6">
    <fb>45600</fb>
    <v>11</v>
  </rv>
  <rv s="6">
    <fb>638</fb>
    <v>10</v>
  </rv>
  <rv s="6">
    <fb>425.18</fb>
    <v>10</v>
  </rv>
  <rv s="6">
    <fb>65.11</fb>
    <v>10</v>
  </rv>
  <rv s="6">
    <fb>225.82</fb>
    <v>10</v>
  </rv>
  <rv s="6">
    <fb>33.380000000000003</fb>
    <v>10</v>
  </rv>
  <rv s="6">
    <fb>191.56</fb>
    <v>10</v>
  </rv>
  <rv s="6">
    <fb>28.49</fb>
    <v>10</v>
  </rv>
  <rv s="6">
    <fb>560.67999999999995</fb>
    <v>10</v>
  </rv>
  <rv s="6">
    <fb>304.32</fb>
    <v>10</v>
  </rv>
  <rv s="6">
    <fb>239.74</fb>
    <v>10</v>
  </rv>
  <rv s="6">
    <fb>543.1</fb>
    <v>10</v>
  </rv>
  <rv s="6">
    <fb>169.24</fb>
    <v>10</v>
  </rv>
  <rv s="6">
    <fb>408.46</fb>
    <v>10</v>
  </rv>
  <rv s="6">
    <fb>45601</fb>
    <v>11</v>
  </rv>
  <rv s="6">
    <fb>653.45000000000005</fb>
    <v>10</v>
  </rv>
  <rv s="6">
    <fb>434.31</fb>
    <v>10</v>
  </rv>
  <rv s="6">
    <fb>65.37</fb>
    <v>10</v>
  </rv>
  <rv s="6">
    <fb>195.76</fb>
    <v>10</v>
  </rv>
  <rv s="6">
    <fb>29.02</fb>
    <v>10</v>
  </rv>
  <rv s="6">
    <fb>572.42999999999995</fb>
    <v>10</v>
  </rv>
  <rv s="6">
    <fb>314.62</fb>
    <v>10</v>
  </rv>
  <rv s="6">
    <fb>546.75</fb>
    <v>10</v>
  </rv>
  <rv s="6">
    <fb>169.74</fb>
    <v>10</v>
  </rv>
  <rv s="6">
    <fb>411.46</fb>
    <v>10</v>
  </rv>
  <rv s="6">
    <fb>45602</fb>
    <v>11</v>
  </rv>
  <rv s="6">
    <fb>709.46</fb>
    <v>10</v>
  </rv>
  <rv s="6">
    <fb>450.65</fb>
    <v>10</v>
  </rv>
  <rv s="6">
    <fb>161.05000000000001</fb>
    <v>10</v>
  </rv>
  <rv s="6">
    <fb>193.22</fb>
    <v>10</v>
  </rv>
  <rv s="6">
    <fb>572.04999999999995</fb>
    <v>10</v>
  </rv>
  <rv s="6">
    <fb>310.82</fb>
    <v>10</v>
  </rv>
  <rv s="6">
    <fb>229.58</fb>
    <v>10</v>
  </rv>
  <rv s="6">
    <fb>551.82000000000005</fb>
    <v>10</v>
  </rv>
  <rv s="6">
    <fb>176.51</fb>
    <v>10</v>
  </rv>
  <rv s="6">
    <fb>420.18</fb>
    <v>10</v>
  </rv>
  <rv s="6">
    <fb>45603</fb>
    <v>11</v>
  </rv>
  <rv s="6">
    <fb>689.77</fb>
    <v>10</v>
  </rv>
  <rv s="6">
    <fb>448.65</fb>
    <v>10</v>
  </rv>
  <rv s="6">
    <fb>63.66</fb>
    <v>10</v>
  </rv>
  <rv s="6">
    <fb>163.41</fb>
    <v>10</v>
  </rv>
  <rv s="6">
    <fb>35.56</fb>
    <v>10</v>
  </rv>
  <rv s="6">
    <fb>591.70000000000005</fb>
    <v>10</v>
  </rv>
  <rv s="6">
    <fb>320.86</fb>
    <v>10</v>
  </rv>
  <rv s="6">
    <fb>233.28</fb>
    <v>10</v>
  </rv>
  <rv s="6">
    <fb>551.84</fb>
    <v>10</v>
  </rv>
  <rv s="6">
    <fb>180.75</fb>
    <v>10</v>
  </rv>
  <rv s="6">
    <fb>425.43</fb>
    <v>10</v>
  </rv>
  <rv s="6">
    <fb>45604</fb>
    <v>11</v>
  </rv>
  <rv s="6">
    <fb>695.58</fb>
    <v>10</v>
  </rv>
  <rv s="6">
    <fb>450.85</fb>
    <v>10</v>
  </rv>
  <rv s="6">
    <fb>219.19</fb>
    <v>10</v>
  </rv>
  <rv s="6">
    <fb>167.71</fb>
    <v>10</v>
  </rv>
  <rv s="6">
    <fb>201.2</fb>
    <v>10</v>
  </rv>
  <rv s="6">
    <fb>32.475000000000001</fb>
    <v>10</v>
  </rv>
  <rv s="6">
    <fb>589.34</fb>
    <v>10</v>
  </rv>
  <rv s="6">
    <fb>330.98</fb>
    <v>10</v>
  </rv>
  <rv s="6">
    <fb>564.55999999999995</fb>
    <v>10</v>
  </rv>
  <rv s="6">
    <fb>178.35</fb>
    <v>10</v>
  </rv>
  <rv s="6">
    <fb>422.54</fb>
    <v>10</v>
  </rv>
  <rv s="6">
    <fb>45607</fb>
    <v>11</v>
  </rv>
  <rv s="6">
    <fb>708.15</fb>
    <v>10</v>
  </rv>
  <rv s="6">
    <fb>455.2</fb>
    <v>10</v>
  </rv>
  <rv s="6">
    <fb>63.36</fb>
    <v>10</v>
  </rv>
  <rv s="6">
    <fb>221.86</fb>
    <v>10</v>
  </rv>
  <rv s="6">
    <fb>166.03</fb>
    <v>10</v>
  </rv>
  <rv s="6">
    <fb>583.16999999999996</fb>
    <v>10</v>
  </rv>
  <rv s="6">
    <fb>329.69</fb>
    <v>10</v>
  </rv>
  <rv s="6">
    <fb>236.2</fb>
    <v>10</v>
  </rv>
  <rv s="6">
    <fb>570.58000000000004</fb>
    <v>10</v>
  </rv>
  <rv s="6">
    <fb>180.35</fb>
    <v>10</v>
  </rv>
  <rv s="6">
    <fb>418.01</fb>
    <v>10</v>
  </rv>
  <rv s="6">
    <fb>45608</fb>
    <v>11</v>
  </rv>
  <rv s="6">
    <fb>699.32</fb>
    <v>10</v>
  </rv>
  <rv s="6">
    <fb>453.04</fb>
    <v>10</v>
  </rv>
  <rv s="6">
    <fb>63.2</fb>
    <v>10</v>
  </rv>
  <rv s="6">
    <fb>222.73</fb>
    <v>10</v>
  </rv>
  <rv s="6">
    <fb>165.84</fb>
    <v>10</v>
  </rv>
  <rv s="6">
    <fb>191.77</fb>
    <v>10</v>
  </rv>
  <rv s="6">
    <fb>584.82000000000005</fb>
    <v>10</v>
  </rv>
  <rv s="6">
    <fb>327.27</fb>
    <v>10</v>
  </rv>
  <rv s="6">
    <fb>238.29</fb>
    <v>10</v>
  </rv>
  <rv s="6">
    <fb>565.96</fb>
    <v>10</v>
  </rv>
  <rv s="6">
    <fb>45609</fb>
    <v>11</v>
  </rv>
  <rv s="6">
    <fb>706.46</fb>
    <v>10</v>
  </rv>
  <rv s="6">
    <fb>454.83</fb>
    <v>10</v>
  </rv>
  <rv s="6">
    <fb>222.27</fb>
    <v>10</v>
  </rv>
  <rv s="6">
    <fb>166.58</fb>
    <v>10</v>
  </rv>
  <rv s="6">
    <fb>186.66</fb>
    <v>10</v>
  </rv>
  <rv s="6">
    <fb>36.479999999999997</fb>
    <v>10</v>
  </rv>
  <rv s="6">
    <fb>32.81</fb>
    <v>10</v>
  </rv>
  <rv s="6">
    <fb>580</fb>
    <v>10</v>
  </rv>
  <rv s="6">
    <fb>557.73</fb>
    <v>10</v>
  </rv>
  <rv s="6">
    <fb>178.88</fb>
    <v>10</v>
  </rv>
  <rv s="6">
    <fb>425.2</fb>
    <v>10</v>
  </rv>
  <rv s="6">
    <fb>45610</fb>
    <v>11</v>
  </rv>
  <rv s="6">
    <fb>697.63</fb>
    <v>10</v>
  </rv>
  <rv s="6">
    <fb>450.58</fb>
    <v>10</v>
  </rv>
  <rv s="6">
    <fb>221.19</fb>
    <v>10</v>
  </rv>
  <rv s="6">
    <fb>167.08</fb>
    <v>10</v>
  </rv>
  <rv s="6">
    <fb>188.5</fb>
    <v>10</v>
  </rv>
  <rv s="6">
    <fb>577.16</fb>
    <v>10</v>
  </rv>
  <rv s="6">
    <fb>323.87</fb>
    <v>10</v>
  </rv>
  <rv s="6">
    <fb>242</fb>
    <v>10</v>
  </rv>
  <rv s="6">
    <fb>538.99</fb>
    <v>10</v>
  </rv>
  <rv s="6">
    <fb>175.58</fb>
    <v>10</v>
  </rv>
  <rv s="6">
    <fb>426.89</fb>
    <v>10</v>
  </rv>
  <rv s="6">
    <fb>45611</fb>
    <v>11</v>
  </rv>
  <rv s="6">
    <fb>698.91</fb>
    <v>10</v>
  </rv>
  <rv s="6">
    <fb>445.34</fb>
    <v>10</v>
  </rv>
  <rv s="6">
    <fb>220.12</fb>
    <v>10</v>
  </rv>
  <rv s="6">
    <fb>186.01</fb>
    <v>10</v>
  </rv>
  <rv s="6">
    <fb>32.19</fb>
    <v>10</v>
  </rv>
  <rv s="6">
    <fb>554.08000000000004</fb>
    <v>10</v>
  </rv>
  <rv s="6">
    <fb>323.33</fb>
    <v>10</v>
  </rv>
  <rv s="6">
    <fb>534.83000000000004</fb>
    <v>10</v>
  </rv>
  <rv s="6">
    <fb>172.49</fb>
    <v>10</v>
  </rv>
  <rv s="6">
    <fb>415</fb>
    <v>10</v>
  </rv>
  <rv s="6">
    <fb>45614</fb>
    <v>11</v>
  </rv>
  <rv s="6">
    <fb>691.68</fb>
    <v>10</v>
  </rv>
  <rv s="6">
    <fb>439.13</fb>
    <v>10</v>
  </rv>
  <rv s="6">
    <fb>217.09</fb>
    <v>10</v>
  </rv>
  <rv s="6">
    <fb>170.75</fb>
    <v>10</v>
  </rv>
  <rv s="6">
    <fb>554.4</fb>
    <v>10</v>
  </rv>
  <rv s="6">
    <fb>238.06</fb>
    <v>10</v>
  </rv>
  <rv s="6">
    <fb>530.96</fb>
    <v>10</v>
  </rv>
  <rv s="6">
    <fb>175.3</fb>
    <v>10</v>
  </rv>
  <rv s="6">
    <fb>415.76</fb>
    <v>10</v>
  </rv>
  <rv s="6">
    <fb>45615</fb>
    <v>11</v>
  </rv>
  <rv s="6">
    <fb>689.76</fb>
    <v>10</v>
  </rv>
  <rv s="6">
    <fb>435.09</fb>
    <v>10</v>
  </rv>
  <rv s="6">
    <fb>62.59</fb>
    <v>10</v>
  </rv>
  <rv s="6">
    <fb>189.67</fb>
    <v>10</v>
  </rv>
  <rv s="6">
    <fb>31.99</fb>
    <v>10</v>
  </rv>
  <rv s="6">
    <fb>561.09</fb>
    <v>10</v>
  </rv>
  <rv s="6">
    <fb>330.78</fb>
    <v>10</v>
  </rv>
  <rv s="6">
    <fb>240.44</fb>
    <v>10</v>
  </rv>
  <rv s="6">
    <fb>533.26</fb>
    <v>10</v>
  </rv>
  <rv s="6">
    <fb>178.12</fb>
    <v>10</v>
  </rv>
  <rv s="6">
    <fb>417.79</fb>
    <v>10</v>
  </rv>
  <rv s="6">
    <fb>45616</fb>
    <v>11</v>
  </rv>
  <rv s="6">
    <fb>690.43</fb>
    <v>10</v>
  </rv>
  <rv s="6">
    <fb>431.73</fb>
    <v>10</v>
  </rv>
  <rv s="6">
    <fb>212.25</fb>
    <v>10</v>
  </rv>
  <rv s="6">
    <fb>170.89</fb>
    <v>10</v>
  </rv>
  <rv s="6">
    <fb>188.36</fb>
    <v>10</v>
  </rv>
  <rv s="6">
    <fb>565.52</fb>
    <v>10</v>
  </rv>
  <rv s="6">
    <fb>332.34</fb>
    <v>10</v>
  </rv>
  <rv s="6">
    <fb>239.75</fb>
    <v>10</v>
  </rv>
  <rv s="6">
    <fb>534.73</fb>
    <v>10</v>
  </rv>
  <rv s="6">
    <fb>175.98</fb>
    <v>10</v>
  </rv>
  <rv s="6">
    <fb>415.49</fb>
    <v>10</v>
  </rv>
  <rv s="6">
    <fb>45617</fb>
    <v>11</v>
  </rv>
  <rv s="6">
    <fb>702.68</fb>
    <v>10</v>
  </rv>
  <rv s="6">
    <fb>441.52</fb>
    <v>10</v>
  </rv>
  <rv s="6">
    <fb>215.77</fb>
    <v>10</v>
  </rv>
  <rv s="6">
    <fb>172.75</fb>
    <v>10</v>
  </rv>
  <rv s="6">
    <fb>31.09</fb>
    <v>10</v>
  </rv>
  <rv s="6">
    <fb>191.24</fb>
    <v>10</v>
  </rv>
  <rv s="6">
    <fb>32.28</fb>
    <v>10</v>
  </rv>
  <rv s="6">
    <fb>563.09</fb>
    <v>10</v>
  </rv>
  <rv s="6">
    <fb>340.01</fb>
    <v>10</v>
  </rv>
  <rv s="6">
    <fb>240.76</fb>
    <v>10</v>
  </rv>
  <rv s="6">
    <fb>542.01</fb>
    <v>10</v>
  </rv>
  <rv s="6">
    <fb>412.87</fb>
    <v>10</v>
  </rv>
  <rv s="6">
    <fb>45618</fb>
    <v>11</v>
  </rv>
  <rv s="6">
    <fb>706.87</fb>
    <v>10</v>
  </rv>
  <rv s="6">
    <fb>449.65</fb>
    <v>10</v>
  </rv>
  <rv s="6">
    <fb>214.34</fb>
    <v>10</v>
  </rv>
  <rv s="6">
    <fb>176.28</fb>
    <v>10</v>
  </rv>
  <rv s="6">
    <fb>190.08</fb>
    <v>10</v>
  </rv>
  <rv s="6">
    <fb>33.04</fb>
    <v>10</v>
  </rv>
  <rv s="6">
    <fb>559.14</fb>
    <v>10</v>
  </rv>
  <rv s="6">
    <fb>239.66</fb>
    <v>10</v>
  </rv>
  <rv s="6">
    <fb>542.22</fb>
    <v>10</v>
  </rv>
  <rv s="6">
    <fb>45621</fb>
    <v>11</v>
  </rv>
  <rv s="6">
    <fb>704.42</fb>
    <v>10</v>
  </rv>
  <rv s="6">
    <fb>469.68</fb>
    <v>10</v>
  </rv>
  <rv s="6">
    <fb>64.38</fb>
    <v>10</v>
  </rv>
  <rv s="6">
    <fb>177.39</fb>
    <v>10</v>
  </rv>
  <rv s="6">
    <fb>185.08</fb>
    <v>10</v>
  </rv>
  <rv s="6">
    <fb>565.11</fb>
    <v>10</v>
  </rv>
  <rv s="6">
    <fb>342.92</fb>
    <v>10</v>
  </rv>
  <rv s="6">
    <fb>241.67</fb>
    <v>10</v>
  </rv>
  <rv s="6">
    <fb>521.89</fb>
    <v>10</v>
  </rv>
  <rv s="6">
    <fb>418.79</fb>
    <v>10</v>
  </rv>
  <rv s="6">
    <fb>45622</fb>
    <v>11</v>
  </rv>
  <rv s="6">
    <fb>706.85</fb>
    <v>10</v>
  </rv>
  <rv s="6">
    <fb>461.22</fb>
    <v>10</v>
  </rv>
  <rv s="6">
    <fb>64.55</fb>
    <v>10</v>
  </rv>
  <rv s="6">
    <fb>216.06</fb>
    <v>10</v>
  </rv>
  <rv s="6">
    <fb>179.31</fb>
    <v>10</v>
  </rv>
  <rv s="6">
    <fb>31.97</fb>
    <v>10</v>
  </rv>
  <rv s="6">
    <fb>183.84</fb>
    <v>10</v>
  </rv>
  <rv s="6">
    <fb>36.69</fb>
    <v>10</v>
  </rv>
  <rv s="6">
    <fb>573.54</fb>
    <v>10</v>
  </rv>
  <rv s="6">
    <fb>346.6</fb>
    <v>10</v>
  </rv>
  <rv s="6">
    <fb>233.6</fb>
    <v>10</v>
  </rv>
  <rv s="6">
    <fb>521.45000000000005</fb>
    <v>10</v>
  </rv>
  <rv s="6">
    <fb>169.12</fb>
    <v>10</v>
  </rv>
  <rv s="6">
    <fb>427.99</fb>
    <v>10</v>
  </rv>
  <rv s="6">
    <fb>45623</fb>
    <v>11</v>
  </rv>
  <rv s="6">
    <fb>699.88</fb>
    <v>10</v>
  </rv>
  <rv s="6">
    <fb>457.59</fb>
    <v>10</v>
  </rv>
  <rv s="6">
    <fb>64.430000000000007</fb>
    <v>10</v>
  </rv>
  <rv s="6">
    <fb>217.47</fb>
    <v>10</v>
  </rv>
  <rv s="6">
    <fb>179.36</fb>
    <v>10</v>
  </rv>
  <rv s="6">
    <fb>181.19</fb>
    <v>10</v>
  </rv>
  <rv s="6">
    <fb>32.04</fb>
    <v>10</v>
  </rv>
  <rv s="6">
    <fb>569.20000000000005</fb>
    <v>10</v>
  </rv>
  <rv s="6">
    <fb>343.94</fb>
    <v>10</v>
  </rv>
  <rv s="6">
    <fb>235.97</fb>
    <v>10</v>
  </rv>
  <rv s="6">
    <fb>525.75</fb>
    <v>10</v>
  </rv>
  <rv s="6">
    <fb>169.23</fb>
    <v>10</v>
  </rv>
  <rv s="6">
    <fb>422.99</fb>
    <v>10</v>
  </rv>
  <rv s="6">
    <fb>45625</fb>
    <v>11</v>
  </rv>
  <rv s="6">
    <fb>702.9</fb>
    <v>10</v>
  </rv>
  <rv s="6">
    <fb>456.7</fb>
    <v>10</v>
  </rv>
  <rv s="6">
    <fb>64.08</fb>
    <v>10</v>
  </rv>
  <rv s="6">
    <fb>219.06</fb>
    <v>10</v>
  </rv>
  <rv s="6">
    <fb>179.26</fb>
    <v>10</v>
  </rv>
  <rv s="6">
    <fb>184.66</fb>
    <v>10</v>
  </rv>
  <rv s="6">
    <fb>32.17</fb>
    <v>10</v>
  </rv>
  <rv s="6">
    <fb>574.32000000000005</fb>
    <v>10</v>
  </rv>
  <rv s="6">
    <fb>344.52</fb>
    <v>10</v>
  </rv>
  <rv s="6">
    <fb>240.95</fb>
    <v>10</v>
  </rv>
  <rv s="6">
    <fb>529.41</fb>
    <v>10</v>
  </rv>
  <rv s="6">
    <fb>423.46</fb>
    <v>10</v>
  </rv>
  <rv s="6">
    <fb>45628</fb>
    <v>11</v>
  </rv>
  <rv s="6">
    <fb>700.69</fb>
    <v>10</v>
  </rv>
  <rv s="6">
    <fb>453.28</fb>
    <v>10</v>
  </rv>
  <rv s="6">
    <fb>179.7</fb>
    <v>10</v>
  </rv>
  <rv s="6">
    <fb>194.4</fb>
    <v>10</v>
  </rv>
  <rv s="6">
    <fb>36.340000000000003</fb>
    <v>10</v>
  </rv>
  <rv s="6">
    <fb>592.83000000000004</fb>
    <v>10</v>
  </rv>
  <rv s="6">
    <fb>237.76</fb>
    <v>10</v>
  </rv>
  <rv s="6">
    <fb>520.34</fb>
    <v>10</v>
  </rv>
  <rv s="6">
    <fb>171.49</fb>
    <v>10</v>
  </rv>
  <rv s="6">
    <fb>430.98</fb>
    <v>10</v>
  </rv>
  <rv s="6">
    <fb>45629</fb>
    <v>11</v>
  </rv>
  <rv s="6">
    <fb>700.9</fb>
    <v>10</v>
  </rv>
  <rv s="6">
    <fb>444.43</fb>
    <v>10</v>
  </rv>
  <rv s="6">
    <fb>63.52</fb>
    <v>10</v>
  </rv>
  <rv s="6">
    <fb>175.42</fb>
    <v>10</v>
  </rv>
  <rv s="6">
    <fb>198.89</fb>
    <v>10</v>
  </rv>
  <rv s="6">
    <fb>32.43</fb>
    <v>10</v>
  </rv>
  <rv s="6">
    <fb>613.65</fb>
    <v>10</v>
  </rv>
  <rv s="6">
    <fb>339.74</fb>
    <v>10</v>
  </rv>
  <rv s="6">
    <fb>517</fb>
    <v>10</v>
  </rv>
  <rv s="6">
    <fb>171.34</fb>
    <v>10</v>
  </rv>
  <rv s="6">
    <fb>431.2</fb>
    <v>10</v>
  </rv>
  <rv s="6">
    <fb>45630</fb>
    <v>11</v>
  </rv>
  <rv s="6">
    <fb>696.49</fb>
    <v>10</v>
  </rv>
  <rv s="6">
    <fb>438.24</fb>
    <v>10</v>
  </rv>
  <rv s="6">
    <fb>217.25</fb>
    <v>10</v>
  </rv>
  <rv s="6">
    <fb>175.11</fb>
    <v>10</v>
  </rv>
  <rv s="6">
    <fb>35.299999999999997</fb>
    <v>10</v>
  </rv>
  <rv s="6">
    <fb>613.78</fb>
    <v>10</v>
  </rv>
  <rv s="6">
    <fb>333.66</fb>
    <v>10</v>
  </rv>
  <rv s="6">
    <fb>238.3</fb>
    <v>10</v>
  </rv>
  <rv s="6">
    <fb>517.5</fb>
    <v>10</v>
  </rv>
  <rv s="6">
    <fb>174.37</fb>
    <v>10</v>
  </rv>
  <rv s="6">
    <fb>437.42</fb>
    <v>10</v>
  </rv>
  <rv s="6">
    <fb>45631</fb>
    <v>11</v>
  </rv>
  <rv s="6">
    <fb>694.71</fb>
    <v>10</v>
  </rv>
  <rv s="6">
    <fb>436.27</fb>
    <v>10</v>
  </rv>
  <rv s="6">
    <fb>176.03</fb>
    <v>10</v>
  </rv>
  <rv s="6">
    <fb>204.3</fb>
    <v>10</v>
  </rv>
  <rv s="6">
    <fb>608.92999999999995</fb>
    <v>10</v>
  </rv>
  <rv s="6">
    <fb>334.97</fb>
    <v>10</v>
  </rv>
  <rv s="6">
    <fb>239.5</fb>
    <v>10</v>
  </rv>
  <rv s="6">
    <fb>517.48</fb>
    <v>10</v>
  </rv>
  <rv s="6">
    <fb>172.64</fb>
    <v>10</v>
  </rv>
  <rv s="6">
    <fb>442.62</fb>
    <v>10</v>
  </rv>
  <rv s="6">
    <fb>45632</fb>
    <v>11</v>
  </rv>
  <rv s="6">
    <fb>696.16</fb>
    <v>10</v>
  </rv>
  <rv s="6">
    <fb>440.01</fb>
    <v>10</v>
  </rv>
  <rv s="6">
    <fb>62.53</fb>
    <v>10</v>
  </rv>
  <rv s="6">
    <fb>215.89</fb>
    <v>10</v>
  </rv>
  <rv s="6">
    <fb>173.82</fb>
    <v>10</v>
  </rv>
  <rv s="6">
    <fb>203.02</fb>
    <v>10</v>
  </rv>
  <rv s="6">
    <fb>31.32</fb>
    <v>10</v>
  </rv>
  <rv s="6">
    <fb>513.03</fb>
    <v>10</v>
  </rv>
  <rv s="6">
    <fb>174.71</fb>
    <v>10</v>
  </rv>
  <rv s="6">
    <fb>443.57</fb>
    <v>10</v>
  </rv>
  <rv s="6">
    <fb>45635</fb>
    <v>11</v>
  </rv>
  <rv s="6">
    <fb>686</fb>
    <v>10</v>
  </rv>
  <rv s="6">
    <fb>430.94</fb>
    <v>10</v>
  </rv>
  <rv s="6">
    <fb>62.6</fb>
    <v>10</v>
  </rv>
  <rv s="6">
    <fb>215.63</fb>
    <v>10</v>
  </rv>
  <rv s="6">
    <fb>170.79</fb>
    <v>10</v>
  </rv>
  <rv s="6">
    <fb>31.72</fb>
    <v>10</v>
  </rv>
  <rv s="6">
    <fb>33.97</fb>
    <v>10</v>
  </rv>
  <rv s="6">
    <fb>613.57000000000005</fb>
    <v>10</v>
  </rv>
  <rv s="6">
    <fb>321.98</fb>
    <v>10</v>
  </rv>
  <rv s="6">
    <fb>244.31</fb>
    <v>10</v>
  </rv>
  <rv s="6">
    <fb>510.01</fb>
    <v>10</v>
  </rv>
  <rv s="6">
    <fb>175.37</fb>
    <v>10</v>
  </rv>
  <rv s="6">
    <fb>446.02</fb>
    <v>10</v>
  </rv>
  <rv s="6">
    <fb>45636</fb>
    <v>11</v>
  </rv>
  <rv s="6">
    <fb>677.93</fb>
    <v>10</v>
  </rv>
  <rv s="6">
    <fb>214.22</fb>
    <v>10</v>
  </rv>
  <rv s="6">
    <fb>191.94</fb>
    <v>10</v>
  </rv>
  <rv s="6">
    <fb>31.17</fb>
    <v>10</v>
  </rv>
  <rv s="6">
    <fb>619.32000000000005</fb>
    <v>10</v>
  </rv>
  <rv s="6">
    <fb>319.89999999999998</fb>
    <v>10</v>
  </rv>
  <rv s="6">
    <fb>512.94000000000005</fb>
    <v>10</v>
  </rv>
  <rv s="6">
    <fb>185.17</fb>
    <v>10</v>
  </rv>
  <rv s="6">
    <fb>443.33</fb>
    <v>10</v>
  </rv>
  <rv s="6">
    <fb>45637</fb>
    <v>11</v>
  </rv>
  <rv s="6">
    <fb>686.39</fb>
    <v>10</v>
  </rv>
  <rv s="6">
    <fb>427.06</fb>
    <v>10</v>
  </rv>
  <rv s="6">
    <fb>62.64</fb>
    <v>10</v>
  </rv>
  <rv s="6">
    <fb>209.62</fb>
    <v>10</v>
  </rv>
  <rv s="6">
    <fb>170.63</fb>
    <v>10</v>
  </rv>
  <rv s="6">
    <fb>31.29</fb>
    <v>10</v>
  </rv>
  <rv s="6">
    <fb>194.6</fb>
    <v>10</v>
  </rv>
  <rv s="6">
    <fb>31.24</fb>
    <v>10</v>
  </rv>
  <rv s="6">
    <fb>632.67999999999995</fb>
    <v>10</v>
  </rv>
  <rv s="6">
    <fb>334.25</fb>
    <v>10</v>
  </rv>
  <rv s="6">
    <fb>239.89</fb>
    <v>10</v>
  </rv>
  <rv s="6">
    <fb>504.24</fb>
    <v>10</v>
  </rv>
  <rv s="6">
    <fb>195.4</fb>
    <v>10</v>
  </rv>
  <rv s="6">
    <fb>448.99</fb>
    <v>10</v>
  </rv>
  <rv s="6">
    <fb>45638</fb>
    <v>11</v>
  </rv>
  <rv s="6">
    <fb>682.57</fb>
    <v>10</v>
  </rv>
  <rv s="6">
    <fb>423.76</fb>
    <v>10</v>
  </rv>
  <rv s="6">
    <fb>216.41</fb>
    <v>10</v>
  </rv>
  <rv s="6">
    <fb>170.85</fb>
    <v>10</v>
  </rv>
  <rv s="6">
    <fb>191.46</fb>
    <v>10</v>
  </rv>
  <rv s="6">
    <fb>630.79</fb>
    <v>10</v>
  </rv>
  <rv s="6">
    <fb>336.1</fb>
    <v>10</v>
  </rv>
  <rv s="6">
    <fb>239.45</fb>
    <v>10</v>
  </rv>
  <rv s="6">
    <fb>496.58</fb>
    <v>10</v>
  </rv>
  <rv s="6">
    <fb>191.96</fb>
    <v>10</v>
  </rv>
  <rv s="6">
    <fb>449.56</fb>
    <v>10</v>
  </rv>
  <rv s="6">
    <fb>45639</fb>
    <v>11</v>
  </rv>
  <rv s="6">
    <fb>671.82</fb>
    <v>10</v>
  </rv>
  <rv s="6">
    <fb>420.03</fb>
    <v>10</v>
  </rv>
  <rv s="6">
    <fb>63.12</fb>
    <v>10</v>
  </rv>
  <rv s="6">
    <fb>171.06</fb>
    <v>10</v>
  </rv>
  <rv s="6">
    <fb>31.69</fb>
    <v>10</v>
  </rv>
  <rv s="6">
    <fb>200.99</fb>
    <v>10</v>
  </rv>
  <rv s="6">
    <fb>620.35</fb>
    <v>10</v>
  </rv>
  <rv s="6">
    <fb>337.6</fb>
    <v>10</v>
  </rv>
  <rv s="6">
    <fb>494.65</fb>
    <v>10</v>
  </rv>
  <rv s="6">
    <fb>189.82</fb>
    <v>10</v>
  </rv>
  <rv s="6">
    <fb>447.27</fb>
    <v>10</v>
  </rv>
  <rv s="6">
    <fb>45642</fb>
    <v>11</v>
  </rv>
  <rv s="6">
    <fb>673.74</fb>
    <v>10</v>
  </rv>
  <rv s="6">
    <fb>416.24</fb>
    <v>10</v>
  </rv>
  <rv s="6">
    <fb>211.03</fb>
    <v>10</v>
  </rv>
  <rv s="6">
    <fb>171.14</fb>
    <v>10</v>
  </rv>
  <rv s="6">
    <fb>202.22</fb>
    <v>10</v>
  </rv>
  <rv s="6">
    <fb>32.94</fb>
    <v>10</v>
  </rv>
  <rv s="6">
    <fb>624.24</fb>
    <v>10</v>
  </rv>
  <rv s="6">
    <fb>342.5</fb>
    <v>10</v>
  </rv>
  <rv s="6">
    <fb>232.92</fb>
    <v>10</v>
  </rv>
  <rv s="6">
    <fb>491.65</fb>
    <v>10</v>
  </rv>
  <rv s="6">
    <fb>196.66</fb>
    <v>10</v>
  </rv>
  <rv s="6">
    <fb>451.59</fb>
    <v>10</v>
  </rv>
  <rv s="6">
    <fb>45643</fb>
    <v>11</v>
  </rv>
  <rv s="6">
    <fb>665.99</fb>
    <v>10</v>
  </rv>
  <rv s="6">
    <fb>404.63</fb>
    <v>10</v>
  </rv>
  <rv s="6">
    <fb>209.51</fb>
    <v>10</v>
  </rv>
  <rv s="6">
    <fb>170.33</fb>
    <v>10</v>
  </rv>
  <rv s="6">
    <fb>31.25</fb>
    <v>10</v>
  </rv>
  <rv s="6">
    <fb>200.66</fb>
    <v>10</v>
  </rv>
  <rv s="6">
    <fb>619.44000000000005</fb>
    <v>10</v>
  </rv>
  <rv s="6">
    <fb>336.43</fb>
    <v>10</v>
  </rv>
  <rv s="6">
    <fb>233.09</fb>
    <v>10</v>
  </rv>
  <rv s="6">
    <fb>490.61</fb>
    <v>10</v>
  </rv>
  <rv s="6">
    <fb>195.42</fb>
    <v>10</v>
  </rv>
  <rv s="6">
    <fb>454.46</fb>
    <v>10</v>
  </rv>
  <rv s="6">
    <fb>45644</fb>
    <v>11</v>
  </rv>
  <rv s="6">
    <fb>643.79999999999995</fb>
    <v>10</v>
  </rv>
  <rv s="6">
    <fb>384.09</fb>
    <v>10</v>
  </rv>
  <rv s="6">
    <fb>207.01</fb>
    <v>10</v>
  </rv>
  <rv s="6">
    <fb>30.3</fb>
    <v>10</v>
  </rv>
  <rv s="6">
    <fb>597.19000000000005</fb>
    <v>10</v>
  </rv>
  <rv s="6">
    <fb>320.62</fb>
    <v>10</v>
  </rv>
  <rv s="6">
    <fb>228.31</fb>
    <v>10</v>
  </rv>
  <rv s="6">
    <fb>482.94</fb>
    <v>10</v>
  </rv>
  <rv s="6">
    <fb>188.4</fb>
    <v>10</v>
  </rv>
  <rv s="6">
    <fb>437.39</fb>
    <v>10</v>
  </rv>
  <rv s="6">
    <fb>45645</fb>
    <v>11</v>
  </rv>
  <rv s="6">
    <fb>639.27</fb>
    <v>10</v>
  </rv>
  <rv s="6">
    <fb>377.88</fb>
    <v>10</v>
  </rv>
  <rv s="6">
    <fb>62.45</fb>
    <v>10</v>
  </rv>
  <rv s="6">
    <fb>204.34</fb>
    <v>10</v>
  </rv>
  <rv s="6">
    <fb>169.19</fb>
    <v>10</v>
  </rv>
  <rv s="6">
    <fb>30.1</fb>
    <v>10</v>
  </rv>
  <rv s="6">
    <fb>194.64</fb>
    <v>10</v>
  </rv>
  <rv s="6">
    <fb>26.8</fb>
    <v>10</v>
  </rv>
  <rv s="6">
    <fb>595.57000000000005</fb>
    <v>10</v>
  </rv>
  <rv s="6">
    <fb>322.58999999999997</fb>
    <v>10</v>
  </rv>
  <rv s="6">
    <fb>227.05</fb>
    <v>10</v>
  </rv>
  <rv s="6">
    <fb>479.66</fb>
    <v>10</v>
  </rv>
  <rv s="6">
    <fb>188.51</fb>
    <v>10</v>
  </rv>
  <rv s="6">
    <fb>437.03</fb>
    <v>10</v>
  </rv>
  <rv s="6">
    <fb>45646</fb>
    <v>11</v>
  </rv>
  <rv s="6">
    <fb>647.20000000000005</fb>
    <v>10</v>
  </rv>
  <rv s="6">
    <fb>378.27</fb>
    <v>10</v>
  </rv>
  <rv s="6">
    <fb>207.49</fb>
    <v>10</v>
  </rv>
  <rv s="6">
    <fb>30.52</fb>
    <v>10</v>
  </rv>
  <rv s="6">
    <fb>197.21</fb>
    <v>10</v>
  </rv>
  <rv s="6">
    <fb>31.85</fb>
    <v>10</v>
  </rv>
  <rv s="6">
    <fb>26.04</fb>
    <v>10</v>
  </rv>
  <rv s="6">
    <fb>585.25</fb>
    <v>10</v>
  </rv>
  <rv s="6">
    <fb>227.63</fb>
    <v>10</v>
  </rv>
  <rv s="6">
    <fb>489.02</fb>
    <v>10</v>
  </rv>
  <rv s="6">
    <fb>191.41</fb>
    <v>10</v>
  </rv>
  <rv s="6">
    <fb>436.6</fb>
    <v>10</v>
  </rv>
  <rv s="6">
    <fb>45649</fb>
    <v>11</v>
  </rv>
  <rv s="6">
    <fb>645.65</fb>
    <v>10</v>
  </rv>
  <rv s="6">
    <fb>376.54</fb>
    <v>10</v>
  </rv>
  <rv s="6">
    <fb>62.38</fb>
    <v>10</v>
  </rv>
  <rv s="6">
    <fb>168.11</fb>
    <v>10</v>
  </rv>
  <rv s="6">
    <fb>207.36</fb>
    <v>10</v>
  </rv>
  <rv s="6">
    <fb>25.95</fb>
    <v>10</v>
  </rv>
  <rv s="6">
    <fb>599.85</fb>
    <v>10</v>
  </rv>
  <rv s="6">
    <fb>327.38</fb>
    <v>10</v>
  </rv>
  <rv s="6">
    <fb>486.49</fb>
    <v>10</v>
  </rv>
  <rv s="6">
    <fb>194.63</fb>
    <v>10</v>
  </rv>
  <rv s="6">
    <fb>435.25</fb>
    <v>10</v>
  </rv>
  <rv s="6">
    <fb>45650</fb>
    <v>11</v>
  </rv>
  <rv s="6">
    <fb>652.57000000000005</fb>
    <v>10</v>
  </rv>
  <rv s="6">
    <fb>376.45</fb>
    <v>10</v>
  </rv>
  <rv s="6">
    <fb>168.94</fb>
    <v>10</v>
  </rv>
  <rv s="6">
    <fb>206.33</fb>
    <v>10</v>
  </rv>
  <rv s="6">
    <fb>26.26</fb>
    <v>10</v>
  </rv>
  <rv s="6">
    <fb>607.75</fb>
    <v>10</v>
  </rv>
  <rv s="6">
    <fb>330.81</fb>
    <v>10</v>
  </rv>
  <rv s="6">
    <fb>225.4</fb>
    <v>10</v>
  </rv>
  <rv s="6">
    <fb>488.13</fb>
    <v>10</v>
  </rv>
  <rv s="6">
    <fb>196.11</fb>
    <v>10</v>
  </rv>
  <rv s="6">
    <fb>439.33</fb>
    <v>10</v>
  </rv>
  <rv s="6">
    <fb>45652</fb>
    <v>11</v>
  </rv>
  <rv s="6">
    <fb>651.41999999999996</fb>
    <v>10</v>
  </rv>
  <rv s="6">
    <fb>378.21</fb>
    <v>10</v>
  </rv>
  <rv s="6">
    <fb>208.72</fb>
    <v>10</v>
  </rv>
  <rv s="6">
    <fb>30.55</fb>
    <v>10</v>
  </rv>
  <rv s="6">
    <fb>203.06</fb>
    <v>10</v>
  </rv>
  <rv s="6">
    <fb>603.35</fb>
    <v>10</v>
  </rv>
  <rv s="6">
    <fb>330.62</fb>
    <v>10</v>
  </rv>
  <rv s="6">
    <fb>489.98</fb>
    <v>10</v>
  </rv>
  <rv s="6">
    <fb>195.6</fb>
    <v>10</v>
  </rv>
  <rv s="6">
    <fb>438.11</fb>
    <v>10</v>
  </rv>
  <rv s="6">
    <fb>45653</fb>
    <v>11</v>
  </rv>
  <rv s="6">
    <fb>643.80999999999995</fb>
    <v>10</v>
  </rv>
  <rv s="6">
    <fb>371.99</fb>
    <v>10</v>
  </rv>
  <rv s="6">
    <fb>207.98</fb>
    <v>10</v>
  </rv>
  <rv s="6">
    <fb>30.68</fb>
    <v>10</v>
  </rv>
  <rv s="6">
    <fb>25.82</fb>
    <v>10</v>
  </rv>
  <rv s="6">
    <fb>599.80999999999995</fb>
    <v>10</v>
  </rv>
  <rv s="6">
    <fb>323.14</fb>
    <v>10</v>
  </rv>
  <rv s="6">
    <fb>222.71</fb>
    <v>10</v>
  </rv>
  <rv s="6">
    <fb>488.97</fb>
    <v>10</v>
  </rv>
  <rv s="6">
    <fb>192.76</fb>
    <v>10</v>
  </rv>
  <rv s="6">
    <fb>430.53</fb>
    <v>10</v>
  </rv>
  <rv s="6">
    <fb>45656</fb>
    <v>11</v>
  </rv>
  <rv s="6">
    <fb>636.82000000000005</fb>
    <v>10</v>
  </rv>
  <rv s="6">
    <fb>368.67</fb>
    <v>10</v>
  </rv>
  <rv s="6">
    <fb>205.08</fb>
    <v>10</v>
  </rv>
  <rv s="6">
    <fb>167.09</fb>
    <v>10</v>
  </rv>
  <rv s="6">
    <fb>30.36</fb>
    <v>10</v>
  </rv>
  <rv s="6">
    <fb>200.39</fb>
    <v>10</v>
  </rv>
  <rv s="6">
    <fb>32.15</fb>
    <v>10</v>
  </rv>
  <rv s="6">
    <fb>591.24</fb>
    <v>10</v>
  </rv>
  <rv s="6">
    <fb>318.98</fb>
    <v>10</v>
  </rv>
  <rv s="6">
    <fb>219.66</fb>
    <v>10</v>
  </rv>
  <rv s="6">
    <fb>483.37</fb>
    <v>10</v>
  </rv>
  <rv s="6">
    <fb>424.83</fb>
    <v>10</v>
  </rv>
  <rv s="6">
    <fb>45657</fb>
    <v>11</v>
  </rv>
  <rv s="7">
    <v>12</v>
    <v>KHC</v>
    <v>Daily</v>
    <v>44927</v>
    <v>45657</v>
    <v>0</v>
    <v>1</v>
    <v>638712000000000000,638938180652212934,0</v>
    <v>0</v>
    <v>a1wi77</v>
    <v>XNAS:KHC</v>
    <v>1</v>
  </rv>
  <rv s="7">
    <v>12</v>
    <v>GOOGL</v>
    <v>Daily</v>
    <v>44927</v>
    <v>45657</v>
    <v>0</v>
    <v>1</v>
    <v>638712000000000000,638938180651859059,0</v>
    <v>0</v>
    <v>a1u3rw</v>
    <v>XNAS:GOOGL</v>
    <v>2</v>
  </rv>
  <rv s="7">
    <v>12</v>
    <v>MSFT</v>
    <v>Daily</v>
    <v>44927</v>
    <v>45657</v>
    <v>0</v>
    <v>1</v>
    <v>638712000000000000,638938180652136927,0</v>
    <v>0</v>
    <v>a1xzim</v>
    <v>XNAS:MSFT</v>
    <v>3</v>
  </rv>
  <rv s="7">
    <v>12</v>
    <v>LMT</v>
    <v>Daily</v>
    <v>44927</v>
    <v>45657</v>
    <v>0</v>
    <v>1</v>
    <v>638712000000000000,638938180651576741,0</v>
    <v>0</v>
    <v>a1wzw7</v>
    <v>XNYS:LMT</v>
    <v>4</v>
  </rv>
  <rv s="7">
    <v>12</v>
    <v>PWR</v>
    <v>Daily</v>
    <v>44927</v>
    <v>45657</v>
    <v>0</v>
    <v>1</v>
    <v>638712000000000000,638938180653135905,0</v>
    <v>0</v>
    <v>a21gh7</v>
    <v>XNYS:PWR</v>
    <v>5</v>
  </rv>
  <rv s="7">
    <v>12</v>
    <v>STZ</v>
    <v>Daily</v>
    <v>44927</v>
    <v>45657</v>
    <v>0</v>
    <v>1</v>
    <v>638712000000000000,638938180653338443,0</v>
    <v>0</v>
    <v>a23rm7</v>
    <v>XNYS:STZ</v>
    <v>6</v>
  </rv>
  <rv s="7">
    <v>12</v>
    <v>PKOH</v>
    <v>Daily</v>
    <v>44927</v>
    <v>45657</v>
    <v>0</v>
    <v>1</v>
    <v>638712000000000000,638938180980838375,0</v>
    <v>0</v>
    <v>a1zxim</v>
    <v>XNAS:PKOH</v>
    <v>7</v>
  </rv>
  <rv s="7">
    <v>12</v>
    <v>KO</v>
    <v>Daily</v>
    <v>44927</v>
    <v>45657</v>
    <v>0</v>
    <v>1</v>
    <v>638712000000000000,638938180651650413,0</v>
    <v>0</v>
    <v>a1wljc</v>
    <v>XNYS:KO</v>
    <v>8</v>
  </rv>
  <rv s="7">
    <v>12</v>
    <v>CSL</v>
    <v>Daily</v>
    <v>44927</v>
    <v>45657</v>
    <v>0</v>
    <v>1</v>
    <v>638712000000000000,638944239449436316,0</v>
    <v>0</v>
    <v>a1qevh</v>
    <v>XNYS:CSL</v>
    <v>9</v>
  </rv>
  <rv s="7">
    <v>12</v>
    <v>PG</v>
    <v>Daily</v>
    <v>44927</v>
    <v>45657</v>
    <v>0</v>
    <v>1</v>
    <v>638712000000000000,638938180652026936,0</v>
    <v>0</v>
    <v>a1zsjc</v>
    <v>XNYS:PG</v>
    <v>10</v>
  </rv>
  <rv s="7">
    <v>12</v>
    <v>CSX</v>
    <v>Daily</v>
    <v>44927</v>
    <v>45657</v>
    <v>0</v>
    <v>1</v>
    <v>638712000000000000,638938180652604656,0</v>
    <v>0</v>
    <v>a1qga2</v>
    <v>XNAS:CSX</v>
    <v>11</v>
  </rv>
  <rv s="7">
    <v>12</v>
    <v>STE</v>
    <v>Daily</v>
    <v>44927</v>
    <v>45657</v>
    <v>0</v>
    <v>1</v>
    <v>638712000000000000,638938180651844999,0</v>
    <v>0</v>
    <v>a23ocw</v>
    <v>XNYS:STE</v>
    <v>12</v>
  </rv>
  <rv s="7">
    <v>12</v>
    <v>TSM</v>
    <v>Daily</v>
    <v>44927</v>
    <v>45657</v>
    <v>0</v>
    <v>1</v>
    <v>638712000000000000,638938180652415504,0</v>
    <v>0</v>
    <v>a24kjc</v>
    <v>XNYS:TSM</v>
    <v>13</v>
  </rv>
  <rv s="7">
    <v>12</v>
    <v>META</v>
    <v>Daily</v>
    <v>44927</v>
    <v>45657</v>
    <v>0</v>
    <v>1</v>
    <v>638712000000000000,638938180652947749,0</v>
    <v>0</v>
    <v>a1slm7</v>
    <v>XNAS:META</v>
    <v>14</v>
  </rv>
  <rv s="7">
    <v>12</v>
    <v>a1ztzr</v>
    <v>Daily</v>
    <v>44927</v>
    <v>45657</v>
    <v>0</v>
    <v>1</v>
    <v>638712000000000000,638948535186797506,0</v>
    <v>0</v>
    <v>a1ztzr</v>
    <v>XNYS:PH</v>
    <v>15</v>
  </rv>
</rvData>
</file>

<file path=xl/richData/rdrichvaluestructure.xml><?xml version="1.0" encoding="utf-8"?>
<rvStructures xmlns="http://schemas.microsoft.com/office/spreadsheetml/2017/richdata" count="8">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2">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13">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 s="0">
      <v>1</v>
      <v>Name</v>
      <v>LearnMoreOnLink</v>
    </spb>
    <spb s="5">
      <v>0</v>
      <v>0</v>
    </spb>
    <spb s="6">
      <v>6</v>
      <v>1</v>
      <v>1</v>
      <v>1</v>
      <v>1</v>
    </spb>
    <spb s="7">
      <v>1</v>
      <v>2</v>
      <v>2</v>
      <v>1</v>
      <v>3</v>
      <v>1</v>
      <v>10</v>
      <v>1</v>
      <v>1</v>
      <v>4</v>
      <v>4</v>
      <v>5</v>
      <v>6</v>
      <v>1</v>
      <v>1</v>
      <v>1</v>
      <v>4</v>
      <v>7</v>
      <v>8</v>
      <v>9</v>
      <v>4</v>
      <v>1</v>
      <v>1</v>
      <v>5</v>
    </spb>
    <spb s="8">
      <v>Powered by Refinitiv</v>
    </spb>
    <spb s="9">
      <v>1</v>
    </spb>
    <spb s="9">
      <v>11</v>
    </spb>
    <spb s="10">
      <v>11</v>
      <v>1</v>
    </spb>
  </spbData>
</supportingPropertyBags>
</file>

<file path=xl/richData/rdsupportingpropertybagstructure.xml><?xml version="1.0" encoding="utf-8"?>
<spbStructures xmlns="http://schemas.microsoft.com/office/spreadsheetml/2017/richdata2" count="1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x:dxf>
      <x:numFmt numFmtId="19" formatCode="m/d/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28530-72CC-4A7C-911C-F9FFA1CDACE2}">
  <sheetPr>
    <tabColor theme="1"/>
  </sheetPr>
  <dimension ref="A1:F19"/>
  <sheetViews>
    <sheetView workbookViewId="0">
      <selection activeCell="C6" sqref="C6"/>
    </sheetView>
  </sheetViews>
  <sheetFormatPr defaultRowHeight="15" x14ac:dyDescent="0.25"/>
  <cols>
    <col min="1" max="1" width="25.42578125" bestFit="1" customWidth="1"/>
    <col min="2" max="5" width="3.140625" customWidth="1"/>
    <col min="6" max="6" width="9.85546875" bestFit="1" customWidth="1"/>
  </cols>
  <sheetData>
    <row r="1" spans="1:6" x14ac:dyDescent="0.25">
      <c r="A1" t="s">
        <v>0</v>
      </c>
    </row>
    <row r="2" spans="1:6" x14ac:dyDescent="0.25">
      <c r="B2" t="s">
        <v>1</v>
      </c>
      <c r="F2" s="1">
        <v>44927</v>
      </c>
    </row>
    <row r="3" spans="1:6" x14ac:dyDescent="0.25">
      <c r="B3" t="s">
        <v>2</v>
      </c>
      <c r="F3" s="1">
        <v>45657</v>
      </c>
    </row>
    <row r="4" spans="1:6" x14ac:dyDescent="0.25">
      <c r="B4" t="s">
        <v>3</v>
      </c>
    </row>
    <row r="5" spans="1:6" x14ac:dyDescent="0.25">
      <c r="C5" t="e" vm="1">
        <v>#VALUE!</v>
      </c>
      <c r="D5" t="str" cm="1">
        <f t="array" aca="1" ref="D5" ca="1">_FV(C5,"Ticker symbol",TRUE)</f>
        <v>PH</v>
      </c>
      <c r="F5" t="str" cm="1">
        <f t="array" aca="1" ref="F5" ca="1">+_FV(C5,"Official name",TRUE)</f>
        <v>PARKER-HANNIFIN CORPORATION</v>
      </c>
    </row>
    <row r="6" spans="1:6" x14ac:dyDescent="0.25">
      <c r="C6" t="e" vm="2">
        <v>#VALUE!</v>
      </c>
      <c r="D6" t="str" cm="1">
        <f t="array" aca="1" ref="D6" ca="1">_FV(C6,"Ticker symbol",TRUE)</f>
        <v>CSL</v>
      </c>
      <c r="F6" t="str" cm="1">
        <f t="array" aca="1" ref="F6" ca="1">+_FV(C6,"Official name",TRUE)</f>
        <v>CARLISLE COMPANIES INCORPORATED</v>
      </c>
    </row>
    <row r="7" spans="1:6" x14ac:dyDescent="0.25">
      <c r="C7" t="e" vm="3">
        <v>#VALUE!</v>
      </c>
      <c r="D7" t="str" cm="1">
        <f t="array" aca="1" ref="D7" ca="1">_FV(C7,"Ticker symbol",TRUE)</f>
        <v>KO</v>
      </c>
      <c r="F7" t="str" cm="1">
        <f t="array" aca="1" ref="F7" ca="1">+_FV(C7,"Official name",TRUE)</f>
        <v>THE COCA-COLA COMPANY</v>
      </c>
    </row>
    <row r="8" spans="1:6" x14ac:dyDescent="0.25">
      <c r="C8" t="e" vm="4">
        <v>#VALUE!</v>
      </c>
      <c r="D8" t="str" cm="1">
        <f t="array" aca="1" ref="D8" ca="1">_FV(C8,"Ticker symbol",TRUE)</f>
        <v>STE</v>
      </c>
      <c r="F8" t="str" cm="1">
        <f t="array" aca="1" ref="F8" ca="1">+_FV(C8,"Official name",TRUE)</f>
        <v>STERIS PUBLIC LIMITED COMPANY</v>
      </c>
    </row>
    <row r="9" spans="1:6" x14ac:dyDescent="0.25">
      <c r="C9" t="e" vm="5">
        <v>#VALUE!</v>
      </c>
      <c r="D9" t="str" cm="1">
        <f t="array" aca="1" ref="D9" ca="1">_FV(C9,"Ticker symbol",TRUE)</f>
        <v>PG</v>
      </c>
      <c r="F9" t="str" cm="1">
        <f t="array" aca="1" ref="F9" ca="1">+_FV(C9,"Official name",TRUE)</f>
        <v>THE PROCTER &amp; GAMBLE COMPANY</v>
      </c>
    </row>
    <row r="10" spans="1:6" x14ac:dyDescent="0.25">
      <c r="C10" t="e" vm="6">
        <v>#VALUE!</v>
      </c>
      <c r="D10" t="str" cm="1">
        <f t="array" aca="1" ref="D10" ca="1">_FV(C10,"Ticker symbol",TRUE)</f>
        <v>KHC</v>
      </c>
      <c r="F10" t="str" cm="1">
        <f t="array" aca="1" ref="F10" ca="1">+_FV(C10,"Official name",TRUE)</f>
        <v>THE KRAFT HEINZ COMPANY</v>
      </c>
    </row>
    <row r="11" spans="1:6" x14ac:dyDescent="0.25">
      <c r="C11" t="e" vm="7">
        <v>#VALUE!</v>
      </c>
      <c r="D11" t="str" cm="1">
        <f t="array" aca="1" ref="D11" ca="1">_FV(C11,"Ticker symbol",TRUE)</f>
        <v>TSM</v>
      </c>
      <c r="F11" t="str" cm="1">
        <f t="array" aca="1" ref="F11" ca="1">+_FV(C11,"Official name",TRUE)</f>
        <v>Taiwan Semiconductor Manufacturing Co., Ltd.</v>
      </c>
    </row>
    <row r="12" spans="1:6" x14ac:dyDescent="0.25">
      <c r="C12" t="e" vm="8">
        <v>#VALUE!</v>
      </c>
      <c r="D12" t="str" cm="1">
        <f t="array" aca="1" ref="D12" ca="1">_FV(C12,"Ticker symbol",TRUE)</f>
        <v>CSX</v>
      </c>
      <c r="F12" t="str" cm="1">
        <f t="array" aca="1" ref="F12" ca="1">+_FV(C12,"Official name",TRUE)</f>
        <v>CSX Corporation</v>
      </c>
    </row>
    <row r="13" spans="1:6" x14ac:dyDescent="0.25">
      <c r="C13" t="e" vm="9">
        <v>#VALUE!</v>
      </c>
      <c r="D13" t="str" cm="1">
        <f t="array" aca="1" ref="D13" ca="1">_FV(C13,"Ticker symbol",TRUE)</f>
        <v>PKOH</v>
      </c>
      <c r="F13" t="str" cm="1">
        <f t="array" aca="1" ref="F13" ca="1">+_FV(C13,"Official name",TRUE)</f>
        <v>PARK-OHIO HOLDINGS CORP.</v>
      </c>
    </row>
    <row r="14" spans="1:6" x14ac:dyDescent="0.25">
      <c r="C14" t="e" vm="10">
        <v>#VALUE!</v>
      </c>
      <c r="D14" t="str" cm="1">
        <f t="array" aca="1" ref="D14" ca="1">_FV(C14,"Ticker symbol",TRUE)</f>
        <v>META</v>
      </c>
      <c r="F14" t="str" cm="1">
        <f t="array" aca="1" ref="F14" ca="1">+_FV(C14,"Official name",TRUE)</f>
        <v>Meta Platforms, Inc.</v>
      </c>
    </row>
    <row r="15" spans="1:6" x14ac:dyDescent="0.25">
      <c r="C15" t="e" vm="11">
        <v>#VALUE!</v>
      </c>
      <c r="D15" t="str" cm="1">
        <f t="array" aca="1" ref="D15" ca="1">_FV(C15,"Ticker symbol",TRUE)</f>
        <v>PWR</v>
      </c>
      <c r="F15" t="str" cm="1">
        <f t="array" aca="1" ref="F15" ca="1">+_FV(C15,"Official name",TRUE)</f>
        <v>QUANTA SERVICES, INC.</v>
      </c>
    </row>
    <row r="16" spans="1:6" x14ac:dyDescent="0.25">
      <c r="C16" t="e" vm="12">
        <v>#VALUE!</v>
      </c>
      <c r="D16" t="str" cm="1">
        <f t="array" aca="1" ref="D16" ca="1">_FV(C16,"Ticker symbol",TRUE)</f>
        <v>STZ</v>
      </c>
      <c r="F16" t="str" cm="1">
        <f t="array" aca="1" ref="F16" ca="1">+_FV(C16,"Official name",TRUE)</f>
        <v>CONSTELLATION BRANDS, INC.</v>
      </c>
    </row>
    <row r="17" spans="3:6" x14ac:dyDescent="0.25">
      <c r="C17" t="e" vm="13">
        <v>#VALUE!</v>
      </c>
      <c r="D17" t="str" cm="1">
        <f t="array" aca="1" ref="D17" ca="1">_FV(C17,"Ticker symbol",TRUE)</f>
        <v>LMT</v>
      </c>
      <c r="F17" t="str" cm="1">
        <f t="array" aca="1" ref="F17" ca="1">+_FV(C17,"Official name",TRUE)</f>
        <v>LOCKHEED MARTIN CORPORATION</v>
      </c>
    </row>
    <row r="18" spans="3:6" x14ac:dyDescent="0.25">
      <c r="C18" t="e" vm="14">
        <v>#VALUE!</v>
      </c>
      <c r="D18" t="str" cm="1">
        <f t="array" aca="1" ref="D18" ca="1">_FV(C18,"Ticker symbol",TRUE)</f>
        <v>GOOGL</v>
      </c>
      <c r="F18" t="str" cm="1">
        <f t="array" aca="1" ref="F18" ca="1">+_FV(C18,"Official name",TRUE)</f>
        <v>ALPHABET INC.</v>
      </c>
    </row>
    <row r="19" spans="3:6" x14ac:dyDescent="0.25">
      <c r="C19" t="e" vm="15">
        <v>#VALUE!</v>
      </c>
      <c r="D19" t="str" cm="1">
        <f t="array" aca="1" ref="D19" ca="1">_FV(C19,"Ticker symbol",TRUE)</f>
        <v>MSFT</v>
      </c>
      <c r="F19" t="str" cm="1">
        <f t="array" aca="1" ref="F19" ca="1">+_FV(C19,"Official name",TRUE)</f>
        <v>MICROSOFT CORPORATION</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76482-FA01-42AA-A71F-DFFC510579FD}">
  <dimension ref="A1:AH505"/>
  <sheetViews>
    <sheetView showGridLines="0" zoomScale="60" zoomScaleNormal="60" workbookViewId="0">
      <selection activeCell="K49" sqref="K49"/>
    </sheetView>
  </sheetViews>
  <sheetFormatPr defaultRowHeight="15" x14ac:dyDescent="0.25"/>
  <cols>
    <col min="1" max="5" width="3.140625" customWidth="1"/>
    <col min="6" max="6" width="39.5703125" bestFit="1" customWidth="1"/>
  </cols>
  <sheetData>
    <row r="1" spans="1:26" ht="24.75" thickBot="1" x14ac:dyDescent="0.45">
      <c r="A1" s="5" t="s">
        <v>8</v>
      </c>
    </row>
    <row r="2" spans="1:26" ht="24.75" thickBot="1" x14ac:dyDescent="0.45">
      <c r="A2" s="5"/>
      <c r="B2" s="7" t="s">
        <v>15</v>
      </c>
      <c r="K2" s="17" t="s">
        <v>16</v>
      </c>
      <c r="L2" s="18"/>
      <c r="M2" s="19"/>
    </row>
    <row r="3" spans="1:26" ht="15.75" thickTop="1" x14ac:dyDescent="0.25">
      <c r="B3" t="s">
        <v>9</v>
      </c>
      <c r="G3" s="2" t="s">
        <v>10</v>
      </c>
      <c r="H3" s="2" t="s">
        <v>11</v>
      </c>
      <c r="I3" s="2" t="s">
        <v>7</v>
      </c>
      <c r="K3" s="8"/>
      <c r="L3" s="9" t="str" cm="1">
        <f t="array" aca="1" ref="L3:Z3" ca="1">TRANSPOSE(stock.tickers)</f>
        <v>PH</v>
      </c>
      <c r="M3" s="9" t="str">
        <f ca="1"/>
        <v>CSL</v>
      </c>
      <c r="N3" s="9" t="str">
        <f ca="1"/>
        <v>KO</v>
      </c>
      <c r="O3" s="9" t="str">
        <f ca="1"/>
        <v>STE</v>
      </c>
      <c r="P3" s="9" t="str">
        <f ca="1"/>
        <v>PG</v>
      </c>
      <c r="Q3" s="9" t="str">
        <f ca="1"/>
        <v>KHC</v>
      </c>
      <c r="R3" s="9" t="str">
        <f ca="1"/>
        <v>TSM</v>
      </c>
      <c r="S3" s="9" t="str">
        <f ca="1"/>
        <v>CSX</v>
      </c>
      <c r="T3" s="9" t="str">
        <f ca="1"/>
        <v>PKOH</v>
      </c>
      <c r="U3" s="9" t="str">
        <f ca="1"/>
        <v>META</v>
      </c>
      <c r="V3" s="9" t="str">
        <f ca="1"/>
        <v>PWR</v>
      </c>
      <c r="W3" s="9" t="str">
        <f ca="1"/>
        <v>STZ</v>
      </c>
      <c r="X3" s="9" t="str">
        <f ca="1"/>
        <v>LMT</v>
      </c>
      <c r="Y3" s="9" t="str">
        <f ca="1"/>
        <v>GOOGL</v>
      </c>
      <c r="Z3" s="10" t="str">
        <f ca="1"/>
        <v>MSFT</v>
      </c>
    </row>
    <row r="4" spans="1:26" x14ac:dyDescent="0.25">
      <c r="C4" t="str" cm="1">
        <f t="array" aca="1" ref="C4:C18" ca="1">stock.tickers</f>
        <v>PH</v>
      </c>
      <c r="F4" t="str" cm="1">
        <f t="array" aca="1" ref="F4:F18" ca="1">stock.names</f>
        <v>PARKER-HANNIFIN CORPORATION</v>
      </c>
      <c r="G4" s="4">
        <v>0.2</v>
      </c>
      <c r="H4" s="4" cm="1">
        <f t="array" aca="1" ref="H4:H18" ca="1">TRANSPOSE(stock.return)</f>
        <v>0.50188731146161447</v>
      </c>
      <c r="I4" s="4" cm="1">
        <f t="array" aca="1" ref="I4:I18" ca="1">TRANSPOSE(stock.risk)*SQRT(255)</f>
        <v>0.26754318120024034</v>
      </c>
      <c r="K4" s="11" t="str" cm="1">
        <f t="array" aca="1" ref="K4:K18" ca="1">stock.tickers</f>
        <v>PH</v>
      </c>
      <c r="L4" s="12">
        <f t="shared" ref="L4:Z18" ca="1" si="0">CORREL(_xlfn.XLOOKUP(L$3,delta.tickers,table.deltas),_xlfn.XLOOKUP($K4,delta.tickers,table.deltas))</f>
        <v>1</v>
      </c>
      <c r="M4" s="12">
        <f t="shared" ca="1" si="0"/>
        <v>0.56290221224204018</v>
      </c>
      <c r="N4" s="12">
        <f t="shared" ca="1" si="0"/>
        <v>8.0092361616872026E-2</v>
      </c>
      <c r="O4" s="12">
        <f t="shared" ca="1" si="0"/>
        <v>0.24420772134969401</v>
      </c>
      <c r="P4" s="12">
        <f t="shared" ca="1" si="0"/>
        <v>-2.4093629163001462E-4</v>
      </c>
      <c r="Q4" s="12">
        <f t="shared" ca="1" si="0"/>
        <v>9.1686570092308725E-2</v>
      </c>
      <c r="R4" s="12">
        <f t="shared" ca="1" si="0"/>
        <v>0.35709637833944674</v>
      </c>
      <c r="S4" s="12">
        <f t="shared" ca="1" si="0"/>
        <v>0.51295368021881405</v>
      </c>
      <c r="T4" s="12">
        <f t="shared" ca="1" si="0"/>
        <v>0.44326606278147074</v>
      </c>
      <c r="U4" s="12">
        <f t="shared" ca="1" si="0"/>
        <v>0.25861928702744658</v>
      </c>
      <c r="V4" s="12">
        <f t="shared" ca="1" si="0"/>
        <v>0.56360451679240686</v>
      </c>
      <c r="W4" s="12">
        <f t="shared" ca="1" si="0"/>
        <v>0.19383242927935773</v>
      </c>
      <c r="X4" s="12">
        <f t="shared" ca="1" si="0"/>
        <v>0.13547306732149381</v>
      </c>
      <c r="Y4" s="12">
        <f t="shared" ca="1" si="0"/>
        <v>0.18447595687995286</v>
      </c>
      <c r="Z4" s="13">
        <f t="shared" ca="1" si="0"/>
        <v>0.21897992118969861</v>
      </c>
    </row>
    <row r="5" spans="1:26" x14ac:dyDescent="0.25">
      <c r="C5" t="str">
        <f ca="1"/>
        <v>CSL</v>
      </c>
      <c r="F5" t="str">
        <f ca="1"/>
        <v>CARLISLE COMPANIES INCORPORATED</v>
      </c>
      <c r="G5" s="4">
        <v>0.2</v>
      </c>
      <c r="H5" s="4">
        <f ca="1"/>
        <v>0.24426150888183029</v>
      </c>
      <c r="I5" s="4">
        <f ca="1"/>
        <v>0.28247166058490836</v>
      </c>
      <c r="K5" s="11" t="str">
        <f ca="1"/>
        <v>CSL</v>
      </c>
      <c r="L5" s="12">
        <f t="shared" ca="1" si="0"/>
        <v>0.56290221224204018</v>
      </c>
      <c r="M5" s="12">
        <f t="shared" ca="1" si="0"/>
        <v>1.0000000000000002</v>
      </c>
      <c r="N5" s="12">
        <f t="shared" ca="1" si="0"/>
        <v>0.10255855202107289</v>
      </c>
      <c r="O5" s="12">
        <f t="shared" ca="1" si="0"/>
        <v>0.29047588716663181</v>
      </c>
      <c r="P5" s="12">
        <f t="shared" ca="1" si="0"/>
        <v>5.1613968510644599E-2</v>
      </c>
      <c r="Q5" s="12">
        <f t="shared" ca="1" si="0"/>
        <v>0.13598220627079854</v>
      </c>
      <c r="R5" s="12">
        <f t="shared" ca="1" si="0"/>
        <v>0.29777738796702591</v>
      </c>
      <c r="S5" s="12">
        <f t="shared" ca="1" si="0"/>
        <v>0.35995511889662174</v>
      </c>
      <c r="T5" s="12">
        <f t="shared" ca="1" si="0"/>
        <v>0.2418451938107786</v>
      </c>
      <c r="U5" s="12">
        <f t="shared" ca="1" si="0"/>
        <v>0.23273475610973046</v>
      </c>
      <c r="V5" s="12">
        <f t="shared" ca="1" si="0"/>
        <v>0.45670011153147472</v>
      </c>
      <c r="W5" s="12">
        <f t="shared" ca="1" si="0"/>
        <v>0.26741376110241821</v>
      </c>
      <c r="X5" s="12">
        <f t="shared" ca="1" si="0"/>
        <v>9.6010830197852337E-2</v>
      </c>
      <c r="Y5" s="12">
        <f t="shared" ca="1" si="0"/>
        <v>0.20457390799635955</v>
      </c>
      <c r="Z5" s="13">
        <f t="shared" ca="1" si="0"/>
        <v>0.23344418950233425</v>
      </c>
    </row>
    <row r="6" spans="1:26" x14ac:dyDescent="0.25">
      <c r="C6" t="str">
        <f ca="1"/>
        <v>KO</v>
      </c>
      <c r="F6" t="str">
        <f ca="1"/>
        <v>THE COCA-COLA COMPANY</v>
      </c>
      <c r="G6" s="4">
        <v>0.02</v>
      </c>
      <c r="H6" s="4">
        <f ca="1"/>
        <v>3.6788763069179442E-2</v>
      </c>
      <c r="I6" s="4">
        <f ca="1"/>
        <v>0.131433857225665</v>
      </c>
      <c r="K6" s="11" t="str">
        <f ca="1"/>
        <v>KO</v>
      </c>
      <c r="L6" s="12">
        <f t="shared" ca="1" si="0"/>
        <v>8.0092361616872026E-2</v>
      </c>
      <c r="M6" s="12">
        <f t="shared" ca="1" si="0"/>
        <v>0.10255855202107289</v>
      </c>
      <c r="N6" s="12">
        <f t="shared" ca="1" si="0"/>
        <v>0.99999999999999978</v>
      </c>
      <c r="O6" s="12">
        <f t="shared" ca="1" si="0"/>
        <v>0.22948076939890255</v>
      </c>
      <c r="P6" s="12">
        <f t="shared" ca="1" si="0"/>
        <v>0.52798353459552605</v>
      </c>
      <c r="Q6" s="12">
        <f t="shared" ca="1" si="0"/>
        <v>0.48495053769327851</v>
      </c>
      <c r="R6" s="12">
        <f t="shared" ca="1" si="0"/>
        <v>-0.13756504759829796</v>
      </c>
      <c r="S6" s="12">
        <f t="shared" ca="1" si="0"/>
        <v>0.24315906763380718</v>
      </c>
      <c r="T6" s="12">
        <f t="shared" ca="1" si="0"/>
        <v>7.075455821375122E-2</v>
      </c>
      <c r="U6" s="12">
        <f t="shared" ca="1" si="0"/>
        <v>-2.2665033120485917E-2</v>
      </c>
      <c r="V6" s="12">
        <f t="shared" ca="1" si="0"/>
        <v>8.4469901118672794E-2</v>
      </c>
      <c r="W6" s="12">
        <f t="shared" ca="1" si="0"/>
        <v>0.41201017325785072</v>
      </c>
      <c r="X6" s="12">
        <f t="shared" ca="1" si="0"/>
        <v>0.27895692792062343</v>
      </c>
      <c r="Y6" s="12">
        <f t="shared" ca="1" si="0"/>
        <v>3.0630354693847048E-2</v>
      </c>
      <c r="Z6" s="13">
        <f t="shared" ca="1" si="0"/>
        <v>8.0211215172615355E-2</v>
      </c>
    </row>
    <row r="7" spans="1:26" x14ac:dyDescent="0.25">
      <c r="C7" t="str">
        <f ca="1"/>
        <v>STE</v>
      </c>
      <c r="F7" t="str">
        <f ca="1"/>
        <v>STERIS PUBLIC LIMITED COMPANY</v>
      </c>
      <c r="G7" s="4">
        <v>0.02</v>
      </c>
      <c r="H7" s="4">
        <f ca="1"/>
        <v>6.6631152091231494E-2</v>
      </c>
      <c r="I7" s="4">
        <f ca="1"/>
        <v>0.24059712788668647</v>
      </c>
      <c r="K7" s="11" t="str">
        <f ca="1"/>
        <v>STE</v>
      </c>
      <c r="L7" s="12">
        <f t="shared" ca="1" si="0"/>
        <v>0.24420772134969401</v>
      </c>
      <c r="M7" s="12">
        <f t="shared" ca="1" si="0"/>
        <v>0.29047588716663181</v>
      </c>
      <c r="N7" s="12">
        <f t="shared" ca="1" si="0"/>
        <v>0.22948076939890255</v>
      </c>
      <c r="O7" s="12">
        <f t="shared" ca="1" si="0"/>
        <v>1</v>
      </c>
      <c r="P7" s="12">
        <f t="shared" ca="1" si="0"/>
        <v>0.23120708290453754</v>
      </c>
      <c r="Q7" s="12">
        <f t="shared" ca="1" si="0"/>
        <v>0.16989875755524414</v>
      </c>
      <c r="R7" s="12">
        <f t="shared" ca="1" si="0"/>
        <v>5.8132922699992755E-2</v>
      </c>
      <c r="S7" s="12">
        <f t="shared" ca="1" si="0"/>
        <v>0.34836703080676212</v>
      </c>
      <c r="T7" s="12">
        <f t="shared" ca="1" si="0"/>
        <v>0.18087029150178291</v>
      </c>
      <c r="U7" s="12">
        <f t="shared" ca="1" si="0"/>
        <v>0.22599375354640563</v>
      </c>
      <c r="V7" s="12">
        <f t="shared" ca="1" si="0"/>
        <v>0.18222481508379965</v>
      </c>
      <c r="W7" s="12">
        <f t="shared" ca="1" si="0"/>
        <v>0.26399251109701449</v>
      </c>
      <c r="X7" s="12">
        <f t="shared" ca="1" si="0"/>
        <v>0.10582967119991743</v>
      </c>
      <c r="Y7" s="12">
        <f t="shared" ca="1" si="0"/>
        <v>0.22338581819874548</v>
      </c>
      <c r="Z7" s="13">
        <f t="shared" ca="1" si="0"/>
        <v>0.1965000428562157</v>
      </c>
    </row>
    <row r="8" spans="1:26" x14ac:dyDescent="0.25">
      <c r="C8" t="str">
        <f ca="1"/>
        <v>PG</v>
      </c>
      <c r="F8" t="str">
        <f ca="1"/>
        <v>THE PROCTER &amp; GAMBLE COMPANY</v>
      </c>
      <c r="G8" s="4">
        <v>0.02</v>
      </c>
      <c r="H8" s="4">
        <f ca="1"/>
        <v>8.8487782986215846E-2</v>
      </c>
      <c r="I8" s="4">
        <f ca="1"/>
        <v>0.15112788321947843</v>
      </c>
      <c r="K8" s="11" t="str">
        <f ca="1"/>
        <v>PG</v>
      </c>
      <c r="L8" s="12">
        <f t="shared" ca="1" si="0"/>
        <v>-2.4093629163001462E-4</v>
      </c>
      <c r="M8" s="12">
        <f t="shared" ca="1" si="0"/>
        <v>5.1613968510644599E-2</v>
      </c>
      <c r="N8" s="12">
        <f t="shared" ca="1" si="0"/>
        <v>0.52798353459552605</v>
      </c>
      <c r="O8" s="12">
        <f t="shared" ca="1" si="0"/>
        <v>0.23120708290453754</v>
      </c>
      <c r="P8" s="12">
        <f t="shared" ca="1" si="0"/>
        <v>1</v>
      </c>
      <c r="Q8" s="12">
        <f t="shared" ca="1" si="0"/>
        <v>0.33222754426259443</v>
      </c>
      <c r="R8" s="12">
        <f t="shared" ca="1" si="0"/>
        <v>-0.11271874928248081</v>
      </c>
      <c r="S8" s="12">
        <f t="shared" ca="1" si="0"/>
        <v>0.17824579762963794</v>
      </c>
      <c r="T8" s="12">
        <f t="shared" ca="1" si="0"/>
        <v>2.5162436350211919E-3</v>
      </c>
      <c r="U8" s="12">
        <f t="shared" ca="1" si="0"/>
        <v>2.6159361198244205E-2</v>
      </c>
      <c r="V8" s="12">
        <f t="shared" ca="1" si="0"/>
        <v>2.0259498848636599E-2</v>
      </c>
      <c r="W8" s="12">
        <f t="shared" ca="1" si="0"/>
        <v>0.30406039484488578</v>
      </c>
      <c r="X8" s="12">
        <f t="shared" ca="1" si="0"/>
        <v>0.16151236702194985</v>
      </c>
      <c r="Y8" s="12">
        <f t="shared" ca="1" si="0"/>
        <v>3.292175567675588E-3</v>
      </c>
      <c r="Z8" s="13">
        <f t="shared" ca="1" si="0"/>
        <v>9.2933861184368444E-2</v>
      </c>
    </row>
    <row r="9" spans="1:26" x14ac:dyDescent="0.25">
      <c r="C9" t="str">
        <f ca="1"/>
        <v>KHC</v>
      </c>
      <c r="F9" t="str">
        <f ca="1"/>
        <v>THE KRAFT HEINZ COMPANY</v>
      </c>
      <c r="G9" s="4">
        <v>0.02</v>
      </c>
      <c r="H9" s="4">
        <f ca="1"/>
        <v>-7.2257429010123553E-2</v>
      </c>
      <c r="I9" s="4">
        <f ca="1"/>
        <v>0.18720293326591764</v>
      </c>
      <c r="K9" s="11" t="str">
        <f ca="1"/>
        <v>KHC</v>
      </c>
      <c r="L9" s="12">
        <f t="shared" ca="1" si="0"/>
        <v>9.1686570092308725E-2</v>
      </c>
      <c r="M9" s="12">
        <f t="shared" ca="1" si="0"/>
        <v>0.13598220627079854</v>
      </c>
      <c r="N9" s="12">
        <f t="shared" ca="1" si="0"/>
        <v>0.48495053769327851</v>
      </c>
      <c r="O9" s="12">
        <f t="shared" ca="1" si="0"/>
        <v>0.16989875755524414</v>
      </c>
      <c r="P9" s="12">
        <f t="shared" ca="1" si="0"/>
        <v>0.33222754426259443</v>
      </c>
      <c r="Q9" s="12">
        <f t="shared" ca="1" si="0"/>
        <v>1.0000000000000002</v>
      </c>
      <c r="R9" s="12">
        <f t="shared" ca="1" si="0"/>
        <v>-0.10082163093741835</v>
      </c>
      <c r="S9" s="12">
        <f t="shared" ca="1" si="0"/>
        <v>0.22988874189904693</v>
      </c>
      <c r="T9" s="12">
        <f t="shared" ca="1" si="0"/>
        <v>0.14308013155626456</v>
      </c>
      <c r="U9" s="12">
        <f t="shared" ca="1" si="0"/>
        <v>-4.7346128359668234E-2</v>
      </c>
      <c r="V9" s="12">
        <f t="shared" ca="1" si="0"/>
        <v>4.2200276549794996E-2</v>
      </c>
      <c r="W9" s="12">
        <f t="shared" ca="1" si="0"/>
        <v>0.30516004679295422</v>
      </c>
      <c r="X9" s="12">
        <f t="shared" ca="1" si="0"/>
        <v>0.24396713198380685</v>
      </c>
      <c r="Y9" s="12">
        <f t="shared" ca="1" si="0"/>
        <v>-3.3381632634587891E-2</v>
      </c>
      <c r="Z9" s="13">
        <f t="shared" ca="1" si="0"/>
        <v>-1.9727720223615238E-2</v>
      </c>
    </row>
    <row r="10" spans="1:26" x14ac:dyDescent="0.25">
      <c r="C10" t="str">
        <f ca="1"/>
        <v>TSM</v>
      </c>
      <c r="F10" t="str">
        <f ca="1"/>
        <v>Taiwan Semiconductor Manufacturing Co., Ltd.</v>
      </c>
      <c r="G10" s="4">
        <v>0.2</v>
      </c>
      <c r="H10" s="4">
        <f ca="1"/>
        <v>0.66697619188579194</v>
      </c>
      <c r="I10" s="4">
        <f ca="1"/>
        <v>0.36127889449779532</v>
      </c>
      <c r="K10" s="11" t="str">
        <f ca="1"/>
        <v>TSM</v>
      </c>
      <c r="L10" s="12">
        <f t="shared" ca="1" si="0"/>
        <v>0.35709637833944674</v>
      </c>
      <c r="M10" s="12">
        <f t="shared" ca="1" si="0"/>
        <v>0.29777738796702591</v>
      </c>
      <c r="N10" s="12">
        <f t="shared" ca="1" si="0"/>
        <v>-0.13756504759829796</v>
      </c>
      <c r="O10" s="12">
        <f t="shared" ca="1" si="0"/>
        <v>5.8132922699992755E-2</v>
      </c>
      <c r="P10" s="12">
        <f t="shared" ca="1" si="0"/>
        <v>-0.11271874928248081</v>
      </c>
      <c r="Q10" s="12">
        <f t="shared" ca="1" si="0"/>
        <v>-0.10082163093741835</v>
      </c>
      <c r="R10" s="12">
        <f t="shared" ca="1" si="0"/>
        <v>1.0000000000000002</v>
      </c>
      <c r="S10" s="12">
        <f t="shared" ca="1" si="0"/>
        <v>9.2322847232749597E-2</v>
      </c>
      <c r="T10" s="12">
        <f t="shared" ca="1" si="0"/>
        <v>8.8191688019512549E-2</v>
      </c>
      <c r="U10" s="12">
        <f t="shared" ca="1" si="0"/>
        <v>0.37038205211295289</v>
      </c>
      <c r="V10" s="12">
        <f t="shared" ca="1" si="0"/>
        <v>0.44077234934195181</v>
      </c>
      <c r="W10" s="12">
        <f t="shared" ca="1" si="0"/>
        <v>4.8475830039762566E-2</v>
      </c>
      <c r="X10" s="12">
        <f t="shared" ca="1" si="0"/>
        <v>-6.0072226600482587E-2</v>
      </c>
      <c r="Y10" s="12">
        <f t="shared" ca="1" si="0"/>
        <v>0.28714662798901691</v>
      </c>
      <c r="Z10" s="13">
        <f t="shared" ca="1" si="0"/>
        <v>0.41250428404485673</v>
      </c>
    </row>
    <row r="11" spans="1:26" x14ac:dyDescent="0.25">
      <c r="C11" t="str">
        <f ca="1"/>
        <v>CSX</v>
      </c>
      <c r="F11" t="str">
        <f ca="1"/>
        <v>CSX Corporation</v>
      </c>
      <c r="G11" s="4">
        <v>0.02</v>
      </c>
      <c r="H11" s="4">
        <f ca="1"/>
        <v>4.2895298341592669E-2</v>
      </c>
      <c r="I11" s="4">
        <f ca="1"/>
        <v>0.21147660912427138</v>
      </c>
      <c r="K11" s="11" t="str">
        <f ca="1"/>
        <v>CSX</v>
      </c>
      <c r="L11" s="12">
        <f t="shared" ca="1" si="0"/>
        <v>0.51295368021881405</v>
      </c>
      <c r="M11" s="12">
        <f t="shared" ca="1" si="0"/>
        <v>0.35995511889662174</v>
      </c>
      <c r="N11" s="12">
        <f t="shared" ca="1" si="0"/>
        <v>0.24315906763380718</v>
      </c>
      <c r="O11" s="12">
        <f t="shared" ca="1" si="0"/>
        <v>0.34836703080676212</v>
      </c>
      <c r="P11" s="12">
        <f t="shared" ca="1" si="0"/>
        <v>0.17824579762963794</v>
      </c>
      <c r="Q11" s="12">
        <f t="shared" ca="1" si="0"/>
        <v>0.22988874189904693</v>
      </c>
      <c r="R11" s="12">
        <f t="shared" ca="1" si="0"/>
        <v>9.2322847232749597E-2</v>
      </c>
      <c r="S11" s="12">
        <f t="shared" ca="1" si="0"/>
        <v>1.0000000000000002</v>
      </c>
      <c r="T11" s="12">
        <f t="shared" ca="1" si="0"/>
        <v>0.3631746324529086</v>
      </c>
      <c r="U11" s="12">
        <f t="shared" ca="1" si="0"/>
        <v>0.18618314053535473</v>
      </c>
      <c r="V11" s="12">
        <f t="shared" ca="1" si="0"/>
        <v>0.25680714897371854</v>
      </c>
      <c r="W11" s="12">
        <f t="shared" ca="1" si="0"/>
        <v>0.24153457683011567</v>
      </c>
      <c r="X11" s="12">
        <f t="shared" ca="1" si="0"/>
        <v>0.14664738479258402</v>
      </c>
      <c r="Y11" s="12">
        <f t="shared" ca="1" si="0"/>
        <v>0.1795075854514909</v>
      </c>
      <c r="Z11" s="13">
        <f t="shared" ca="1" si="0"/>
        <v>0.18729409297034808</v>
      </c>
    </row>
    <row r="12" spans="1:26" x14ac:dyDescent="0.25">
      <c r="C12" t="str">
        <f ca="1"/>
        <v>PKOH</v>
      </c>
      <c r="F12" t="str">
        <f ca="1"/>
        <v>PARK-OHIO HOLDINGS CORP.</v>
      </c>
      <c r="G12" s="4">
        <v>0.02</v>
      </c>
      <c r="H12" s="4">
        <f ca="1"/>
        <v>0.47773725613562257</v>
      </c>
      <c r="I12" s="4">
        <f ca="1"/>
        <v>0.45678687640772386</v>
      </c>
      <c r="K12" s="11" t="str">
        <f ca="1"/>
        <v>PKOH</v>
      </c>
      <c r="L12" s="12">
        <f t="shared" ca="1" si="0"/>
        <v>0.44326606278147074</v>
      </c>
      <c r="M12" s="12">
        <f t="shared" ca="1" si="0"/>
        <v>0.2418451938107786</v>
      </c>
      <c r="N12" s="12">
        <f t="shared" ca="1" si="0"/>
        <v>7.075455821375122E-2</v>
      </c>
      <c r="O12" s="12">
        <f t="shared" ca="1" si="0"/>
        <v>0.18087029150178291</v>
      </c>
      <c r="P12" s="12">
        <f t="shared" ca="1" si="0"/>
        <v>2.5162436350211919E-3</v>
      </c>
      <c r="Q12" s="12">
        <f t="shared" ca="1" si="0"/>
        <v>0.14308013155626456</v>
      </c>
      <c r="R12" s="12">
        <f t="shared" ca="1" si="0"/>
        <v>8.8191688019512549E-2</v>
      </c>
      <c r="S12" s="12">
        <f t="shared" ca="1" si="0"/>
        <v>0.3631746324529086</v>
      </c>
      <c r="T12" s="12">
        <f t="shared" ca="1" si="0"/>
        <v>1.0000000000000002</v>
      </c>
      <c r="U12" s="12">
        <f t="shared" ca="1" si="0"/>
        <v>9.8598079452665507E-2</v>
      </c>
      <c r="V12" s="12">
        <f t="shared" ca="1" si="0"/>
        <v>0.28914912427245526</v>
      </c>
      <c r="W12" s="12">
        <f t="shared" ca="1" si="0"/>
        <v>0.10870112246662057</v>
      </c>
      <c r="X12" s="12">
        <f t="shared" ca="1" si="0"/>
        <v>9.9330471281877872E-2</v>
      </c>
      <c r="Y12" s="12">
        <f t="shared" ca="1" si="0"/>
        <v>0.10226461721284583</v>
      </c>
      <c r="Z12" s="13">
        <f t="shared" ca="1" si="0"/>
        <v>0.11312600772806607</v>
      </c>
    </row>
    <row r="13" spans="1:26" x14ac:dyDescent="0.25">
      <c r="C13" t="str">
        <f ca="1"/>
        <v>META</v>
      </c>
      <c r="F13" t="str">
        <f ca="1"/>
        <v>Meta Platforms, Inc.</v>
      </c>
      <c r="G13" s="4">
        <v>0.14026851205978846</v>
      </c>
      <c r="H13" s="4">
        <f ca="1"/>
        <v>1.166527912084955</v>
      </c>
      <c r="I13" s="4">
        <f ca="1"/>
        <v>0.38391492393089172</v>
      </c>
      <c r="K13" s="11" t="str">
        <f ca="1"/>
        <v>META</v>
      </c>
      <c r="L13" s="12">
        <f t="shared" ca="1" si="0"/>
        <v>0.25861928702744658</v>
      </c>
      <c r="M13" s="12">
        <f t="shared" ca="1" si="0"/>
        <v>0.23273475610973046</v>
      </c>
      <c r="N13" s="12">
        <f t="shared" ca="1" si="0"/>
        <v>-2.2665033120485917E-2</v>
      </c>
      <c r="O13" s="12">
        <f t="shared" ca="1" si="0"/>
        <v>0.22599375354640563</v>
      </c>
      <c r="P13" s="12">
        <f t="shared" ca="1" si="0"/>
        <v>2.6159361198244205E-2</v>
      </c>
      <c r="Q13" s="12">
        <f t="shared" ca="1" si="0"/>
        <v>-4.7346128359668234E-2</v>
      </c>
      <c r="R13" s="12">
        <f t="shared" ca="1" si="0"/>
        <v>0.37038205211295289</v>
      </c>
      <c r="S13" s="12">
        <f t="shared" ca="1" si="0"/>
        <v>0.18618314053535473</v>
      </c>
      <c r="T13" s="12">
        <f t="shared" ca="1" si="0"/>
        <v>9.8598079452665507E-2</v>
      </c>
      <c r="U13" s="12">
        <f t="shared" ca="1" si="0"/>
        <v>1</v>
      </c>
      <c r="V13" s="12">
        <f t="shared" ca="1" si="0"/>
        <v>0.27926612001330109</v>
      </c>
      <c r="W13" s="12">
        <f t="shared" ca="1" si="0"/>
        <v>0.13799777772323549</v>
      </c>
      <c r="X13" s="12">
        <f t="shared" ca="1" si="0"/>
        <v>-6.0323503721793167E-2</v>
      </c>
      <c r="Y13" s="12">
        <f t="shared" ca="1" si="0"/>
        <v>0.50773986574750096</v>
      </c>
      <c r="Z13" s="13">
        <f t="shared" ca="1" si="0"/>
        <v>0.54929231590208527</v>
      </c>
    </row>
    <row r="14" spans="1:26" x14ac:dyDescent="0.25">
      <c r="C14" t="str">
        <f ca="1"/>
        <v>PWR</v>
      </c>
      <c r="F14" t="str">
        <f ca="1"/>
        <v>QUANTA SERVICES, INC.</v>
      </c>
      <c r="G14" s="4">
        <v>5.9731487940211332E-2</v>
      </c>
      <c r="H14" s="4">
        <f ca="1"/>
        <v>0.50201520709580794</v>
      </c>
      <c r="I14" s="4">
        <f ca="1"/>
        <v>0.30190345200027735</v>
      </c>
      <c r="K14" s="11" t="str">
        <f ca="1"/>
        <v>PWR</v>
      </c>
      <c r="L14" s="12">
        <f t="shared" ca="1" si="0"/>
        <v>0.56360451679240686</v>
      </c>
      <c r="M14" s="12">
        <f t="shared" ca="1" si="0"/>
        <v>0.45670011153147472</v>
      </c>
      <c r="N14" s="12">
        <f t="shared" ca="1" si="0"/>
        <v>8.4469901118672794E-2</v>
      </c>
      <c r="O14" s="12">
        <f t="shared" ca="1" si="0"/>
        <v>0.18222481508379965</v>
      </c>
      <c r="P14" s="12">
        <f t="shared" ca="1" si="0"/>
        <v>2.0259498848636599E-2</v>
      </c>
      <c r="Q14" s="12">
        <f t="shared" ca="1" si="0"/>
        <v>4.2200276549794996E-2</v>
      </c>
      <c r="R14" s="12">
        <f t="shared" ca="1" si="0"/>
        <v>0.44077234934195181</v>
      </c>
      <c r="S14" s="12">
        <f t="shared" ca="1" si="0"/>
        <v>0.25680714897371854</v>
      </c>
      <c r="T14" s="12">
        <f t="shared" ca="1" si="0"/>
        <v>0.28914912427245526</v>
      </c>
      <c r="U14" s="12">
        <f t="shared" ca="1" si="0"/>
        <v>0.27926612001330109</v>
      </c>
      <c r="V14" s="12">
        <f t="shared" ca="1" si="0"/>
        <v>1</v>
      </c>
      <c r="W14" s="12">
        <f t="shared" ca="1" si="0"/>
        <v>0.21231367691629069</v>
      </c>
      <c r="X14" s="12">
        <f t="shared" ca="1" si="0"/>
        <v>8.8241661227478257E-2</v>
      </c>
      <c r="Y14" s="12">
        <f t="shared" ca="1" si="0"/>
        <v>0.18282655362444725</v>
      </c>
      <c r="Z14" s="13">
        <f t="shared" ca="1" si="0"/>
        <v>0.2875894777606206</v>
      </c>
    </row>
    <row r="15" spans="1:26" x14ac:dyDescent="0.25">
      <c r="C15" t="str">
        <f ca="1"/>
        <v>STZ</v>
      </c>
      <c r="F15" t="str">
        <f ca="1"/>
        <v>CONSTELLATION BRANDS, INC.</v>
      </c>
      <c r="G15" s="4">
        <v>0.02</v>
      </c>
      <c r="H15" s="4">
        <f ca="1"/>
        <v>9.1745040990196536E-3</v>
      </c>
      <c r="I15" s="4">
        <f ca="1"/>
        <v>0.20141272309810795</v>
      </c>
      <c r="K15" s="11" t="str">
        <f ca="1"/>
        <v>STZ</v>
      </c>
      <c r="L15" s="12">
        <f t="shared" ca="1" si="0"/>
        <v>0.19383242927935773</v>
      </c>
      <c r="M15" s="12">
        <f t="shared" ca="1" si="0"/>
        <v>0.26741376110241821</v>
      </c>
      <c r="N15" s="12">
        <f t="shared" ca="1" si="0"/>
        <v>0.41201017325785072</v>
      </c>
      <c r="O15" s="12">
        <f t="shared" ca="1" si="0"/>
        <v>0.26399251109701449</v>
      </c>
      <c r="P15" s="12">
        <f t="shared" ca="1" si="0"/>
        <v>0.30406039484488578</v>
      </c>
      <c r="Q15" s="12">
        <f t="shared" ca="1" si="0"/>
        <v>0.30516004679295422</v>
      </c>
      <c r="R15" s="12">
        <f t="shared" ca="1" si="0"/>
        <v>4.8475830039762566E-2</v>
      </c>
      <c r="S15" s="12">
        <f t="shared" ca="1" si="0"/>
        <v>0.24153457683011567</v>
      </c>
      <c r="T15" s="12">
        <f t="shared" ca="1" si="0"/>
        <v>0.10870112246662057</v>
      </c>
      <c r="U15" s="12">
        <f t="shared" ca="1" si="0"/>
        <v>0.13799777772323549</v>
      </c>
      <c r="V15" s="12">
        <f t="shared" ca="1" si="0"/>
        <v>0.21231367691629069</v>
      </c>
      <c r="W15" s="12">
        <f t="shared" ca="1" si="0"/>
        <v>1</v>
      </c>
      <c r="X15" s="12">
        <f t="shared" ca="1" si="0"/>
        <v>0.1065836303270771</v>
      </c>
      <c r="Y15" s="12">
        <f t="shared" ca="1" si="0"/>
        <v>9.220558923027819E-2</v>
      </c>
      <c r="Z15" s="13">
        <f t="shared" ca="1" si="0"/>
        <v>0.15528474994375932</v>
      </c>
    </row>
    <row r="16" spans="1:26" x14ac:dyDescent="0.25">
      <c r="C16" t="str">
        <f ca="1"/>
        <v>LMT</v>
      </c>
      <c r="F16" t="str">
        <f ca="1"/>
        <v>LOCKHEED MARTIN CORPORATION</v>
      </c>
      <c r="G16" s="4">
        <v>0.02</v>
      </c>
      <c r="H16" s="4">
        <f ca="1"/>
        <v>4.6836336235839715E-2</v>
      </c>
      <c r="I16" s="4">
        <f ca="1"/>
        <v>0.17679279110483995</v>
      </c>
      <c r="K16" s="11" t="str">
        <f ca="1"/>
        <v>LMT</v>
      </c>
      <c r="L16" s="12">
        <f t="shared" ca="1" si="0"/>
        <v>0.13547306732149381</v>
      </c>
      <c r="M16" s="12">
        <f t="shared" ca="1" si="0"/>
        <v>9.6010830197852337E-2</v>
      </c>
      <c r="N16" s="12">
        <f t="shared" ca="1" si="0"/>
        <v>0.27895692792062343</v>
      </c>
      <c r="O16" s="12">
        <f t="shared" ca="1" si="0"/>
        <v>0.10582967119991743</v>
      </c>
      <c r="P16" s="12">
        <f t="shared" ca="1" si="0"/>
        <v>0.16151236702194985</v>
      </c>
      <c r="Q16" s="12">
        <f t="shared" ca="1" si="0"/>
        <v>0.24396713198380685</v>
      </c>
      <c r="R16" s="12">
        <f t="shared" ca="1" si="0"/>
        <v>-6.0072226600482587E-2</v>
      </c>
      <c r="S16" s="12">
        <f t="shared" ca="1" si="0"/>
        <v>0.14664738479258402</v>
      </c>
      <c r="T16" s="12">
        <f t="shared" ca="1" si="0"/>
        <v>9.9330471281877872E-2</v>
      </c>
      <c r="U16" s="12">
        <f t="shared" ca="1" si="0"/>
        <v>-6.0323503721793167E-2</v>
      </c>
      <c r="V16" s="12">
        <f t="shared" ca="1" si="0"/>
        <v>8.8241661227478257E-2</v>
      </c>
      <c r="W16" s="12">
        <f t="shared" ca="1" si="0"/>
        <v>0.1065836303270771</v>
      </c>
      <c r="X16" s="12">
        <f t="shared" ca="1" si="0"/>
        <v>1</v>
      </c>
      <c r="Y16" s="12">
        <f t="shared" ca="1" si="0"/>
        <v>-8.3270381402481164E-2</v>
      </c>
      <c r="Z16" s="13">
        <f t="shared" ca="1" si="0"/>
        <v>-8.9647352847128964E-2</v>
      </c>
    </row>
    <row r="17" spans="2:26" x14ac:dyDescent="0.25">
      <c r="C17" t="str">
        <f ca="1"/>
        <v>GOOGL</v>
      </c>
      <c r="F17" t="str">
        <f ca="1"/>
        <v>ALPHABET INC.</v>
      </c>
      <c r="G17" s="4">
        <v>0.02</v>
      </c>
      <c r="H17" s="4">
        <f ca="1"/>
        <v>0.46244363486399709</v>
      </c>
      <c r="I17" s="4">
        <f ca="1"/>
        <v>0.29375545955868154</v>
      </c>
      <c r="K17" s="11" t="str">
        <f ca="1"/>
        <v>GOOGL</v>
      </c>
      <c r="L17" s="12">
        <f t="shared" ca="1" si="0"/>
        <v>0.18447595687995286</v>
      </c>
      <c r="M17" s="12">
        <f t="shared" ca="1" si="0"/>
        <v>0.20457390799635955</v>
      </c>
      <c r="N17" s="12">
        <f t="shared" ca="1" si="0"/>
        <v>3.0630354693847048E-2</v>
      </c>
      <c r="O17" s="12">
        <f t="shared" ca="1" si="0"/>
        <v>0.22338581819874548</v>
      </c>
      <c r="P17" s="12">
        <f t="shared" ca="1" si="0"/>
        <v>3.292175567675588E-3</v>
      </c>
      <c r="Q17" s="12">
        <f t="shared" ca="1" si="0"/>
        <v>-3.3381632634587891E-2</v>
      </c>
      <c r="R17" s="12">
        <f t="shared" ca="1" si="0"/>
        <v>0.28714662798901691</v>
      </c>
      <c r="S17" s="12">
        <f t="shared" ca="1" si="0"/>
        <v>0.1795075854514909</v>
      </c>
      <c r="T17" s="12">
        <f t="shared" ca="1" si="0"/>
        <v>0.10226461721284583</v>
      </c>
      <c r="U17" s="12">
        <f t="shared" ca="1" si="0"/>
        <v>0.50773986574750096</v>
      </c>
      <c r="V17" s="12">
        <f t="shared" ca="1" si="0"/>
        <v>0.18282655362444725</v>
      </c>
      <c r="W17" s="12">
        <f t="shared" ca="1" si="0"/>
        <v>9.220558923027819E-2</v>
      </c>
      <c r="X17" s="12">
        <f t="shared" ca="1" si="0"/>
        <v>-8.3270381402481164E-2</v>
      </c>
      <c r="Y17" s="12">
        <f t="shared" ca="1" si="0"/>
        <v>0.99999999999999989</v>
      </c>
      <c r="Z17" s="13">
        <f t="shared" ca="1" si="0"/>
        <v>0.535416258542038</v>
      </c>
    </row>
    <row r="18" spans="2:26" ht="15.75" thickBot="1" x14ac:dyDescent="0.3">
      <c r="C18" t="str">
        <f ca="1"/>
        <v>MSFT</v>
      </c>
      <c r="F18" t="str">
        <f ca="1"/>
        <v>MICROSOFT CORPORATION</v>
      </c>
      <c r="G18" s="4">
        <v>0.02</v>
      </c>
      <c r="H18" s="4">
        <f ca="1"/>
        <v>0.34091564741541114</v>
      </c>
      <c r="I18" s="4">
        <f ca="1"/>
        <v>0.2257939077596455</v>
      </c>
      <c r="K18" s="14" t="str">
        <f ca="1"/>
        <v>MSFT</v>
      </c>
      <c r="L18" s="15">
        <f t="shared" ca="1" si="0"/>
        <v>0.21897992118969861</v>
      </c>
      <c r="M18" s="15">
        <f t="shared" ca="1" si="0"/>
        <v>0.23344418950233425</v>
      </c>
      <c r="N18" s="15">
        <f t="shared" ca="1" si="0"/>
        <v>8.0211215172615355E-2</v>
      </c>
      <c r="O18" s="15">
        <f t="shared" ca="1" si="0"/>
        <v>0.1965000428562157</v>
      </c>
      <c r="P18" s="15">
        <f t="shared" ca="1" si="0"/>
        <v>9.2933861184368444E-2</v>
      </c>
      <c r="Q18" s="15">
        <f t="shared" ca="1" si="0"/>
        <v>-1.9727720223615238E-2</v>
      </c>
      <c r="R18" s="15">
        <f t="shared" ca="1" si="0"/>
        <v>0.41250428404485673</v>
      </c>
      <c r="S18" s="15">
        <f t="shared" ca="1" si="0"/>
        <v>0.18729409297034808</v>
      </c>
      <c r="T18" s="15">
        <f t="shared" ca="1" si="0"/>
        <v>0.11312600772806607</v>
      </c>
      <c r="U18" s="15">
        <f t="shared" ca="1" si="0"/>
        <v>0.54929231590208527</v>
      </c>
      <c r="V18" s="15">
        <f t="shared" ca="1" si="0"/>
        <v>0.2875894777606206</v>
      </c>
      <c r="W18" s="15">
        <f t="shared" ca="1" si="0"/>
        <v>0.15528474994375932</v>
      </c>
      <c r="X18" s="15">
        <f t="shared" ca="1" si="0"/>
        <v>-8.9647352847128964E-2</v>
      </c>
      <c r="Y18" s="15">
        <f t="shared" ca="1" si="0"/>
        <v>0.535416258542038</v>
      </c>
      <c r="Z18" s="16">
        <f t="shared" ca="1" si="0"/>
        <v>1</v>
      </c>
    </row>
    <row r="19" spans="2:26" ht="15.75" thickBot="1" x14ac:dyDescent="0.3">
      <c r="G19" s="6">
        <f>SUM(G4:G18)</f>
        <v>1</v>
      </c>
      <c r="L19" s="4"/>
    </row>
    <row r="20" spans="2:26" ht="20.25" thickBot="1" x14ac:dyDescent="0.35">
      <c r="B20" t="s">
        <v>12</v>
      </c>
      <c r="K20" s="17" t="s">
        <v>16</v>
      </c>
      <c r="L20" s="18"/>
      <c r="M20" s="19"/>
    </row>
    <row r="21" spans="2:26" x14ac:dyDescent="0.25">
      <c r="C21" t="s">
        <v>13</v>
      </c>
      <c r="G21" s="4">
        <f ca="1">_xlfn.LET(_xlpm.returns,_xlfn.ANCHORARRAY(H4),SUMPRODUCT(_xlpm.returns,the.weights))</f>
        <v>0.50623131116322129</v>
      </c>
      <c r="J21" s="49" t="s">
        <v>10</v>
      </c>
      <c r="K21" s="50"/>
      <c r="L21" s="9" t="str" cm="1">
        <f t="array" aca="1" ref="L21:Z21" ca="1">TRANSPOSE(stock.tickers)</f>
        <v>PH</v>
      </c>
      <c r="M21" s="9" t="str">
        <f ca="1"/>
        <v>CSL</v>
      </c>
      <c r="N21" s="9" t="str">
        <f ca="1"/>
        <v>KO</v>
      </c>
      <c r="O21" s="9" t="str">
        <f ca="1"/>
        <v>STE</v>
      </c>
      <c r="P21" s="9" t="str">
        <f ca="1"/>
        <v>PG</v>
      </c>
      <c r="Q21" s="9" t="str">
        <f ca="1"/>
        <v>KHC</v>
      </c>
      <c r="R21" s="9" t="str">
        <f ca="1"/>
        <v>TSM</v>
      </c>
      <c r="S21" s="9" t="str">
        <f ca="1"/>
        <v>CSX</v>
      </c>
      <c r="T21" s="9" t="str">
        <f ca="1"/>
        <v>PKOH</v>
      </c>
      <c r="U21" s="9" t="str">
        <f ca="1"/>
        <v>META</v>
      </c>
      <c r="V21" s="9" t="str">
        <f ca="1"/>
        <v>PWR</v>
      </c>
      <c r="W21" s="9" t="str">
        <f ca="1"/>
        <v>STZ</v>
      </c>
      <c r="X21" s="9" t="str">
        <f ca="1"/>
        <v>LMT</v>
      </c>
      <c r="Y21" s="9" t="str">
        <f ca="1"/>
        <v>GOOGL</v>
      </c>
      <c r="Z21" s="10" t="str">
        <f ca="1"/>
        <v>MSFT</v>
      </c>
    </row>
    <row r="22" spans="2:26" x14ac:dyDescent="0.25">
      <c r="C22" t="s">
        <v>14</v>
      </c>
      <c r="G22" s="4">
        <f ca="1">portfolio.daily.risk*SQRT(255)</f>
        <v>0.19299978518289135</v>
      </c>
      <c r="J22" s="51" cm="1">
        <f t="array" ref="J22:J36">the.weights</f>
        <v>0.2</v>
      </c>
      <c r="K22" t="str" cm="1">
        <f t="array" aca="1" ref="K22:K36" ca="1">stock.tickers</f>
        <v>PH</v>
      </c>
      <c r="L22" s="20">
        <f t="shared" ref="L22:Z36" ca="1" si="1">_xlfn.COVARIANCE.P(_xlfn.XLOOKUP(L$3,delta.tickers,table.deltas),_xlfn.XLOOKUP($K22,delta.tickers,table.deltas))</f>
        <v>2.8064786796527905E-4</v>
      </c>
      <c r="M22" s="20">
        <f t="shared" ca="1" si="1"/>
        <v>1.6677522268236612E-4</v>
      </c>
      <c r="N22" s="20">
        <f t="shared" ca="1" si="1"/>
        <v>1.1032572959241741E-5</v>
      </c>
      <c r="O22" s="20">
        <f t="shared" ca="1" si="1"/>
        <v>6.1832337925095323E-5</v>
      </c>
      <c r="P22" s="20">
        <f t="shared" ca="1" si="1"/>
        <v>-3.8168556395835271E-8</v>
      </c>
      <c r="Q22" s="20">
        <f t="shared" ca="1" si="1"/>
        <v>1.8006695154288645E-5</v>
      </c>
      <c r="R22" s="20">
        <f t="shared" ca="1" si="1"/>
        <v>1.354269380104525E-4</v>
      </c>
      <c r="S22" s="20">
        <f t="shared" ca="1" si="1"/>
        <v>1.1379473155108111E-4</v>
      </c>
      <c r="T22" s="20">
        <f t="shared" ca="1" si="1"/>
        <v>2.1302570481272233E-4</v>
      </c>
      <c r="U22" s="20">
        <f t="shared" ca="1" si="1"/>
        <v>1.0411397124335454E-4</v>
      </c>
      <c r="V22" s="20">
        <f t="shared" ca="1" si="1"/>
        <v>1.7846312179419218E-4</v>
      </c>
      <c r="W22" s="20">
        <f t="shared" ca="1" si="1"/>
        <v>4.0978552581731166E-5</v>
      </c>
      <c r="X22" s="20">
        <f t="shared" ca="1" si="1"/>
        <v>2.5102238678039268E-5</v>
      </c>
      <c r="Y22" s="20">
        <f t="shared" ca="1" si="1"/>
        <v>5.682395814026506E-5</v>
      </c>
      <c r="Z22" s="52">
        <f t="shared" ca="1" si="1"/>
        <v>5.234216255101021E-5</v>
      </c>
    </row>
    <row r="23" spans="2:26" x14ac:dyDescent="0.25">
      <c r="C23" t="s">
        <v>21</v>
      </c>
      <c r="G23" s="25">
        <f ca="1">_xlfn.LET(_xlpm.music,G21,_xlpm.static,G22,_xlpm.riskfree,G24,(_xlpm.music-_xlpm.riskfree)/_xlpm.static)</f>
        <v>2.3638954350694497</v>
      </c>
      <c r="J23" s="51">
        <v>0.2</v>
      </c>
      <c r="K23" t="str">
        <f ca="1"/>
        <v>CSL</v>
      </c>
      <c r="L23" s="20">
        <f t="shared" ca="1" si="1"/>
        <v>1.6677522268236612E-4</v>
      </c>
      <c r="M23" s="20">
        <f t="shared" ca="1" si="1"/>
        <v>3.1277742518331497E-4</v>
      </c>
      <c r="N23" s="20">
        <f t="shared" ca="1" si="1"/>
        <v>1.4914009508991999E-5</v>
      </c>
      <c r="O23" s="20">
        <f t="shared" ca="1" si="1"/>
        <v>7.7643157721835607E-5</v>
      </c>
      <c r="P23" s="20">
        <f t="shared" ca="1" si="1"/>
        <v>8.6319236791067756E-6</v>
      </c>
      <c r="Q23" s="20">
        <f t="shared" ca="1" si="1"/>
        <v>2.8193383271588809E-5</v>
      </c>
      <c r="R23" s="20">
        <f t="shared" ca="1" si="1"/>
        <v>1.1921973608610811E-4</v>
      </c>
      <c r="S23" s="20">
        <f t="shared" ca="1" si="1"/>
        <v>8.4300312789613576E-5</v>
      </c>
      <c r="T23" s="20">
        <f t="shared" ca="1" si="1"/>
        <v>1.22699224020596E-4</v>
      </c>
      <c r="U23" s="20">
        <f t="shared" ca="1" si="1"/>
        <v>9.8911359988032861E-5</v>
      </c>
      <c r="V23" s="20">
        <f t="shared" ca="1" si="1"/>
        <v>1.5266587276253335E-4</v>
      </c>
      <c r="W23" s="20">
        <f t="shared" ca="1" si="1"/>
        <v>5.9683015026695258E-5</v>
      </c>
      <c r="X23" s="20">
        <f t="shared" ca="1" si="1"/>
        <v>1.8780906131953108E-5</v>
      </c>
      <c r="Y23" s="20">
        <f t="shared" ca="1" si="1"/>
        <v>6.6524064822215916E-5</v>
      </c>
      <c r="Z23" s="52">
        <f t="shared" ca="1" si="1"/>
        <v>5.8907048307654843E-5</v>
      </c>
    </row>
    <row r="24" spans="2:26" x14ac:dyDescent="0.25">
      <c r="C24" t="s">
        <v>22</v>
      </c>
      <c r="G24" s="24">
        <v>0.05</v>
      </c>
      <c r="J24" s="51">
        <v>0.02</v>
      </c>
      <c r="K24" t="str">
        <f ca="1"/>
        <v>KO</v>
      </c>
      <c r="L24" s="20">
        <f t="shared" ca="1" si="1"/>
        <v>1.1032572959241741E-5</v>
      </c>
      <c r="M24" s="20">
        <f t="shared" ca="1" si="1"/>
        <v>1.4914009508991999E-5</v>
      </c>
      <c r="N24" s="20">
        <f t="shared" ca="1" si="1"/>
        <v>6.7609802911563336E-5</v>
      </c>
      <c r="O24" s="20">
        <f t="shared" ca="1" si="1"/>
        <v>2.8518490549368223E-5</v>
      </c>
      <c r="P24" s="20">
        <f t="shared" ca="1" si="1"/>
        <v>4.1053279235965196E-5</v>
      </c>
      <c r="Q24" s="20">
        <f t="shared" ca="1" si="1"/>
        <v>4.6746563750134082E-5</v>
      </c>
      <c r="R24" s="20">
        <f t="shared" ca="1" si="1"/>
        <v>-2.5606585864780041E-5</v>
      </c>
      <c r="S24" s="20">
        <f t="shared" ca="1" si="1"/>
        <v>2.647636968097504E-5</v>
      </c>
      <c r="T24" s="20">
        <f t="shared" ca="1" si="1"/>
        <v>1.668959944303867E-5</v>
      </c>
      <c r="U24" s="20">
        <f t="shared" ca="1" si="1"/>
        <v>-4.4784571315476915E-6</v>
      </c>
      <c r="V24" s="20">
        <f t="shared" ca="1" si="1"/>
        <v>1.3128042313822492E-5</v>
      </c>
      <c r="W24" s="20">
        <f t="shared" ca="1" si="1"/>
        <v>4.2752555227839094E-5</v>
      </c>
      <c r="X24" s="20">
        <f t="shared" ca="1" si="1"/>
        <v>2.5370007963882784E-5</v>
      </c>
      <c r="Y24" s="20">
        <f t="shared" ca="1" si="1"/>
        <v>4.6309244644222254E-6</v>
      </c>
      <c r="Z24" s="52">
        <f t="shared" ca="1" si="1"/>
        <v>9.4103640266945639E-6</v>
      </c>
    </row>
    <row r="25" spans="2:26" x14ac:dyDescent="0.25">
      <c r="J25" s="51">
        <v>0.02</v>
      </c>
      <c r="K25" t="str">
        <f ca="1"/>
        <v>STE</v>
      </c>
      <c r="L25" s="20">
        <f t="shared" ca="1" si="1"/>
        <v>6.1832337925095323E-5</v>
      </c>
      <c r="M25" s="20">
        <f t="shared" ca="1" si="1"/>
        <v>7.7643157721835607E-5</v>
      </c>
      <c r="N25" s="20">
        <f t="shared" ca="1" si="1"/>
        <v>2.8518490549368223E-5</v>
      </c>
      <c r="O25" s="20">
        <f t="shared" ca="1" si="1"/>
        <v>2.2842877229427598E-4</v>
      </c>
      <c r="P25" s="20">
        <f t="shared" ca="1" si="1"/>
        <v>3.3044499347786811E-5</v>
      </c>
      <c r="Q25" s="20">
        <f t="shared" ca="1" si="1"/>
        <v>3.0103224527050113E-5</v>
      </c>
      <c r="R25" s="20">
        <f t="shared" ca="1" si="1"/>
        <v>1.9890069513175128E-5</v>
      </c>
      <c r="S25" s="20">
        <f t="shared" ca="1" si="1"/>
        <v>6.9722922349675661E-5</v>
      </c>
      <c r="T25" s="20">
        <f t="shared" ca="1" si="1"/>
        <v>7.8420443904446646E-5</v>
      </c>
      <c r="U25" s="20">
        <f t="shared" ca="1" si="1"/>
        <v>8.2080324871193586E-5</v>
      </c>
      <c r="V25" s="20">
        <f t="shared" ca="1" si="1"/>
        <v>5.205663220731954E-5</v>
      </c>
      <c r="W25" s="20">
        <f t="shared" ca="1" si="1"/>
        <v>5.0351952039873619E-5</v>
      </c>
      <c r="X25" s="20">
        <f t="shared" ca="1" si="1"/>
        <v>1.7691370045128637E-5</v>
      </c>
      <c r="Y25" s="20">
        <f t="shared" ca="1" si="1"/>
        <v>6.2078589025890953E-5</v>
      </c>
      <c r="Z25" s="52">
        <f t="shared" ca="1" si="1"/>
        <v>4.23744959540478E-5</v>
      </c>
    </row>
    <row r="26" spans="2:26" x14ac:dyDescent="0.25">
      <c r="J26" s="51">
        <v>0.02</v>
      </c>
      <c r="K26" t="str">
        <f ca="1"/>
        <v>PG</v>
      </c>
      <c r="L26" s="20">
        <f t="shared" ca="1" si="1"/>
        <v>-3.8168556395835271E-8</v>
      </c>
      <c r="M26" s="20">
        <f t="shared" ca="1" si="1"/>
        <v>8.6319236791067756E-6</v>
      </c>
      <c r="N26" s="20">
        <f t="shared" ca="1" si="1"/>
        <v>4.1053279235965196E-5</v>
      </c>
      <c r="O26" s="20">
        <f t="shared" ca="1" si="1"/>
        <v>3.3044499347786811E-5</v>
      </c>
      <c r="P26" s="20">
        <f t="shared" ca="1" si="1"/>
        <v>8.9422185179796124E-5</v>
      </c>
      <c r="Q26" s="20">
        <f t="shared" ca="1" si="1"/>
        <v>3.6830336540062675E-5</v>
      </c>
      <c r="R26" s="20">
        <f t="shared" ca="1" si="1"/>
        <v>-2.4130012138184064E-5</v>
      </c>
      <c r="S26" s="20">
        <f t="shared" ca="1" si="1"/>
        <v>2.2320559194362032E-5</v>
      </c>
      <c r="T26" s="20">
        <f t="shared" ca="1" si="1"/>
        <v>6.825932408413308E-7</v>
      </c>
      <c r="U26" s="20">
        <f t="shared" ca="1" si="1"/>
        <v>5.944522868267526E-6</v>
      </c>
      <c r="V26" s="20">
        <f t="shared" ca="1" si="1"/>
        <v>3.6211330685128471E-6</v>
      </c>
      <c r="W26" s="20">
        <f t="shared" ca="1" si="1"/>
        <v>3.6285390089823002E-5</v>
      </c>
      <c r="X26" s="20">
        <f t="shared" ca="1" si="1"/>
        <v>1.6893009958107556E-5</v>
      </c>
      <c r="Y26" s="20">
        <f t="shared" ca="1" si="1"/>
        <v>5.7242219292929239E-7</v>
      </c>
      <c r="Z26" s="52">
        <f t="shared" ca="1" si="1"/>
        <v>1.2539006100751495E-5</v>
      </c>
    </row>
    <row r="27" spans="2:26" x14ac:dyDescent="0.25">
      <c r="J27" s="51">
        <v>0.02</v>
      </c>
      <c r="K27" t="str">
        <f ca="1"/>
        <v>KHC</v>
      </c>
      <c r="L27" s="20">
        <f t="shared" ca="1" si="1"/>
        <v>1.8006695154288645E-5</v>
      </c>
      <c r="M27" s="20">
        <f t="shared" ca="1" si="1"/>
        <v>2.8193383271588809E-5</v>
      </c>
      <c r="N27" s="20">
        <f t="shared" ca="1" si="1"/>
        <v>4.6746563750134082E-5</v>
      </c>
      <c r="O27" s="20">
        <f t="shared" ca="1" si="1"/>
        <v>3.0103224527050113E-5</v>
      </c>
      <c r="P27" s="20">
        <f t="shared" ca="1" si="1"/>
        <v>3.6830336540062675E-5</v>
      </c>
      <c r="Q27" s="20">
        <f t="shared" ca="1" si="1"/>
        <v>1.3743420169837623E-4</v>
      </c>
      <c r="R27" s="20">
        <f t="shared" ca="1" si="1"/>
        <v>-2.6757151061873302E-5</v>
      </c>
      <c r="S27" s="20">
        <f t="shared" ca="1" si="1"/>
        <v>3.5688496118162903E-5</v>
      </c>
      <c r="T27" s="20">
        <f t="shared" ca="1" si="1"/>
        <v>4.8118645948180594E-5</v>
      </c>
      <c r="U27" s="20">
        <f t="shared" ca="1" si="1"/>
        <v>-1.3338257939554745E-5</v>
      </c>
      <c r="V27" s="20">
        <f t="shared" ca="1" si="1"/>
        <v>9.3509526132846605E-6</v>
      </c>
      <c r="W27" s="20">
        <f t="shared" ca="1" si="1"/>
        <v>4.5146531169051978E-5</v>
      </c>
      <c r="X27" s="20">
        <f t="shared" ca="1" si="1"/>
        <v>3.1634235966763004E-5</v>
      </c>
      <c r="Y27" s="20">
        <f t="shared" ca="1" si="1"/>
        <v>-7.1955802625038922E-6</v>
      </c>
      <c r="Z27" s="52">
        <f t="shared" ca="1" si="1"/>
        <v>-3.299824215890947E-6</v>
      </c>
    </row>
    <row r="28" spans="2:26" x14ac:dyDescent="0.25">
      <c r="J28" s="51">
        <v>0.2</v>
      </c>
      <c r="K28" t="str">
        <f ca="1"/>
        <v>TSM</v>
      </c>
      <c r="L28" s="20">
        <f t="shared" ca="1" si="1"/>
        <v>1.354269380104525E-4</v>
      </c>
      <c r="M28" s="20">
        <f t="shared" ca="1" si="1"/>
        <v>1.1921973608610811E-4</v>
      </c>
      <c r="N28" s="20">
        <f t="shared" ca="1" si="1"/>
        <v>-2.5606585864780041E-5</v>
      </c>
      <c r="O28" s="20">
        <f t="shared" ca="1" si="1"/>
        <v>1.9890069513175128E-5</v>
      </c>
      <c r="P28" s="20">
        <f t="shared" ca="1" si="1"/>
        <v>-2.4130012138184064E-5</v>
      </c>
      <c r="Q28" s="20">
        <f t="shared" ca="1" si="1"/>
        <v>-2.6757151061873302E-5</v>
      </c>
      <c r="R28" s="20">
        <f t="shared" ca="1" si="1"/>
        <v>5.1248065915171774E-4</v>
      </c>
      <c r="S28" s="20">
        <f t="shared" ca="1" si="1"/>
        <v>2.7676493221357965E-5</v>
      </c>
      <c r="T28" s="20">
        <f t="shared" ca="1" si="1"/>
        <v>5.7273411166624679E-5</v>
      </c>
      <c r="U28" s="20">
        <f t="shared" ca="1" si="1"/>
        <v>2.0149111584865357E-4</v>
      </c>
      <c r="V28" s="20">
        <f t="shared" ca="1" si="1"/>
        <v>1.8860197204300576E-4</v>
      </c>
      <c r="W28" s="20">
        <f t="shared" ca="1" si="1"/>
        <v>1.384883675974554E-5</v>
      </c>
      <c r="X28" s="20">
        <f t="shared" ca="1" si="1"/>
        <v>-1.504149786707396E-5</v>
      </c>
      <c r="Y28" s="20">
        <f t="shared" ca="1" si="1"/>
        <v>1.1952349859628861E-4</v>
      </c>
      <c r="Z28" s="52">
        <f t="shared" ca="1" si="1"/>
        <v>1.332397153682169E-4</v>
      </c>
    </row>
    <row r="29" spans="2:26" x14ac:dyDescent="0.25">
      <c r="J29" s="51">
        <v>0.02</v>
      </c>
      <c r="K29" t="str">
        <f ca="1"/>
        <v>CSX</v>
      </c>
      <c r="L29" s="20">
        <f t="shared" ca="1" si="1"/>
        <v>1.1379473155108111E-4</v>
      </c>
      <c r="M29" s="20">
        <f t="shared" ca="1" si="1"/>
        <v>8.4300312789613576E-5</v>
      </c>
      <c r="N29" s="20">
        <f t="shared" ca="1" si="1"/>
        <v>2.647636968097504E-5</v>
      </c>
      <c r="O29" s="20">
        <f t="shared" ca="1" si="1"/>
        <v>6.9722922349675661E-5</v>
      </c>
      <c r="P29" s="20">
        <f t="shared" ca="1" si="1"/>
        <v>2.2320559194362032E-5</v>
      </c>
      <c r="Q29" s="20">
        <f t="shared" ca="1" si="1"/>
        <v>3.5688496118162903E-5</v>
      </c>
      <c r="R29" s="20">
        <f t="shared" ca="1" si="1"/>
        <v>2.7676493221357965E-5</v>
      </c>
      <c r="S29" s="20">
        <f t="shared" ca="1" si="1"/>
        <v>1.7535827468443887E-4</v>
      </c>
      <c r="T29" s="20">
        <f t="shared" ca="1" si="1"/>
        <v>1.3796384599403872E-4</v>
      </c>
      <c r="U29" s="20">
        <f t="shared" ca="1" si="1"/>
        <v>5.9247593102485965E-5</v>
      </c>
      <c r="V29" s="20">
        <f t="shared" ca="1" si="1"/>
        <v>6.4278152912474671E-5</v>
      </c>
      <c r="W29" s="20">
        <f t="shared" ca="1" si="1"/>
        <v>4.0363772049148699E-5</v>
      </c>
      <c r="X29" s="20">
        <f t="shared" ca="1" si="1"/>
        <v>2.1479099576411419E-5</v>
      </c>
      <c r="Y29" s="20">
        <f t="shared" ca="1" si="1"/>
        <v>4.3707581252434774E-5</v>
      </c>
      <c r="Z29" s="52">
        <f t="shared" ca="1" si="1"/>
        <v>3.5387811517323201E-5</v>
      </c>
    </row>
    <row r="30" spans="2:26" x14ac:dyDescent="0.25">
      <c r="J30" s="51">
        <v>0.02</v>
      </c>
      <c r="K30" t="str">
        <f ca="1"/>
        <v>PKOH</v>
      </c>
      <c r="L30" s="20">
        <f t="shared" ca="1" si="1"/>
        <v>2.1302570481272233E-4</v>
      </c>
      <c r="M30" s="20">
        <f t="shared" ca="1" si="1"/>
        <v>1.22699224020596E-4</v>
      </c>
      <c r="N30" s="20">
        <f t="shared" ca="1" si="1"/>
        <v>1.668959944303867E-5</v>
      </c>
      <c r="O30" s="20">
        <f t="shared" ca="1" si="1"/>
        <v>7.8420443904446646E-5</v>
      </c>
      <c r="P30" s="20">
        <f t="shared" ca="1" si="1"/>
        <v>6.825932408413308E-7</v>
      </c>
      <c r="Q30" s="20">
        <f t="shared" ca="1" si="1"/>
        <v>4.8118645948180594E-5</v>
      </c>
      <c r="R30" s="20">
        <f t="shared" ca="1" si="1"/>
        <v>5.7273411166624679E-5</v>
      </c>
      <c r="S30" s="20">
        <f t="shared" ca="1" si="1"/>
        <v>1.3796384599403872E-4</v>
      </c>
      <c r="T30" s="20">
        <f t="shared" ca="1" si="1"/>
        <v>8.2294973549952479E-4</v>
      </c>
      <c r="U30" s="20">
        <f t="shared" ca="1" si="1"/>
        <v>6.7970793354497672E-5</v>
      </c>
      <c r="V30" s="20">
        <f t="shared" ca="1" si="1"/>
        <v>1.5678397945150947E-4</v>
      </c>
      <c r="W30" s="20">
        <f t="shared" ca="1" si="1"/>
        <v>3.9352287801229116E-5</v>
      </c>
      <c r="X30" s="20">
        <f t="shared" ca="1" si="1"/>
        <v>3.1517210184133292E-5</v>
      </c>
      <c r="Y30" s="20">
        <f t="shared" ca="1" si="1"/>
        <v>5.39414837714603E-5</v>
      </c>
      <c r="Z30" s="52">
        <f t="shared" ca="1" si="1"/>
        <v>4.6303690757107364E-5</v>
      </c>
    </row>
    <row r="31" spans="2:26" x14ac:dyDescent="0.25">
      <c r="J31" s="51">
        <v>0.14026851205978846</v>
      </c>
      <c r="K31" t="str">
        <f ca="1"/>
        <v>META</v>
      </c>
      <c r="L31" s="20">
        <f t="shared" ca="1" si="1"/>
        <v>1.0411397124335454E-4</v>
      </c>
      <c r="M31" s="20">
        <f t="shared" ca="1" si="1"/>
        <v>9.8911359988032861E-5</v>
      </c>
      <c r="N31" s="20">
        <f t="shared" ca="1" si="1"/>
        <v>-4.4784571315476915E-6</v>
      </c>
      <c r="O31" s="20">
        <f t="shared" ca="1" si="1"/>
        <v>8.2080324871193586E-5</v>
      </c>
      <c r="P31" s="20">
        <f t="shared" ca="1" si="1"/>
        <v>5.944522868267526E-6</v>
      </c>
      <c r="Q31" s="20">
        <f t="shared" ca="1" si="1"/>
        <v>-1.3338257939554745E-5</v>
      </c>
      <c r="R31" s="20">
        <f t="shared" ca="1" si="1"/>
        <v>2.0149111584865357E-4</v>
      </c>
      <c r="S31" s="20">
        <f t="shared" ca="1" si="1"/>
        <v>5.9247593102485965E-5</v>
      </c>
      <c r="T31" s="20">
        <f t="shared" ca="1" si="1"/>
        <v>6.7970793354497672E-5</v>
      </c>
      <c r="U31" s="20">
        <f t="shared" ca="1" si="1"/>
        <v>5.774766878447376E-4</v>
      </c>
      <c r="V31" s="20">
        <f t="shared" ca="1" si="1"/>
        <v>1.2684654037326549E-4</v>
      </c>
      <c r="W31" s="20">
        <f t="shared" ca="1" si="1"/>
        <v>4.1849340964924059E-5</v>
      </c>
      <c r="X31" s="20">
        <f t="shared" ca="1" si="1"/>
        <v>-1.6033650172268326E-5</v>
      </c>
      <c r="Y31" s="20">
        <f t="shared" ca="1" si="1"/>
        <v>2.2434651555278739E-4</v>
      </c>
      <c r="Z31" s="52">
        <f t="shared" ca="1" si="1"/>
        <v>1.8833769250248359E-4</v>
      </c>
    </row>
    <row r="32" spans="2:26" x14ac:dyDescent="0.25">
      <c r="J32" s="51">
        <v>5.9731487940211332E-2</v>
      </c>
      <c r="K32" t="str">
        <f ca="1"/>
        <v>PWR</v>
      </c>
      <c r="L32" s="20">
        <f t="shared" ca="1" si="1"/>
        <v>1.7846312179419218E-4</v>
      </c>
      <c r="M32" s="20">
        <f t="shared" ca="1" si="1"/>
        <v>1.5266587276253335E-4</v>
      </c>
      <c r="N32" s="20">
        <f t="shared" ca="1" si="1"/>
        <v>1.3128042313822492E-5</v>
      </c>
      <c r="O32" s="20">
        <f t="shared" ca="1" si="1"/>
        <v>5.205663220731954E-5</v>
      </c>
      <c r="P32" s="20">
        <f t="shared" ca="1" si="1"/>
        <v>3.6211330685128471E-6</v>
      </c>
      <c r="Q32" s="20">
        <f t="shared" ca="1" si="1"/>
        <v>9.3509526132846605E-6</v>
      </c>
      <c r="R32" s="20">
        <f t="shared" ca="1" si="1"/>
        <v>1.8860197204300576E-4</v>
      </c>
      <c r="S32" s="20">
        <f t="shared" ca="1" si="1"/>
        <v>6.4278152912474671E-5</v>
      </c>
      <c r="T32" s="20">
        <f t="shared" ca="1" si="1"/>
        <v>1.5678397945150947E-4</v>
      </c>
      <c r="U32" s="20">
        <f t="shared" ca="1" si="1"/>
        <v>1.2684654037326549E-4</v>
      </c>
      <c r="V32" s="20">
        <f t="shared" ca="1" si="1"/>
        <v>3.5726156322166808E-4</v>
      </c>
      <c r="W32" s="20">
        <f t="shared" ca="1" si="1"/>
        <v>5.0643116165905911E-5</v>
      </c>
      <c r="X32" s="20">
        <f t="shared" ca="1" si="1"/>
        <v>1.8447836442604935E-5</v>
      </c>
      <c r="Y32" s="20">
        <f t="shared" ca="1" si="1"/>
        <v>6.3539421453595157E-5</v>
      </c>
      <c r="Z32" s="52">
        <f t="shared" ca="1" si="1"/>
        <v>7.7559077042195561E-5</v>
      </c>
    </row>
    <row r="33" spans="5:34" x14ac:dyDescent="0.25">
      <c r="J33" s="51">
        <v>0.02</v>
      </c>
      <c r="K33" t="str">
        <f ca="1"/>
        <v>STZ</v>
      </c>
      <c r="L33" s="20">
        <f t="shared" ca="1" si="1"/>
        <v>4.0978552581731166E-5</v>
      </c>
      <c r="M33" s="20">
        <f t="shared" ca="1" si="1"/>
        <v>5.9683015026695258E-5</v>
      </c>
      <c r="N33" s="20">
        <f t="shared" ca="1" si="1"/>
        <v>4.2752555227839094E-5</v>
      </c>
      <c r="O33" s="20">
        <f t="shared" ca="1" si="1"/>
        <v>5.0351952039873619E-5</v>
      </c>
      <c r="P33" s="20">
        <f t="shared" ca="1" si="1"/>
        <v>3.6285390089823002E-5</v>
      </c>
      <c r="Q33" s="20">
        <f t="shared" ca="1" si="1"/>
        <v>4.5146531169051978E-5</v>
      </c>
      <c r="R33" s="20">
        <f t="shared" ca="1" si="1"/>
        <v>1.384883675974554E-5</v>
      </c>
      <c r="S33" s="20">
        <f t="shared" ca="1" si="1"/>
        <v>4.0363772049148699E-5</v>
      </c>
      <c r="T33" s="20">
        <f t="shared" ca="1" si="1"/>
        <v>3.9352287801229116E-5</v>
      </c>
      <c r="U33" s="20">
        <f t="shared" ca="1" si="1"/>
        <v>4.1849340964924059E-5</v>
      </c>
      <c r="V33" s="20">
        <f t="shared" ca="1" si="1"/>
        <v>5.0643116165905911E-5</v>
      </c>
      <c r="W33" s="20">
        <f t="shared" ca="1" si="1"/>
        <v>1.5925702700898345E-4</v>
      </c>
      <c r="X33" s="20">
        <f t="shared" ca="1" si="1"/>
        <v>1.4877104979726177E-5</v>
      </c>
      <c r="Y33" s="20">
        <f t="shared" ca="1" si="1"/>
        <v>2.1395251005665279E-5</v>
      </c>
      <c r="Z33" s="52">
        <f t="shared" ca="1" si="1"/>
        <v>2.7960478676629113E-5</v>
      </c>
    </row>
    <row r="34" spans="5:34" x14ac:dyDescent="0.25">
      <c r="J34" s="51">
        <v>0.02</v>
      </c>
      <c r="K34" t="str">
        <f ca="1"/>
        <v>LMT</v>
      </c>
      <c r="L34" s="20">
        <f t="shared" ca="1" si="1"/>
        <v>2.5102238678039268E-5</v>
      </c>
      <c r="M34" s="20">
        <f t="shared" ca="1" si="1"/>
        <v>1.8780906131953108E-5</v>
      </c>
      <c r="N34" s="20">
        <f t="shared" ca="1" si="1"/>
        <v>2.5370007963882784E-5</v>
      </c>
      <c r="O34" s="20">
        <f t="shared" ca="1" si="1"/>
        <v>1.7691370045128637E-5</v>
      </c>
      <c r="P34" s="20">
        <f t="shared" ca="1" si="1"/>
        <v>1.6893009958107556E-5</v>
      </c>
      <c r="Q34" s="20">
        <f t="shared" ca="1" si="1"/>
        <v>3.1634235966763004E-5</v>
      </c>
      <c r="R34" s="20">
        <f t="shared" ca="1" si="1"/>
        <v>-1.504149786707396E-5</v>
      </c>
      <c r="S34" s="20">
        <f t="shared" ca="1" si="1"/>
        <v>2.1479099576411419E-5</v>
      </c>
      <c r="T34" s="20">
        <f t="shared" ca="1" si="1"/>
        <v>3.1517210184133292E-5</v>
      </c>
      <c r="U34" s="20">
        <f t="shared" ca="1" si="1"/>
        <v>-1.6033650172268326E-5</v>
      </c>
      <c r="V34" s="20">
        <f t="shared" ca="1" si="1"/>
        <v>1.8447836442604935E-5</v>
      </c>
      <c r="W34" s="20">
        <f t="shared" ca="1" si="1"/>
        <v>1.4877104979726177E-5</v>
      </c>
      <c r="X34" s="20">
        <f t="shared" ca="1" si="1"/>
        <v>1.2233683312199768E-4</v>
      </c>
      <c r="Y34" s="20">
        <f t="shared" ca="1" si="1"/>
        <v>-1.6934797473040892E-5</v>
      </c>
      <c r="Z34" s="52">
        <f t="shared" ca="1" si="1"/>
        <v>-1.4147593734835453E-5</v>
      </c>
    </row>
    <row r="35" spans="5:34" x14ac:dyDescent="0.25">
      <c r="J35" s="51">
        <v>0.02</v>
      </c>
      <c r="K35" t="str">
        <f ca="1"/>
        <v>GOOGL</v>
      </c>
      <c r="L35" s="20">
        <f t="shared" ca="1" si="1"/>
        <v>5.682395814026506E-5</v>
      </c>
      <c r="M35" s="20">
        <f t="shared" ca="1" si="1"/>
        <v>6.6524064822215916E-5</v>
      </c>
      <c r="N35" s="20">
        <f t="shared" ca="1" si="1"/>
        <v>4.6309244644222254E-6</v>
      </c>
      <c r="O35" s="20">
        <f t="shared" ca="1" si="1"/>
        <v>6.2078589025890953E-5</v>
      </c>
      <c r="P35" s="20">
        <f t="shared" ca="1" si="1"/>
        <v>5.7242219292929239E-7</v>
      </c>
      <c r="Q35" s="20">
        <f t="shared" ca="1" si="1"/>
        <v>-7.1955802625038922E-6</v>
      </c>
      <c r="R35" s="20">
        <f t="shared" ca="1" si="1"/>
        <v>1.1952349859628861E-4</v>
      </c>
      <c r="S35" s="20">
        <f t="shared" ca="1" si="1"/>
        <v>4.3707581252434774E-5</v>
      </c>
      <c r="T35" s="20">
        <f t="shared" ca="1" si="1"/>
        <v>5.39414837714603E-5</v>
      </c>
      <c r="U35" s="20">
        <f t="shared" ca="1" si="1"/>
        <v>2.2434651555278739E-4</v>
      </c>
      <c r="V35" s="20">
        <f t="shared" ca="1" si="1"/>
        <v>6.3539421453595157E-5</v>
      </c>
      <c r="W35" s="20">
        <f t="shared" ca="1" si="1"/>
        <v>2.1395251005665279E-5</v>
      </c>
      <c r="X35" s="20">
        <f t="shared" ca="1" si="1"/>
        <v>-1.6934797473040892E-5</v>
      </c>
      <c r="Y35" s="20">
        <f t="shared" ca="1" si="1"/>
        <v>3.3808170718664264E-4</v>
      </c>
      <c r="Z35" s="52">
        <f t="shared" ca="1" si="1"/>
        <v>1.4046524607073184E-4</v>
      </c>
    </row>
    <row r="36" spans="5:34" ht="15.75" thickBot="1" x14ac:dyDescent="0.3">
      <c r="J36" s="53">
        <v>0.02</v>
      </c>
      <c r="K36" s="54" t="str">
        <f ca="1"/>
        <v>MSFT</v>
      </c>
      <c r="L36" s="55">
        <f t="shared" ca="1" si="1"/>
        <v>5.234216255101021E-5</v>
      </c>
      <c r="M36" s="55">
        <f t="shared" ca="1" si="1"/>
        <v>5.8907048307654843E-5</v>
      </c>
      <c r="N36" s="55">
        <f t="shared" ca="1" si="1"/>
        <v>9.4103640266945639E-6</v>
      </c>
      <c r="O36" s="55">
        <f t="shared" ca="1" si="1"/>
        <v>4.23744959540478E-5</v>
      </c>
      <c r="P36" s="55">
        <f t="shared" ca="1" si="1"/>
        <v>1.2539006100751495E-5</v>
      </c>
      <c r="Q36" s="55">
        <f t="shared" ca="1" si="1"/>
        <v>-3.299824215890947E-6</v>
      </c>
      <c r="R36" s="55">
        <f t="shared" ca="1" si="1"/>
        <v>1.332397153682169E-4</v>
      </c>
      <c r="S36" s="55">
        <f t="shared" ca="1" si="1"/>
        <v>3.5387811517323201E-5</v>
      </c>
      <c r="T36" s="55">
        <f t="shared" ca="1" si="1"/>
        <v>4.6303690757107364E-5</v>
      </c>
      <c r="U36" s="55">
        <f t="shared" ca="1" si="1"/>
        <v>1.8833769250248359E-4</v>
      </c>
      <c r="V36" s="55">
        <f t="shared" ca="1" si="1"/>
        <v>7.7559077042195561E-5</v>
      </c>
      <c r="W36" s="55">
        <f t="shared" ca="1" si="1"/>
        <v>2.7960478676629113E-5</v>
      </c>
      <c r="X36" s="55">
        <f t="shared" ca="1" si="1"/>
        <v>-1.4147593734835453E-5</v>
      </c>
      <c r="Y36" s="55">
        <f t="shared" ca="1" si="1"/>
        <v>1.4046524607073184E-4</v>
      </c>
      <c r="Z36" s="56">
        <f t="shared" ca="1" si="1"/>
        <v>2.0357900439259261E-4</v>
      </c>
    </row>
    <row r="37" spans="5:34" x14ac:dyDescent="0.25">
      <c r="L37" s="4"/>
    </row>
    <row r="38" spans="5:34" x14ac:dyDescent="0.25">
      <c r="E38" t="s">
        <v>25</v>
      </c>
      <c r="G38" s="26">
        <v>9.7500000000000003E-2</v>
      </c>
      <c r="K38" s="2" t="s">
        <v>10</v>
      </c>
      <c r="L38" s="4" cm="1">
        <f t="array" ref="L38:Z38">TRANSPOSE(the.weights)</f>
        <v>0.2</v>
      </c>
      <c r="M38" s="4">
        <v>0.2</v>
      </c>
      <c r="N38" s="4">
        <v>0.02</v>
      </c>
      <c r="O38" s="4">
        <v>0.02</v>
      </c>
      <c r="P38" s="4">
        <v>0.02</v>
      </c>
      <c r="Q38" s="4">
        <v>0.02</v>
      </c>
      <c r="R38" s="4">
        <v>0.2</v>
      </c>
      <c r="S38" s="4">
        <v>0.02</v>
      </c>
      <c r="T38" s="4">
        <v>0.02</v>
      </c>
      <c r="U38" s="4">
        <v>0.14026851205978846</v>
      </c>
      <c r="V38" s="4">
        <v>5.9731487940211332E-2</v>
      </c>
      <c r="W38" s="4">
        <v>0.02</v>
      </c>
      <c r="X38" s="4">
        <v>0.02</v>
      </c>
      <c r="Y38" s="4">
        <v>0.02</v>
      </c>
      <c r="Z38" s="4">
        <v>0.02</v>
      </c>
    </row>
    <row r="39" spans="5:34" x14ac:dyDescent="0.25">
      <c r="E39" t="s">
        <v>26</v>
      </c>
      <c r="G39" s="28">
        <v>0.2</v>
      </c>
      <c r="K39" t="s">
        <v>17</v>
      </c>
      <c r="L39" s="22">
        <f ca="1">SUMPRODUCT(_xlfn.ANCHORARRAY($J$22),L22:L36)</f>
        <v>1.5369180108572433E-4</v>
      </c>
      <c r="M39" s="22">
        <f t="shared" ref="M39:Z39" ca="1" si="2">SUMPRODUCT(_xlfn.ANCHORARRAY($J$22),M22:M36)</f>
        <v>1.5355312672509145E-4</v>
      </c>
      <c r="N39" s="22">
        <f t="shared" ca="1" si="2"/>
        <v>6.4091294487493348E-6</v>
      </c>
      <c r="O39" s="22">
        <f t="shared" ca="1" si="2"/>
        <v>5.931051337073801E-5</v>
      </c>
      <c r="P39" s="22">
        <f t="shared" ca="1" si="2"/>
        <v>3.7357392623629324E-6</v>
      </c>
      <c r="Q39" s="22">
        <f t="shared" ca="1" si="2"/>
        <v>1.0600330816187461E-5</v>
      </c>
      <c r="R39" s="22">
        <f t="shared" ca="1" si="2"/>
        <v>1.9855213763546962E-4</v>
      </c>
      <c r="S39" s="22">
        <f t="shared" ca="1" si="2"/>
        <v>6.9473683603870007E-5</v>
      </c>
      <c r="T39" s="22">
        <f t="shared" ca="1" si="2"/>
        <v>1.2301756115605357E-4</v>
      </c>
      <c r="U39" s="22">
        <f t="shared" ca="1" si="2"/>
        <v>1.8220034612523311E-4</v>
      </c>
      <c r="V39" s="22">
        <f t="shared" ca="1" si="2"/>
        <v>1.5326670042653672E-4</v>
      </c>
      <c r="W39" s="22">
        <f t="shared" ca="1" si="2"/>
        <v>4.1352061344944959E-5</v>
      </c>
      <c r="X39" s="22">
        <f t="shared" ca="1" si="2"/>
        <v>9.6355594677923656E-6</v>
      </c>
      <c r="Y39" s="22">
        <f t="shared" ca="1" si="2"/>
        <v>9.6653216965117677E-5</v>
      </c>
      <c r="Z39" s="22">
        <f t="shared" ca="1" si="2"/>
        <v>8.9959805803376604E-5</v>
      </c>
    </row>
    <row r="40" spans="5:34" x14ac:dyDescent="0.25">
      <c r="K40" s="2" t="s">
        <v>18</v>
      </c>
      <c r="L40" s="22">
        <f ca="1">L39*L38</f>
        <v>3.0738360217144866E-5</v>
      </c>
      <c r="M40" s="22">
        <f t="shared" ref="M40:Z40" ca="1" si="3">M39*M38</f>
        <v>3.071062534501829E-5</v>
      </c>
      <c r="N40" s="22">
        <f t="shared" ca="1" si="3"/>
        <v>1.2818258897498669E-7</v>
      </c>
      <c r="O40" s="22">
        <f t="shared" ca="1" si="3"/>
        <v>1.1862102674147603E-6</v>
      </c>
      <c r="P40" s="22">
        <f t="shared" ca="1" si="3"/>
        <v>7.471478524725865E-8</v>
      </c>
      <c r="Q40" s="22">
        <f t="shared" ca="1" si="3"/>
        <v>2.1200661632374924E-7</v>
      </c>
      <c r="R40" s="22">
        <f t="shared" ca="1" si="3"/>
        <v>3.9710427527093925E-5</v>
      </c>
      <c r="S40" s="22">
        <f t="shared" ca="1" si="3"/>
        <v>1.3894736720774002E-6</v>
      </c>
      <c r="T40" s="22">
        <f t="shared" ca="1" si="3"/>
        <v>2.4603512231210715E-6</v>
      </c>
      <c r="U40" s="22">
        <f t="shared" ca="1" si="3"/>
        <v>2.5556971447764892E-5</v>
      </c>
      <c r="V40" s="22">
        <f t="shared" ca="1" si="3"/>
        <v>9.1548480681636606E-6</v>
      </c>
      <c r="W40" s="22">
        <f t="shared" ca="1" si="3"/>
        <v>8.2704122689889924E-7</v>
      </c>
      <c r="X40" s="22">
        <f t="shared" ca="1" si="3"/>
        <v>1.9271118935584731E-7</v>
      </c>
      <c r="Y40" s="22">
        <f t="shared" ca="1" si="3"/>
        <v>1.9330643393023536E-6</v>
      </c>
      <c r="Z40" s="22">
        <f t="shared" ca="1" si="3"/>
        <v>1.7991961160675322E-6</v>
      </c>
    </row>
    <row r="41" spans="5:34" x14ac:dyDescent="0.25">
      <c r="K41" s="23" t="s">
        <v>19</v>
      </c>
      <c r="L41" s="21">
        <f ca="1">SUM(L40:Z40)</f>
        <v>1.4607418462996949E-4</v>
      </c>
    </row>
    <row r="42" spans="5:34" ht="15.75" thickBot="1" x14ac:dyDescent="0.3">
      <c r="K42" s="2" t="s">
        <v>20</v>
      </c>
      <c r="L42" s="4">
        <f ca="1">SQRT(L41)</f>
        <v>1.2086115365574229E-2</v>
      </c>
    </row>
    <row r="43" spans="5:34" ht="15.75" thickBot="1" x14ac:dyDescent="0.3">
      <c r="E43" t="s">
        <v>23</v>
      </c>
      <c r="G43" s="29">
        <v>0.193</v>
      </c>
      <c r="L43" s="4"/>
    </row>
    <row r="44" spans="5:34" x14ac:dyDescent="0.25">
      <c r="L44" s="59" t="s">
        <v>27</v>
      </c>
      <c r="M44" s="60"/>
      <c r="N44" s="60"/>
      <c r="O44" s="60"/>
      <c r="P44" s="60"/>
      <c r="Q44" s="60"/>
      <c r="R44" s="60"/>
      <c r="S44" s="60"/>
      <c r="T44" s="60"/>
      <c r="U44" s="60"/>
      <c r="V44" s="60"/>
      <c r="W44" s="60"/>
      <c r="X44" s="60"/>
      <c r="Y44" s="60"/>
      <c r="Z44" s="60"/>
      <c r="AA44" s="61"/>
    </row>
    <row r="45" spans="5:34" x14ac:dyDescent="0.25">
      <c r="E45" t="s">
        <v>24</v>
      </c>
      <c r="G45" s="33">
        <f ca="1">portfolio.return</f>
        <v>0.50623131116322129</v>
      </c>
      <c r="H45" s="33">
        <v>0.55866305679244432</v>
      </c>
      <c r="L45" s="34">
        <v>0.55866305679244432</v>
      </c>
      <c r="M45" s="35">
        <v>0.36437880788222993</v>
      </c>
      <c r="N45" s="35">
        <v>0.50623131116322129</v>
      </c>
      <c r="O45" s="35">
        <v>0.21588035050706991</v>
      </c>
      <c r="P45" s="35">
        <v>0.16726130107720488</v>
      </c>
      <c r="Q45" s="35">
        <v>0.10341859407081176</v>
      </c>
      <c r="R45" s="35">
        <v>9.4133950527936494E-2</v>
      </c>
      <c r="S45" s="35">
        <v>0.1375130319001904</v>
      </c>
      <c r="T45" s="36">
        <v>0.58850105912205908</v>
      </c>
      <c r="U45" s="36">
        <v>0.59145102676470618</v>
      </c>
      <c r="V45" s="36">
        <v>0.58158788959688879</v>
      </c>
      <c r="W45" s="36">
        <v>0.52559841111635974</v>
      </c>
      <c r="X45" s="36">
        <v>0.46818768645868825</v>
      </c>
      <c r="Y45" s="36">
        <v>0.39543177240566818</v>
      </c>
      <c r="Z45" s="36">
        <v>0.29564418146544003</v>
      </c>
      <c r="AA45" s="37">
        <v>0.18140918947458687</v>
      </c>
      <c r="AB45" s="31"/>
      <c r="AC45" s="31"/>
      <c r="AD45" s="31"/>
      <c r="AE45" s="31"/>
      <c r="AF45" s="31"/>
      <c r="AH45" s="31"/>
    </row>
    <row r="46" spans="5:34" x14ac:dyDescent="0.25">
      <c r="E46" t="s">
        <v>14</v>
      </c>
      <c r="G46" s="33">
        <f ca="1">portfolio.risk</f>
        <v>0.19299978518289135</v>
      </c>
      <c r="H46" s="33">
        <v>0.20499979193248413</v>
      </c>
      <c r="L46" s="38">
        <v>0.20499979193248413</v>
      </c>
      <c r="M46" s="39">
        <v>0.2000006028478111</v>
      </c>
      <c r="N46" s="39">
        <v>0.19299978518289135</v>
      </c>
      <c r="O46" s="39">
        <v>0.17000021572751831</v>
      </c>
      <c r="P46" s="39">
        <v>0.15000009896409078</v>
      </c>
      <c r="Q46" s="39">
        <v>0.13000095899599756</v>
      </c>
      <c r="R46" s="39">
        <v>0.10999950507473696</v>
      </c>
      <c r="S46" s="39">
        <v>9.750099865658296E-2</v>
      </c>
      <c r="T46" s="40">
        <v>0.20499941192068444</v>
      </c>
      <c r="U46" s="40">
        <v>0.1999994008676364</v>
      </c>
      <c r="V46" s="40">
        <v>0.1929998917221615</v>
      </c>
      <c r="W46" s="40">
        <v>0.17000020962026566</v>
      </c>
      <c r="X46" s="40">
        <v>0.15000076576012294</v>
      </c>
      <c r="Y46" s="40">
        <v>0.13000099711241178</v>
      </c>
      <c r="Z46" s="40">
        <v>0.1100008520415371</v>
      </c>
      <c r="AA46" s="41">
        <v>9.7500943708693708E-2</v>
      </c>
      <c r="AB46" s="57"/>
      <c r="AC46" s="57"/>
      <c r="AD46" s="57"/>
      <c r="AE46" s="31"/>
      <c r="AF46" s="31"/>
      <c r="AG46" s="27"/>
      <c r="AH46" s="31"/>
    </row>
    <row r="47" spans="5:34" x14ac:dyDescent="0.25">
      <c r="L47" s="11"/>
      <c r="AA47" s="42"/>
      <c r="AB47" s="32"/>
      <c r="AC47" s="32"/>
      <c r="AD47" s="32"/>
      <c r="AE47" s="32"/>
      <c r="AF47" s="32"/>
      <c r="AH47" s="32"/>
    </row>
    <row r="48" spans="5:34" x14ac:dyDescent="0.25">
      <c r="E48" t="s">
        <v>10</v>
      </c>
      <c r="G48" s="30" cm="1">
        <f t="array" ref="G48:G62">the.weights</f>
        <v>0.2</v>
      </c>
      <c r="H48" s="30">
        <v>0.2</v>
      </c>
      <c r="L48" s="43">
        <v>0.2</v>
      </c>
      <c r="M48" s="44">
        <v>0.2</v>
      </c>
      <c r="N48" s="44">
        <v>0.2</v>
      </c>
      <c r="O48" s="44">
        <v>0.02</v>
      </c>
      <c r="P48" s="44">
        <v>0.02</v>
      </c>
      <c r="Q48" s="44">
        <v>0.02</v>
      </c>
      <c r="R48" s="44">
        <v>0.02</v>
      </c>
      <c r="S48" s="44">
        <v>0.02</v>
      </c>
      <c r="T48" s="44">
        <v>0.2</v>
      </c>
      <c r="U48" s="44">
        <v>0.2</v>
      </c>
      <c r="V48" s="44">
        <v>0.2</v>
      </c>
      <c r="W48" s="44">
        <v>0.17323778744717891</v>
      </c>
      <c r="X48" s="44">
        <v>0.13173144732099634</v>
      </c>
      <c r="Y48" s="44">
        <v>7.5642019826742374E-2</v>
      </c>
      <c r="Z48" s="44">
        <v>4.5405604453015537E-2</v>
      </c>
      <c r="AA48" s="45">
        <v>1.9999000000000003E-2</v>
      </c>
      <c r="AB48" s="31"/>
      <c r="AC48" s="31"/>
      <c r="AD48" s="31"/>
      <c r="AE48" s="31"/>
      <c r="AF48" s="31"/>
      <c r="AH48" s="31"/>
    </row>
    <row r="49" spans="7:34" x14ac:dyDescent="0.25">
      <c r="G49" s="30">
        <v>0.2</v>
      </c>
      <c r="H49" s="30">
        <v>0.02</v>
      </c>
      <c r="L49" s="43">
        <v>0.02</v>
      </c>
      <c r="M49" s="44">
        <v>0.2</v>
      </c>
      <c r="N49" s="44">
        <v>0.2</v>
      </c>
      <c r="O49" s="44">
        <v>9.2647746445725238E-2</v>
      </c>
      <c r="P49" s="44">
        <v>0.02</v>
      </c>
      <c r="Q49" s="44">
        <v>0.02</v>
      </c>
      <c r="R49" s="44">
        <v>0.02</v>
      </c>
      <c r="S49" s="44">
        <v>0.02</v>
      </c>
      <c r="T49" s="44">
        <v>0.02</v>
      </c>
      <c r="U49" s="44">
        <v>0.02</v>
      </c>
      <c r="V49" s="44">
        <v>0.02</v>
      </c>
      <c r="W49" s="44">
        <v>0.02</v>
      </c>
      <c r="X49" s="44">
        <v>0.02</v>
      </c>
      <c r="Y49" s="44">
        <v>0.02</v>
      </c>
      <c r="Z49" s="44">
        <v>0.02</v>
      </c>
      <c r="AA49" s="45">
        <v>0.02</v>
      </c>
      <c r="AB49" s="31"/>
      <c r="AC49" s="31"/>
      <c r="AD49" s="31"/>
      <c r="AE49" s="31"/>
      <c r="AF49" s="31"/>
      <c r="AH49" s="31"/>
    </row>
    <row r="50" spans="7:34" x14ac:dyDescent="0.25">
      <c r="G50" s="30">
        <v>0.02</v>
      </c>
      <c r="H50" s="30">
        <v>0.02</v>
      </c>
      <c r="L50" s="43">
        <v>0.02</v>
      </c>
      <c r="M50" s="44">
        <v>0.02</v>
      </c>
      <c r="N50" s="44">
        <v>0.02</v>
      </c>
      <c r="O50" s="44">
        <v>0.02</v>
      </c>
      <c r="P50" s="44">
        <v>0.02</v>
      </c>
      <c r="Q50" s="44">
        <v>0.02</v>
      </c>
      <c r="R50" s="44">
        <v>0.2</v>
      </c>
      <c r="S50" s="44">
        <v>0.2</v>
      </c>
      <c r="T50" s="44">
        <v>0.02</v>
      </c>
      <c r="U50" s="44">
        <v>0.02</v>
      </c>
      <c r="V50" s="44">
        <v>0.02</v>
      </c>
      <c r="W50" s="44">
        <v>0.02</v>
      </c>
      <c r="X50" s="44">
        <v>2.3246110119409743E-2</v>
      </c>
      <c r="Y50" s="44">
        <v>0.12409926133867877</v>
      </c>
      <c r="Z50" s="44">
        <v>0.19805311321741076</v>
      </c>
      <c r="AA50" s="45">
        <v>0.2</v>
      </c>
      <c r="AB50" s="31"/>
      <c r="AC50" s="31"/>
      <c r="AD50" s="31"/>
      <c r="AE50" s="31"/>
      <c r="AF50" s="31"/>
      <c r="AH50" s="31"/>
    </row>
    <row r="51" spans="7:34" x14ac:dyDescent="0.25">
      <c r="G51" s="30">
        <v>0.02</v>
      </c>
      <c r="H51" s="30">
        <v>0.02</v>
      </c>
      <c r="L51" s="43">
        <v>0.02</v>
      </c>
      <c r="M51" s="44">
        <v>0.02</v>
      </c>
      <c r="N51" s="44">
        <v>0.02</v>
      </c>
      <c r="O51" s="44">
        <v>0.2</v>
      </c>
      <c r="P51" s="44">
        <v>0.2</v>
      </c>
      <c r="Q51" s="44">
        <v>0.2</v>
      </c>
      <c r="R51" s="44">
        <v>0.02</v>
      </c>
      <c r="S51" s="44">
        <v>0.02</v>
      </c>
      <c r="T51" s="44">
        <v>0.02</v>
      </c>
      <c r="U51" s="44">
        <v>0.02</v>
      </c>
      <c r="V51" s="44">
        <v>0.02</v>
      </c>
      <c r="W51" s="44">
        <v>0.02</v>
      </c>
      <c r="X51" s="44">
        <v>0.02</v>
      </c>
      <c r="Y51" s="44">
        <v>0.02</v>
      </c>
      <c r="Z51" s="44">
        <v>0.02</v>
      </c>
      <c r="AA51" s="45">
        <v>0.02</v>
      </c>
      <c r="AB51" s="31"/>
      <c r="AC51" s="31"/>
      <c r="AD51" s="31"/>
      <c r="AE51" s="31"/>
      <c r="AF51" s="31"/>
      <c r="AH51" s="31"/>
    </row>
    <row r="52" spans="7:34" x14ac:dyDescent="0.25">
      <c r="G52" s="30">
        <v>0.02</v>
      </c>
      <c r="H52" s="30">
        <v>0.02</v>
      </c>
      <c r="L52" s="43">
        <v>0.02</v>
      </c>
      <c r="M52" s="44">
        <v>0.02</v>
      </c>
      <c r="N52" s="44">
        <v>0.02</v>
      </c>
      <c r="O52" s="44">
        <v>0.02</v>
      </c>
      <c r="P52" s="44">
        <v>0.02</v>
      </c>
      <c r="Q52" s="44">
        <v>0.02</v>
      </c>
      <c r="R52" s="44">
        <v>0.02</v>
      </c>
      <c r="S52" s="44">
        <v>0.2</v>
      </c>
      <c r="T52" s="44">
        <v>0.02</v>
      </c>
      <c r="U52" s="44">
        <v>0.02</v>
      </c>
      <c r="V52" s="44">
        <v>3.2437545435221038E-2</v>
      </c>
      <c r="W52" s="44">
        <v>0.15524231361667382</v>
      </c>
      <c r="X52" s="44">
        <v>0.2</v>
      </c>
      <c r="Y52" s="44">
        <v>0.2</v>
      </c>
      <c r="Z52" s="44">
        <v>0.2</v>
      </c>
      <c r="AA52" s="45">
        <v>0.2</v>
      </c>
      <c r="AB52" s="31"/>
      <c r="AC52" s="31"/>
      <c r="AD52" s="31"/>
      <c r="AE52" s="31"/>
      <c r="AF52" s="31"/>
      <c r="AH52" s="31"/>
    </row>
    <row r="53" spans="7:34" x14ac:dyDescent="0.25">
      <c r="G53" s="30">
        <v>0.02</v>
      </c>
      <c r="H53" s="30">
        <v>0.02</v>
      </c>
      <c r="L53" s="43">
        <v>0.02</v>
      </c>
      <c r="M53" s="44">
        <v>0.02</v>
      </c>
      <c r="N53" s="44">
        <v>0.02</v>
      </c>
      <c r="O53" s="44">
        <v>0.02</v>
      </c>
      <c r="P53" s="44">
        <v>6.0308122735970755E-2</v>
      </c>
      <c r="Q53" s="44">
        <v>0.1763868935507743</v>
      </c>
      <c r="R53" s="44">
        <v>0.2</v>
      </c>
      <c r="S53" s="44">
        <v>0.1006324056478182</v>
      </c>
      <c r="T53" s="44">
        <v>0.02</v>
      </c>
      <c r="U53" s="44">
        <v>0.02</v>
      </c>
      <c r="V53" s="44">
        <v>0.02</v>
      </c>
      <c r="W53" s="44">
        <v>0.02</v>
      </c>
      <c r="X53" s="44">
        <v>0.02</v>
      </c>
      <c r="Y53" s="44">
        <v>0.02</v>
      </c>
      <c r="Z53" s="44">
        <v>0.02</v>
      </c>
      <c r="AA53" s="45">
        <v>5.9126383527141106E-2</v>
      </c>
      <c r="AB53" s="31"/>
      <c r="AC53" s="31"/>
      <c r="AD53" s="31"/>
      <c r="AE53" s="31"/>
      <c r="AF53" s="31"/>
      <c r="AH53" s="31"/>
    </row>
    <row r="54" spans="7:34" x14ac:dyDescent="0.25">
      <c r="G54" s="30">
        <v>0.2</v>
      </c>
      <c r="H54" s="30">
        <v>0.2</v>
      </c>
      <c r="L54" s="43">
        <v>0.2</v>
      </c>
      <c r="M54" s="44">
        <v>0.02</v>
      </c>
      <c r="N54" s="44">
        <v>0.2</v>
      </c>
      <c r="O54" s="44">
        <v>0.02</v>
      </c>
      <c r="P54" s="44">
        <v>0.02</v>
      </c>
      <c r="Q54" s="44">
        <v>0.02</v>
      </c>
      <c r="R54" s="44">
        <v>0.02</v>
      </c>
      <c r="S54" s="44">
        <v>2.6823851808784507E-2</v>
      </c>
      <c r="T54" s="44">
        <v>0.2</v>
      </c>
      <c r="U54" s="44">
        <v>0.2</v>
      </c>
      <c r="V54" s="44">
        <v>0.19162063043485014</v>
      </c>
      <c r="W54" s="44">
        <v>0.15148021503459777</v>
      </c>
      <c r="X54" s="44">
        <v>0.11823865070404249</v>
      </c>
      <c r="Y54" s="44">
        <v>8.3756812500905636E-2</v>
      </c>
      <c r="Z54" s="44">
        <v>7.7694322850465139E-2</v>
      </c>
      <c r="AA54" s="45">
        <v>6.1424601572572013E-2</v>
      </c>
      <c r="AB54" s="31"/>
      <c r="AC54" s="31"/>
      <c r="AD54" s="31"/>
      <c r="AE54" s="31"/>
      <c r="AF54" s="31"/>
      <c r="AH54" s="31"/>
    </row>
    <row r="55" spans="7:34" x14ac:dyDescent="0.25">
      <c r="G55" s="30">
        <v>0.02</v>
      </c>
      <c r="H55" s="30">
        <v>0.02</v>
      </c>
      <c r="L55" s="43">
        <v>0.02</v>
      </c>
      <c r="M55" s="44">
        <v>8.0702095554324407E-2</v>
      </c>
      <c r="N55" s="44">
        <v>0.02</v>
      </c>
      <c r="O55" s="44">
        <v>0.2</v>
      </c>
      <c r="P55" s="44">
        <v>0.2</v>
      </c>
      <c r="Q55" s="44">
        <v>0.2</v>
      </c>
      <c r="R55" s="44">
        <v>8.428146539290679E-2</v>
      </c>
      <c r="S55" s="44">
        <v>2.6567087218154293E-2</v>
      </c>
      <c r="T55" s="44">
        <v>0.02</v>
      </c>
      <c r="U55" s="44">
        <v>0.02</v>
      </c>
      <c r="V55" s="44">
        <v>0.02</v>
      </c>
      <c r="W55" s="44">
        <v>0.02</v>
      </c>
      <c r="X55" s="44">
        <v>0.02</v>
      </c>
      <c r="Y55" s="44">
        <v>0.02</v>
      </c>
      <c r="Z55" s="44">
        <v>0.02</v>
      </c>
      <c r="AA55" s="45">
        <v>0.02</v>
      </c>
      <c r="AB55" s="31"/>
      <c r="AC55" s="31"/>
      <c r="AD55" s="31"/>
      <c r="AE55" s="31"/>
      <c r="AF55" s="31"/>
      <c r="AH55" s="31"/>
    </row>
    <row r="56" spans="7:34" x14ac:dyDescent="0.25">
      <c r="G56" s="30">
        <v>0.02</v>
      </c>
      <c r="H56" s="30">
        <v>0.2</v>
      </c>
      <c r="L56" s="43">
        <v>0.2</v>
      </c>
      <c r="M56" s="44">
        <v>0.2</v>
      </c>
      <c r="N56" s="44">
        <v>0.02</v>
      </c>
      <c r="O56" s="44">
        <v>0.2</v>
      </c>
      <c r="P56" s="44">
        <v>0.13969187726402921</v>
      </c>
      <c r="Q56" s="44">
        <v>2.3613106449225631E-2</v>
      </c>
      <c r="R56" s="44">
        <v>0.02</v>
      </c>
      <c r="S56" s="44">
        <v>1.9999000000000003E-2</v>
      </c>
      <c r="T56" s="44">
        <v>0.17727234765885658</v>
      </c>
      <c r="U56" s="44">
        <v>3.4846619729081686E-2</v>
      </c>
      <c r="V56" s="44">
        <v>4.9652641582329224E-2</v>
      </c>
      <c r="W56" s="44">
        <v>4.1078995246154618E-2</v>
      </c>
      <c r="X56" s="44">
        <v>3.3419204318551513E-2</v>
      </c>
      <c r="Y56" s="44">
        <v>2.3552187299168564E-2</v>
      </c>
      <c r="Z56" s="44">
        <v>0.02</v>
      </c>
      <c r="AA56" s="45">
        <v>0.02</v>
      </c>
      <c r="AB56" s="31"/>
      <c r="AC56" s="31"/>
      <c r="AD56" s="31"/>
      <c r="AE56" s="31"/>
      <c r="AF56" s="31"/>
      <c r="AH56" s="31"/>
    </row>
    <row r="57" spans="7:34" x14ac:dyDescent="0.25">
      <c r="G57" s="30">
        <v>0.14026851205978846</v>
      </c>
      <c r="H57" s="30">
        <v>0.15592827453748287</v>
      </c>
      <c r="L57" s="43">
        <v>0.15592827453748287</v>
      </c>
      <c r="M57" s="44">
        <v>0.02</v>
      </c>
      <c r="N57" s="44">
        <v>0.14026851205978846</v>
      </c>
      <c r="O57" s="44">
        <v>0.02</v>
      </c>
      <c r="P57" s="44">
        <v>0.02</v>
      </c>
      <c r="Q57" s="44">
        <v>0.02</v>
      </c>
      <c r="R57" s="44">
        <v>0.02</v>
      </c>
      <c r="S57" s="44">
        <v>0.02</v>
      </c>
      <c r="T57" s="44">
        <v>0.2</v>
      </c>
      <c r="U57" s="44">
        <v>0.2</v>
      </c>
      <c r="V57" s="44">
        <v>0.2</v>
      </c>
      <c r="W57" s="44">
        <v>0.2</v>
      </c>
      <c r="X57" s="44">
        <v>0.2</v>
      </c>
      <c r="Y57" s="44">
        <v>0.19699504723502786</v>
      </c>
      <c r="Z57" s="44">
        <v>0.11948090070584494</v>
      </c>
      <c r="AA57" s="45">
        <v>2.3816346165073343E-2</v>
      </c>
      <c r="AB57" s="31"/>
      <c r="AC57" s="31"/>
      <c r="AD57" s="31"/>
      <c r="AE57" s="31"/>
      <c r="AF57" s="31"/>
      <c r="AH57" s="31"/>
    </row>
    <row r="58" spans="7:34" x14ac:dyDescent="0.25">
      <c r="G58" s="30">
        <v>5.9731487940211332E-2</v>
      </c>
      <c r="H58" s="30">
        <v>4.4071725462517156E-2</v>
      </c>
      <c r="L58" s="43">
        <v>4.4071725462517156E-2</v>
      </c>
      <c r="M58" s="44">
        <v>0.11929790444567542</v>
      </c>
      <c r="N58" s="44">
        <v>5.9731487940211332E-2</v>
      </c>
      <c r="O58" s="44">
        <v>0.02</v>
      </c>
      <c r="P58" s="44">
        <v>0.02</v>
      </c>
      <c r="Q58" s="44">
        <v>0.02</v>
      </c>
      <c r="R58" s="44">
        <v>0.02</v>
      </c>
      <c r="S58" s="44">
        <v>0.02</v>
      </c>
      <c r="T58" s="44">
        <v>2.2727652341143302E-2</v>
      </c>
      <c r="U58" s="44">
        <v>0.15231999592809495</v>
      </c>
      <c r="V58" s="44">
        <v>5.8196162412607527E-2</v>
      </c>
      <c r="W58" s="44">
        <v>4.1285719279914451E-2</v>
      </c>
      <c r="X58" s="44">
        <v>2.7607236037121844E-2</v>
      </c>
      <c r="Y58" s="44">
        <v>0.02</v>
      </c>
      <c r="Z58" s="44">
        <v>0.02</v>
      </c>
      <c r="AA58" s="45">
        <v>0.02</v>
      </c>
      <c r="AB58" s="31"/>
      <c r="AC58" s="31"/>
      <c r="AD58" s="31"/>
      <c r="AE58" s="31"/>
      <c r="AF58" s="31"/>
      <c r="AH58" s="31"/>
    </row>
    <row r="59" spans="7:34" x14ac:dyDescent="0.25">
      <c r="G59" s="30">
        <v>0.02</v>
      </c>
      <c r="H59" s="30">
        <v>0.02</v>
      </c>
      <c r="L59" s="43">
        <v>0.02</v>
      </c>
      <c r="M59" s="44">
        <v>2.0000000000000004E-2</v>
      </c>
      <c r="N59" s="44">
        <v>0.02</v>
      </c>
      <c r="O59" s="44">
        <v>0.10735225355427468</v>
      </c>
      <c r="P59" s="44">
        <v>0.2</v>
      </c>
      <c r="Q59" s="44">
        <v>0.2</v>
      </c>
      <c r="R59" s="44">
        <v>0.2</v>
      </c>
      <c r="S59" s="44">
        <v>4.1176254450591143E-2</v>
      </c>
      <c r="T59" s="44">
        <v>0.02</v>
      </c>
      <c r="U59" s="44">
        <v>0.02</v>
      </c>
      <c r="V59" s="44">
        <v>0.02</v>
      </c>
      <c r="W59" s="44">
        <v>0.02</v>
      </c>
      <c r="X59" s="44">
        <v>0.02</v>
      </c>
      <c r="Y59" s="44">
        <v>0.02</v>
      </c>
      <c r="Z59" s="44">
        <v>0.02</v>
      </c>
      <c r="AA59" s="45">
        <v>0.02</v>
      </c>
      <c r="AB59" s="31"/>
      <c r="AC59" s="31"/>
      <c r="AD59" s="31"/>
      <c r="AE59" s="31"/>
      <c r="AF59" s="31"/>
      <c r="AH59" s="31"/>
    </row>
    <row r="60" spans="7:34" x14ac:dyDescent="0.25">
      <c r="G60" s="30">
        <v>0.02</v>
      </c>
      <c r="H60" s="30">
        <v>0.02</v>
      </c>
      <c r="L60" s="43">
        <v>0.02</v>
      </c>
      <c r="M60" s="44">
        <v>0.02</v>
      </c>
      <c r="N60" s="44">
        <v>0.02</v>
      </c>
      <c r="O60" s="44">
        <v>0.02</v>
      </c>
      <c r="P60" s="44">
        <v>0.02</v>
      </c>
      <c r="Q60" s="44">
        <v>0.02</v>
      </c>
      <c r="R60" s="44">
        <v>0.11571853460709319</v>
      </c>
      <c r="S60" s="44">
        <v>0.2</v>
      </c>
      <c r="T60" s="44">
        <v>0.02</v>
      </c>
      <c r="U60" s="44">
        <v>0.02</v>
      </c>
      <c r="V60" s="44">
        <v>0.02</v>
      </c>
      <c r="W60" s="44">
        <v>0.02</v>
      </c>
      <c r="X60" s="44">
        <v>9.2657611147182878E-2</v>
      </c>
      <c r="Y60" s="44">
        <v>0.13595467179947673</v>
      </c>
      <c r="Z60" s="44">
        <v>0.16301229108801807</v>
      </c>
      <c r="AA60" s="45">
        <v>0.2</v>
      </c>
      <c r="AB60" s="31"/>
      <c r="AC60" s="31"/>
      <c r="AD60" s="31"/>
      <c r="AE60" s="31"/>
      <c r="AF60" s="31"/>
      <c r="AH60" s="31"/>
    </row>
    <row r="61" spans="7:34" x14ac:dyDescent="0.25">
      <c r="G61" s="30">
        <v>0.02</v>
      </c>
      <c r="H61" s="30">
        <v>0.02</v>
      </c>
      <c r="L61" s="43">
        <v>0.02</v>
      </c>
      <c r="M61" s="44">
        <v>0.02</v>
      </c>
      <c r="N61" s="44">
        <v>0.02</v>
      </c>
      <c r="O61" s="44">
        <v>0.02</v>
      </c>
      <c r="P61" s="44">
        <v>0.02</v>
      </c>
      <c r="Q61" s="44">
        <v>0.02</v>
      </c>
      <c r="R61" s="44">
        <v>0.02</v>
      </c>
      <c r="S61" s="44">
        <v>2.3556674737396983E-2</v>
      </c>
      <c r="T61" s="44">
        <v>0.02</v>
      </c>
      <c r="U61" s="44">
        <v>3.2833384342823242E-2</v>
      </c>
      <c r="V61" s="44">
        <v>0.10809302013499197</v>
      </c>
      <c r="W61" s="44">
        <v>7.7674969375480366E-2</v>
      </c>
      <c r="X61" s="44">
        <v>5.3099740352695206E-2</v>
      </c>
      <c r="Y61" s="44">
        <v>0.02</v>
      </c>
      <c r="Z61" s="44">
        <v>3.6353767685245522E-2</v>
      </c>
      <c r="AA61" s="45">
        <v>5.0974958786175265E-2</v>
      </c>
      <c r="AB61" s="31"/>
      <c r="AC61" s="31"/>
      <c r="AD61" s="31"/>
      <c r="AE61" s="31"/>
      <c r="AF61" s="31"/>
      <c r="AH61" s="31"/>
    </row>
    <row r="62" spans="7:34" ht="15.75" thickBot="1" x14ac:dyDescent="0.3">
      <c r="G62" s="30">
        <v>0.02</v>
      </c>
      <c r="H62" s="30">
        <v>0.02</v>
      </c>
      <c r="L62" s="46">
        <v>0.02</v>
      </c>
      <c r="M62" s="47">
        <v>0.02</v>
      </c>
      <c r="N62" s="47">
        <v>0.02</v>
      </c>
      <c r="O62" s="47">
        <v>0.02</v>
      </c>
      <c r="P62" s="47">
        <v>0.02</v>
      </c>
      <c r="Q62" s="47">
        <v>0.02</v>
      </c>
      <c r="R62" s="47">
        <v>0.02</v>
      </c>
      <c r="S62" s="47">
        <v>6.1244726137254776E-2</v>
      </c>
      <c r="T62" s="47">
        <v>0.02</v>
      </c>
      <c r="U62" s="47">
        <v>0.02</v>
      </c>
      <c r="V62" s="47">
        <v>0.02</v>
      </c>
      <c r="W62" s="47">
        <v>0.02</v>
      </c>
      <c r="X62" s="47">
        <v>0.02</v>
      </c>
      <c r="Y62" s="47">
        <v>0.02</v>
      </c>
      <c r="Z62" s="47">
        <v>0.02</v>
      </c>
      <c r="AA62" s="48">
        <v>6.4658709949038287E-2</v>
      </c>
      <c r="AB62" s="31"/>
      <c r="AC62" s="31"/>
      <c r="AD62" s="31"/>
      <c r="AE62" s="31"/>
      <c r="AF62" s="31"/>
      <c r="AH62" s="31"/>
    </row>
    <row r="63" spans="7:34" x14ac:dyDescent="0.25">
      <c r="L63" s="4"/>
    </row>
    <row r="64" spans="7:34" x14ac:dyDescent="0.25">
      <c r="L64" s="4"/>
    </row>
    <row r="65" spans="12:12" x14ac:dyDescent="0.25">
      <c r="L65" s="4"/>
    </row>
    <row r="66" spans="12:12" x14ac:dyDescent="0.25">
      <c r="L66" s="4"/>
    </row>
    <row r="67" spans="12:12" x14ac:dyDescent="0.25">
      <c r="L67" s="4"/>
    </row>
    <row r="68" spans="12:12" x14ac:dyDescent="0.25">
      <c r="L68" s="4"/>
    </row>
    <row r="69" spans="12:12" x14ac:dyDescent="0.25">
      <c r="L69" s="4"/>
    </row>
    <row r="70" spans="12:12" x14ac:dyDescent="0.25">
      <c r="L70" s="4"/>
    </row>
    <row r="71" spans="12:12" x14ac:dyDescent="0.25">
      <c r="L71" s="4"/>
    </row>
    <row r="72" spans="12:12" x14ac:dyDescent="0.25">
      <c r="L72" s="4"/>
    </row>
    <row r="73" spans="12:12" x14ac:dyDescent="0.25">
      <c r="L73" s="4"/>
    </row>
    <row r="74" spans="12:12" x14ac:dyDescent="0.25">
      <c r="L74" s="4"/>
    </row>
    <row r="75" spans="12:12" x14ac:dyDescent="0.25">
      <c r="L75" s="4"/>
    </row>
    <row r="76" spans="12:12" x14ac:dyDescent="0.25">
      <c r="L76" s="4"/>
    </row>
    <row r="77" spans="12:12" x14ac:dyDescent="0.25">
      <c r="L77" s="4"/>
    </row>
    <row r="78" spans="12:12" x14ac:dyDescent="0.25">
      <c r="L78" s="4"/>
    </row>
    <row r="79" spans="12:12" x14ac:dyDescent="0.25">
      <c r="L79" s="4"/>
    </row>
    <row r="80" spans="12:12" x14ac:dyDescent="0.25">
      <c r="L80" s="4"/>
    </row>
    <row r="81" spans="12:12" x14ac:dyDescent="0.25">
      <c r="L81" s="4"/>
    </row>
    <row r="82" spans="12:12" x14ac:dyDescent="0.25">
      <c r="L82" s="4"/>
    </row>
    <row r="83" spans="12:12" x14ac:dyDescent="0.25">
      <c r="L83" s="4"/>
    </row>
    <row r="84" spans="12:12" x14ac:dyDescent="0.25">
      <c r="L84" s="4"/>
    </row>
    <row r="85" spans="12:12" x14ac:dyDescent="0.25">
      <c r="L85" s="4"/>
    </row>
    <row r="86" spans="12:12" x14ac:dyDescent="0.25">
      <c r="L86" s="4"/>
    </row>
    <row r="87" spans="12:12" x14ac:dyDescent="0.25">
      <c r="L87" s="4"/>
    </row>
    <row r="88" spans="12:12" x14ac:dyDescent="0.25">
      <c r="L88" s="4"/>
    </row>
    <row r="89" spans="12:12" x14ac:dyDescent="0.25">
      <c r="L89" s="4"/>
    </row>
    <row r="90" spans="12:12" x14ac:dyDescent="0.25">
      <c r="L90" s="4"/>
    </row>
    <row r="91" spans="12:12" x14ac:dyDescent="0.25">
      <c r="L91" s="4"/>
    </row>
    <row r="92" spans="12:12" x14ac:dyDescent="0.25">
      <c r="L92" s="4"/>
    </row>
    <row r="93" spans="12:12" x14ac:dyDescent="0.25">
      <c r="L93" s="4"/>
    </row>
    <row r="94" spans="12:12" x14ac:dyDescent="0.25">
      <c r="L94" s="4"/>
    </row>
    <row r="95" spans="12:12" x14ac:dyDescent="0.25">
      <c r="L95" s="4"/>
    </row>
    <row r="96" spans="12:12" x14ac:dyDescent="0.25">
      <c r="L96" s="4"/>
    </row>
    <row r="97" spans="12:12" x14ac:dyDescent="0.25">
      <c r="L97" s="4"/>
    </row>
    <row r="98" spans="12:12" x14ac:dyDescent="0.25">
      <c r="L98" s="4"/>
    </row>
    <row r="99" spans="12:12" x14ac:dyDescent="0.25">
      <c r="L99" s="4"/>
    </row>
    <row r="100" spans="12:12" x14ac:dyDescent="0.25">
      <c r="L100" s="4"/>
    </row>
    <row r="101" spans="12:12" x14ac:dyDescent="0.25">
      <c r="L101" s="4"/>
    </row>
    <row r="102" spans="12:12" x14ac:dyDescent="0.25">
      <c r="L102" s="4"/>
    </row>
    <row r="103" spans="12:12" x14ac:dyDescent="0.25">
      <c r="L103" s="4"/>
    </row>
    <row r="104" spans="12:12" x14ac:dyDescent="0.25">
      <c r="L104" s="4"/>
    </row>
    <row r="105" spans="12:12" x14ac:dyDescent="0.25">
      <c r="L105" s="4"/>
    </row>
    <row r="106" spans="12:12" x14ac:dyDescent="0.25">
      <c r="L106" s="4"/>
    </row>
    <row r="107" spans="12:12" x14ac:dyDescent="0.25">
      <c r="L107" s="4"/>
    </row>
    <row r="108" spans="12:12" x14ac:dyDescent="0.25">
      <c r="L108" s="4"/>
    </row>
    <row r="109" spans="12:12" x14ac:dyDescent="0.25">
      <c r="L109" s="4"/>
    </row>
    <row r="110" spans="12:12" x14ac:dyDescent="0.25">
      <c r="L110" s="4"/>
    </row>
    <row r="111" spans="12:12" x14ac:dyDescent="0.25">
      <c r="L111" s="4"/>
    </row>
    <row r="112" spans="12:12" x14ac:dyDescent="0.25">
      <c r="L112" s="4"/>
    </row>
    <row r="113" spans="12:12" x14ac:dyDescent="0.25">
      <c r="L113" s="4"/>
    </row>
    <row r="114" spans="12:12" x14ac:dyDescent="0.25">
      <c r="L114" s="4"/>
    </row>
    <row r="115" spans="12:12" x14ac:dyDescent="0.25">
      <c r="L115" s="4"/>
    </row>
    <row r="116" spans="12:12" x14ac:dyDescent="0.25">
      <c r="L116" s="4"/>
    </row>
    <row r="117" spans="12:12" x14ac:dyDescent="0.25">
      <c r="L117" s="4"/>
    </row>
    <row r="118" spans="12:12" x14ac:dyDescent="0.25">
      <c r="L118" s="4"/>
    </row>
    <row r="119" spans="12:12" x14ac:dyDescent="0.25">
      <c r="L119" s="4"/>
    </row>
    <row r="120" spans="12:12" x14ac:dyDescent="0.25">
      <c r="L120" s="4"/>
    </row>
    <row r="121" spans="12:12" x14ac:dyDescent="0.25">
      <c r="L121" s="4"/>
    </row>
    <row r="122" spans="12:12" x14ac:dyDescent="0.25">
      <c r="L122" s="4"/>
    </row>
    <row r="123" spans="12:12" x14ac:dyDescent="0.25">
      <c r="L123" s="4"/>
    </row>
    <row r="124" spans="12:12" x14ac:dyDescent="0.25">
      <c r="L124" s="4"/>
    </row>
    <row r="125" spans="12:12" x14ac:dyDescent="0.25">
      <c r="L125" s="4"/>
    </row>
    <row r="126" spans="12:12" x14ac:dyDescent="0.25">
      <c r="L126" s="4"/>
    </row>
    <row r="127" spans="12:12" x14ac:dyDescent="0.25">
      <c r="L127" s="4"/>
    </row>
    <row r="128" spans="12:12" x14ac:dyDescent="0.25">
      <c r="L128" s="4"/>
    </row>
    <row r="129" spans="12:12" x14ac:dyDescent="0.25">
      <c r="L129" s="4"/>
    </row>
    <row r="130" spans="12:12" x14ac:dyDescent="0.25">
      <c r="L130" s="4"/>
    </row>
    <row r="131" spans="12:12" x14ac:dyDescent="0.25">
      <c r="L131" s="4"/>
    </row>
    <row r="132" spans="12:12" x14ac:dyDescent="0.25">
      <c r="L132" s="4"/>
    </row>
    <row r="133" spans="12:12" x14ac:dyDescent="0.25">
      <c r="L133" s="4"/>
    </row>
    <row r="134" spans="12:12" x14ac:dyDescent="0.25">
      <c r="L134" s="4"/>
    </row>
    <row r="135" spans="12:12" x14ac:dyDescent="0.25">
      <c r="L135" s="4"/>
    </row>
    <row r="136" spans="12:12" x14ac:dyDescent="0.25">
      <c r="L136" s="4"/>
    </row>
    <row r="137" spans="12:12" x14ac:dyDescent="0.25">
      <c r="L137" s="4"/>
    </row>
    <row r="138" spans="12:12" x14ac:dyDescent="0.25">
      <c r="L138" s="4"/>
    </row>
    <row r="139" spans="12:12" x14ac:dyDescent="0.25">
      <c r="L139" s="4"/>
    </row>
    <row r="140" spans="12:12" x14ac:dyDescent="0.25">
      <c r="L140" s="4"/>
    </row>
    <row r="141" spans="12:12" x14ac:dyDescent="0.25">
      <c r="L141" s="4"/>
    </row>
    <row r="142" spans="12:12" x14ac:dyDescent="0.25">
      <c r="L142" s="4"/>
    </row>
    <row r="143" spans="12:12" x14ac:dyDescent="0.25">
      <c r="L143" s="4"/>
    </row>
    <row r="144" spans="12:12" x14ac:dyDescent="0.25">
      <c r="L144" s="4"/>
    </row>
    <row r="145" spans="12:12" x14ac:dyDescent="0.25">
      <c r="L145" s="4"/>
    </row>
    <row r="146" spans="12:12" x14ac:dyDescent="0.25">
      <c r="L146" s="4"/>
    </row>
    <row r="147" spans="12:12" x14ac:dyDescent="0.25">
      <c r="L147" s="4"/>
    </row>
    <row r="148" spans="12:12" x14ac:dyDescent="0.25">
      <c r="L148" s="4"/>
    </row>
    <row r="149" spans="12:12" x14ac:dyDescent="0.25">
      <c r="L149" s="4"/>
    </row>
    <row r="150" spans="12:12" x14ac:dyDescent="0.25">
      <c r="L150" s="4"/>
    </row>
    <row r="151" spans="12:12" x14ac:dyDescent="0.25">
      <c r="L151" s="4"/>
    </row>
    <row r="152" spans="12:12" x14ac:dyDescent="0.25">
      <c r="L152" s="4"/>
    </row>
    <row r="153" spans="12:12" x14ac:dyDescent="0.25">
      <c r="L153" s="4"/>
    </row>
    <row r="154" spans="12:12" x14ac:dyDescent="0.25">
      <c r="L154" s="4"/>
    </row>
    <row r="155" spans="12:12" x14ac:dyDescent="0.25">
      <c r="L155" s="4"/>
    </row>
    <row r="156" spans="12:12" x14ac:dyDescent="0.25">
      <c r="L156" s="4"/>
    </row>
    <row r="157" spans="12:12" x14ac:dyDescent="0.25">
      <c r="L157" s="4"/>
    </row>
    <row r="158" spans="12:12" x14ac:dyDescent="0.25">
      <c r="L158" s="4"/>
    </row>
    <row r="159" spans="12:12" x14ac:dyDescent="0.25">
      <c r="L159" s="4"/>
    </row>
    <row r="160" spans="12:12" x14ac:dyDescent="0.25">
      <c r="L160" s="4"/>
    </row>
    <row r="161" spans="12:12" x14ac:dyDescent="0.25">
      <c r="L161" s="4"/>
    </row>
    <row r="162" spans="12:12" x14ac:dyDescent="0.25">
      <c r="L162" s="4"/>
    </row>
    <row r="163" spans="12:12" x14ac:dyDescent="0.25">
      <c r="L163" s="4"/>
    </row>
    <row r="164" spans="12:12" x14ac:dyDescent="0.25">
      <c r="L164" s="4"/>
    </row>
    <row r="165" spans="12:12" x14ac:dyDescent="0.25">
      <c r="L165" s="4"/>
    </row>
    <row r="166" spans="12:12" x14ac:dyDescent="0.25">
      <c r="L166" s="4"/>
    </row>
    <row r="167" spans="12:12" x14ac:dyDescent="0.25">
      <c r="L167" s="4"/>
    </row>
    <row r="168" spans="12:12" x14ac:dyDescent="0.25">
      <c r="L168" s="4"/>
    </row>
    <row r="169" spans="12:12" x14ac:dyDescent="0.25">
      <c r="L169" s="4"/>
    </row>
    <row r="170" spans="12:12" x14ac:dyDescent="0.25">
      <c r="L170" s="4"/>
    </row>
    <row r="171" spans="12:12" x14ac:dyDescent="0.25">
      <c r="L171" s="4"/>
    </row>
    <row r="172" spans="12:12" x14ac:dyDescent="0.25">
      <c r="L172" s="4"/>
    </row>
    <row r="173" spans="12:12" x14ac:dyDescent="0.25">
      <c r="L173" s="4"/>
    </row>
    <row r="174" spans="12:12" x14ac:dyDescent="0.25">
      <c r="L174" s="4"/>
    </row>
    <row r="175" spans="12:12" x14ac:dyDescent="0.25">
      <c r="L175" s="4"/>
    </row>
    <row r="176" spans="12:12" x14ac:dyDescent="0.25">
      <c r="L176" s="4"/>
    </row>
    <row r="177" spans="12:12" x14ac:dyDescent="0.25">
      <c r="L177" s="4"/>
    </row>
    <row r="178" spans="12:12" x14ac:dyDescent="0.25">
      <c r="L178" s="4"/>
    </row>
    <row r="179" spans="12:12" x14ac:dyDescent="0.25">
      <c r="L179" s="4"/>
    </row>
    <row r="180" spans="12:12" x14ac:dyDescent="0.25">
      <c r="L180" s="4"/>
    </row>
    <row r="181" spans="12:12" x14ac:dyDescent="0.25">
      <c r="L181" s="4"/>
    </row>
    <row r="182" spans="12:12" x14ac:dyDescent="0.25">
      <c r="L182" s="4"/>
    </row>
    <row r="183" spans="12:12" x14ac:dyDescent="0.25">
      <c r="L183" s="4"/>
    </row>
    <row r="184" spans="12:12" x14ac:dyDescent="0.25">
      <c r="L184" s="4"/>
    </row>
    <row r="185" spans="12:12" x14ac:dyDescent="0.25">
      <c r="L185" s="4"/>
    </row>
    <row r="186" spans="12:12" x14ac:dyDescent="0.25">
      <c r="L186" s="4"/>
    </row>
    <row r="187" spans="12:12" x14ac:dyDescent="0.25">
      <c r="L187" s="4"/>
    </row>
    <row r="188" spans="12:12" x14ac:dyDescent="0.25">
      <c r="L188" s="4"/>
    </row>
    <row r="189" spans="12:12" x14ac:dyDescent="0.25">
      <c r="L189" s="4"/>
    </row>
    <row r="190" spans="12:12" x14ac:dyDescent="0.25">
      <c r="L190" s="4"/>
    </row>
    <row r="191" spans="12:12" x14ac:dyDescent="0.25">
      <c r="L191" s="4"/>
    </row>
    <row r="192" spans="12:12" x14ac:dyDescent="0.25">
      <c r="L192" s="4"/>
    </row>
    <row r="193" spans="12:12" x14ac:dyDescent="0.25">
      <c r="L193" s="4"/>
    </row>
    <row r="194" spans="12:12" x14ac:dyDescent="0.25">
      <c r="L194" s="4"/>
    </row>
    <row r="195" spans="12:12" x14ac:dyDescent="0.25">
      <c r="L195" s="4"/>
    </row>
    <row r="196" spans="12:12" x14ac:dyDescent="0.25">
      <c r="L196" s="4"/>
    </row>
    <row r="197" spans="12:12" x14ac:dyDescent="0.25">
      <c r="L197" s="4"/>
    </row>
    <row r="198" spans="12:12" x14ac:dyDescent="0.25">
      <c r="L198" s="4"/>
    </row>
    <row r="199" spans="12:12" x14ac:dyDescent="0.25">
      <c r="L199" s="4"/>
    </row>
    <row r="200" spans="12:12" x14ac:dyDescent="0.25">
      <c r="L200" s="4"/>
    </row>
    <row r="201" spans="12:12" x14ac:dyDescent="0.25">
      <c r="L201" s="4"/>
    </row>
    <row r="202" spans="12:12" x14ac:dyDescent="0.25">
      <c r="L202" s="4"/>
    </row>
    <row r="203" spans="12:12" x14ac:dyDescent="0.25">
      <c r="L203" s="4"/>
    </row>
    <row r="204" spans="12:12" x14ac:dyDescent="0.25">
      <c r="L204" s="4"/>
    </row>
    <row r="205" spans="12:12" x14ac:dyDescent="0.25">
      <c r="L205" s="4"/>
    </row>
    <row r="206" spans="12:12" x14ac:dyDescent="0.25">
      <c r="L206" s="4"/>
    </row>
    <row r="207" spans="12:12" x14ac:dyDescent="0.25">
      <c r="L207" s="4"/>
    </row>
    <row r="208" spans="12:12" x14ac:dyDescent="0.25">
      <c r="L208" s="4"/>
    </row>
    <row r="209" spans="12:12" x14ac:dyDescent="0.25">
      <c r="L209" s="4"/>
    </row>
    <row r="210" spans="12:12" x14ac:dyDescent="0.25">
      <c r="L210" s="4"/>
    </row>
    <row r="211" spans="12:12" x14ac:dyDescent="0.25">
      <c r="L211" s="4"/>
    </row>
    <row r="212" spans="12:12" x14ac:dyDescent="0.25">
      <c r="L212" s="4"/>
    </row>
    <row r="213" spans="12:12" x14ac:dyDescent="0.25">
      <c r="L213" s="4"/>
    </row>
    <row r="214" spans="12:12" x14ac:dyDescent="0.25">
      <c r="L214" s="4"/>
    </row>
    <row r="215" spans="12:12" x14ac:dyDescent="0.25">
      <c r="L215" s="4"/>
    </row>
    <row r="216" spans="12:12" x14ac:dyDescent="0.25">
      <c r="L216" s="4"/>
    </row>
    <row r="217" spans="12:12" x14ac:dyDescent="0.25">
      <c r="L217" s="4"/>
    </row>
    <row r="218" spans="12:12" x14ac:dyDescent="0.25">
      <c r="L218" s="4"/>
    </row>
    <row r="219" spans="12:12" x14ac:dyDescent="0.25">
      <c r="L219" s="4"/>
    </row>
    <row r="220" spans="12:12" x14ac:dyDescent="0.25">
      <c r="L220" s="4"/>
    </row>
    <row r="221" spans="12:12" x14ac:dyDescent="0.25">
      <c r="L221" s="4"/>
    </row>
    <row r="222" spans="12:12" x14ac:dyDescent="0.25">
      <c r="L222" s="4"/>
    </row>
    <row r="223" spans="12:12" x14ac:dyDescent="0.25">
      <c r="L223" s="4"/>
    </row>
    <row r="224" spans="12:12" x14ac:dyDescent="0.25">
      <c r="L224" s="4"/>
    </row>
    <row r="225" spans="12:12" x14ac:dyDescent="0.25">
      <c r="L225" s="4"/>
    </row>
    <row r="226" spans="12:12" x14ac:dyDescent="0.25">
      <c r="L226" s="4"/>
    </row>
    <row r="227" spans="12:12" x14ac:dyDescent="0.25">
      <c r="L227" s="4"/>
    </row>
    <row r="228" spans="12:12" x14ac:dyDescent="0.25">
      <c r="L228" s="4"/>
    </row>
    <row r="229" spans="12:12" x14ac:dyDescent="0.25">
      <c r="L229" s="4"/>
    </row>
    <row r="230" spans="12:12" x14ac:dyDescent="0.25">
      <c r="L230" s="4"/>
    </row>
    <row r="231" spans="12:12" x14ac:dyDescent="0.25">
      <c r="L231" s="4"/>
    </row>
    <row r="232" spans="12:12" x14ac:dyDescent="0.25">
      <c r="L232" s="4"/>
    </row>
    <row r="233" spans="12:12" x14ac:dyDescent="0.25">
      <c r="L233" s="4"/>
    </row>
    <row r="234" spans="12:12" x14ac:dyDescent="0.25">
      <c r="L234" s="4"/>
    </row>
    <row r="235" spans="12:12" x14ac:dyDescent="0.25">
      <c r="L235" s="4"/>
    </row>
    <row r="236" spans="12:12" x14ac:dyDescent="0.25">
      <c r="L236" s="4"/>
    </row>
    <row r="237" spans="12:12" x14ac:dyDescent="0.25">
      <c r="L237" s="4"/>
    </row>
    <row r="238" spans="12:12" x14ac:dyDescent="0.25">
      <c r="L238" s="4"/>
    </row>
    <row r="239" spans="12:12" x14ac:dyDescent="0.25">
      <c r="L239" s="4"/>
    </row>
    <row r="240" spans="12:12" x14ac:dyDescent="0.25">
      <c r="L240" s="4"/>
    </row>
    <row r="241" spans="12:12" x14ac:dyDescent="0.25">
      <c r="L241" s="4"/>
    </row>
    <row r="242" spans="12:12" x14ac:dyDescent="0.25">
      <c r="L242" s="4"/>
    </row>
    <row r="243" spans="12:12" x14ac:dyDescent="0.25">
      <c r="L243" s="4"/>
    </row>
    <row r="244" spans="12:12" x14ac:dyDescent="0.25">
      <c r="L244" s="4"/>
    </row>
    <row r="245" spans="12:12" x14ac:dyDescent="0.25">
      <c r="L245" s="4"/>
    </row>
    <row r="246" spans="12:12" x14ac:dyDescent="0.25">
      <c r="L246" s="4"/>
    </row>
    <row r="247" spans="12:12" x14ac:dyDescent="0.25">
      <c r="L247" s="4"/>
    </row>
    <row r="248" spans="12:12" x14ac:dyDescent="0.25">
      <c r="L248" s="4"/>
    </row>
    <row r="249" spans="12:12" x14ac:dyDescent="0.25">
      <c r="L249" s="4"/>
    </row>
    <row r="250" spans="12:12" x14ac:dyDescent="0.25">
      <c r="L250" s="4"/>
    </row>
    <row r="251" spans="12:12" x14ac:dyDescent="0.25">
      <c r="L251" s="4"/>
    </row>
    <row r="252" spans="12:12" x14ac:dyDescent="0.25">
      <c r="L252" s="4"/>
    </row>
    <row r="253" spans="12:12" x14ac:dyDescent="0.25">
      <c r="L253" s="4"/>
    </row>
    <row r="254" spans="12:12" x14ac:dyDescent="0.25">
      <c r="L254" s="4"/>
    </row>
    <row r="255" spans="12:12" x14ac:dyDescent="0.25">
      <c r="L255" s="4"/>
    </row>
    <row r="256" spans="12:12" x14ac:dyDescent="0.25">
      <c r="L256" s="4"/>
    </row>
    <row r="257" spans="12:12" x14ac:dyDescent="0.25">
      <c r="L257" s="4"/>
    </row>
    <row r="258" spans="12:12" x14ac:dyDescent="0.25">
      <c r="L258" s="4"/>
    </row>
    <row r="259" spans="12:12" x14ac:dyDescent="0.25">
      <c r="L259" s="4"/>
    </row>
    <row r="260" spans="12:12" x14ac:dyDescent="0.25">
      <c r="L260" s="4"/>
    </row>
    <row r="261" spans="12:12" x14ac:dyDescent="0.25">
      <c r="L261" s="4"/>
    </row>
    <row r="262" spans="12:12" x14ac:dyDescent="0.25">
      <c r="L262" s="4"/>
    </row>
    <row r="263" spans="12:12" x14ac:dyDescent="0.25">
      <c r="L263" s="4"/>
    </row>
    <row r="264" spans="12:12" x14ac:dyDescent="0.25">
      <c r="L264" s="4"/>
    </row>
    <row r="265" spans="12:12" x14ac:dyDescent="0.25">
      <c r="L265" s="4"/>
    </row>
    <row r="266" spans="12:12" x14ac:dyDescent="0.25">
      <c r="L266" s="4"/>
    </row>
    <row r="267" spans="12:12" x14ac:dyDescent="0.25">
      <c r="L267" s="4"/>
    </row>
    <row r="268" spans="12:12" x14ac:dyDescent="0.25">
      <c r="L268" s="4"/>
    </row>
    <row r="269" spans="12:12" x14ac:dyDescent="0.25">
      <c r="L269" s="4"/>
    </row>
    <row r="270" spans="12:12" x14ac:dyDescent="0.25">
      <c r="L270" s="4"/>
    </row>
    <row r="271" spans="12:12" x14ac:dyDescent="0.25">
      <c r="L271" s="4"/>
    </row>
    <row r="272" spans="12:12" x14ac:dyDescent="0.25">
      <c r="L272" s="4"/>
    </row>
    <row r="273" spans="12:12" x14ac:dyDescent="0.25">
      <c r="L273" s="4"/>
    </row>
    <row r="274" spans="12:12" x14ac:dyDescent="0.25">
      <c r="L274" s="4"/>
    </row>
    <row r="275" spans="12:12" x14ac:dyDescent="0.25">
      <c r="L275" s="4"/>
    </row>
    <row r="276" spans="12:12" x14ac:dyDescent="0.25">
      <c r="L276" s="4"/>
    </row>
    <row r="277" spans="12:12" x14ac:dyDescent="0.25">
      <c r="L277" s="4"/>
    </row>
    <row r="278" spans="12:12" x14ac:dyDescent="0.25">
      <c r="L278" s="4"/>
    </row>
    <row r="279" spans="12:12" x14ac:dyDescent="0.25">
      <c r="L279" s="4"/>
    </row>
    <row r="280" spans="12:12" x14ac:dyDescent="0.25">
      <c r="L280" s="4"/>
    </row>
    <row r="281" spans="12:12" x14ac:dyDescent="0.25">
      <c r="L281" s="4"/>
    </row>
    <row r="282" spans="12:12" x14ac:dyDescent="0.25">
      <c r="L282" s="4"/>
    </row>
    <row r="283" spans="12:12" x14ac:dyDescent="0.25">
      <c r="L283" s="4"/>
    </row>
    <row r="284" spans="12:12" x14ac:dyDescent="0.25">
      <c r="L284" s="4"/>
    </row>
    <row r="285" spans="12:12" x14ac:dyDescent="0.25">
      <c r="L285" s="4"/>
    </row>
    <row r="286" spans="12:12" x14ac:dyDescent="0.25">
      <c r="L286" s="4"/>
    </row>
    <row r="287" spans="12:12" x14ac:dyDescent="0.25">
      <c r="L287" s="4"/>
    </row>
    <row r="288" spans="12:12" x14ac:dyDescent="0.25">
      <c r="L288" s="4"/>
    </row>
    <row r="289" spans="12:12" x14ac:dyDescent="0.25">
      <c r="L289" s="4"/>
    </row>
    <row r="290" spans="12:12" x14ac:dyDescent="0.25">
      <c r="L290" s="4"/>
    </row>
    <row r="291" spans="12:12" x14ac:dyDescent="0.25">
      <c r="L291" s="4"/>
    </row>
    <row r="292" spans="12:12" x14ac:dyDescent="0.25">
      <c r="L292" s="4"/>
    </row>
    <row r="293" spans="12:12" x14ac:dyDescent="0.25">
      <c r="L293" s="4"/>
    </row>
    <row r="294" spans="12:12" x14ac:dyDescent="0.25">
      <c r="L294" s="4"/>
    </row>
    <row r="295" spans="12:12" x14ac:dyDescent="0.25">
      <c r="L295" s="4"/>
    </row>
    <row r="296" spans="12:12" x14ac:dyDescent="0.25">
      <c r="L296" s="4"/>
    </row>
    <row r="297" spans="12:12" x14ac:dyDescent="0.25">
      <c r="L297" s="4"/>
    </row>
    <row r="298" spans="12:12" x14ac:dyDescent="0.25">
      <c r="L298" s="4"/>
    </row>
    <row r="299" spans="12:12" x14ac:dyDescent="0.25">
      <c r="L299" s="4"/>
    </row>
    <row r="300" spans="12:12" x14ac:dyDescent="0.25">
      <c r="L300" s="4"/>
    </row>
    <row r="301" spans="12:12" x14ac:dyDescent="0.25">
      <c r="L301" s="4"/>
    </row>
    <row r="302" spans="12:12" x14ac:dyDescent="0.25">
      <c r="L302" s="4"/>
    </row>
    <row r="303" spans="12:12" x14ac:dyDescent="0.25">
      <c r="L303" s="4"/>
    </row>
    <row r="304" spans="12:12" x14ac:dyDescent="0.25">
      <c r="L304" s="4"/>
    </row>
    <row r="305" spans="12:12" x14ac:dyDescent="0.25">
      <c r="L305" s="4"/>
    </row>
    <row r="306" spans="12:12" x14ac:dyDescent="0.25">
      <c r="L306" s="4"/>
    </row>
    <row r="307" spans="12:12" x14ac:dyDescent="0.25">
      <c r="L307" s="4"/>
    </row>
    <row r="308" spans="12:12" x14ac:dyDescent="0.25">
      <c r="L308" s="4"/>
    </row>
    <row r="309" spans="12:12" x14ac:dyDescent="0.25">
      <c r="L309" s="4"/>
    </row>
    <row r="310" spans="12:12" x14ac:dyDescent="0.25">
      <c r="L310" s="4"/>
    </row>
    <row r="311" spans="12:12" x14ac:dyDescent="0.25">
      <c r="L311" s="4"/>
    </row>
    <row r="312" spans="12:12" x14ac:dyDescent="0.25">
      <c r="L312" s="4"/>
    </row>
    <row r="313" spans="12:12" x14ac:dyDescent="0.25">
      <c r="L313" s="4"/>
    </row>
    <row r="314" spans="12:12" x14ac:dyDescent="0.25">
      <c r="L314" s="4"/>
    </row>
    <row r="315" spans="12:12" x14ac:dyDescent="0.25">
      <c r="L315" s="4"/>
    </row>
    <row r="316" spans="12:12" x14ac:dyDescent="0.25">
      <c r="L316" s="4"/>
    </row>
    <row r="317" spans="12:12" x14ac:dyDescent="0.25">
      <c r="L317" s="4"/>
    </row>
    <row r="318" spans="12:12" x14ac:dyDescent="0.25">
      <c r="L318" s="4"/>
    </row>
    <row r="319" spans="12:12" x14ac:dyDescent="0.25">
      <c r="L319" s="4"/>
    </row>
    <row r="320" spans="12:12" x14ac:dyDescent="0.25">
      <c r="L320" s="4"/>
    </row>
    <row r="321" spans="12:12" x14ac:dyDescent="0.25">
      <c r="L321" s="4"/>
    </row>
    <row r="322" spans="12:12" x14ac:dyDescent="0.25">
      <c r="L322" s="4"/>
    </row>
    <row r="323" spans="12:12" x14ac:dyDescent="0.25">
      <c r="L323" s="4"/>
    </row>
    <row r="324" spans="12:12" x14ac:dyDescent="0.25">
      <c r="L324" s="4"/>
    </row>
    <row r="325" spans="12:12" x14ac:dyDescent="0.25">
      <c r="L325" s="4"/>
    </row>
    <row r="326" spans="12:12" x14ac:dyDescent="0.25">
      <c r="L326" s="4"/>
    </row>
    <row r="327" spans="12:12" x14ac:dyDescent="0.25">
      <c r="L327" s="4"/>
    </row>
    <row r="328" spans="12:12" x14ac:dyDescent="0.25">
      <c r="L328" s="4"/>
    </row>
    <row r="329" spans="12:12" x14ac:dyDescent="0.25">
      <c r="L329" s="4"/>
    </row>
    <row r="330" spans="12:12" x14ac:dyDescent="0.25">
      <c r="L330" s="4"/>
    </row>
    <row r="331" spans="12:12" x14ac:dyDescent="0.25">
      <c r="L331" s="4"/>
    </row>
    <row r="332" spans="12:12" x14ac:dyDescent="0.25">
      <c r="L332" s="4"/>
    </row>
    <row r="333" spans="12:12" x14ac:dyDescent="0.25">
      <c r="L333" s="4"/>
    </row>
    <row r="334" spans="12:12" x14ac:dyDescent="0.25">
      <c r="L334" s="4"/>
    </row>
    <row r="335" spans="12:12" x14ac:dyDescent="0.25">
      <c r="L335" s="4"/>
    </row>
    <row r="336" spans="12:12" x14ac:dyDescent="0.25">
      <c r="L336" s="4"/>
    </row>
    <row r="337" spans="12:12" x14ac:dyDescent="0.25">
      <c r="L337" s="4"/>
    </row>
    <row r="338" spans="12:12" x14ac:dyDescent="0.25">
      <c r="L338" s="4"/>
    </row>
    <row r="339" spans="12:12" x14ac:dyDescent="0.25">
      <c r="L339" s="4"/>
    </row>
    <row r="340" spans="12:12" x14ac:dyDescent="0.25">
      <c r="L340" s="4"/>
    </row>
    <row r="341" spans="12:12" x14ac:dyDescent="0.25">
      <c r="L341" s="4"/>
    </row>
    <row r="342" spans="12:12" x14ac:dyDescent="0.25">
      <c r="L342" s="4"/>
    </row>
    <row r="343" spans="12:12" x14ac:dyDescent="0.25">
      <c r="L343" s="4"/>
    </row>
    <row r="344" spans="12:12" x14ac:dyDescent="0.25">
      <c r="L344" s="4"/>
    </row>
    <row r="345" spans="12:12" x14ac:dyDescent="0.25">
      <c r="L345" s="4"/>
    </row>
    <row r="346" spans="12:12" x14ac:dyDescent="0.25">
      <c r="L346" s="4"/>
    </row>
    <row r="347" spans="12:12" x14ac:dyDescent="0.25">
      <c r="L347" s="4"/>
    </row>
    <row r="348" spans="12:12" x14ac:dyDescent="0.25">
      <c r="L348" s="4"/>
    </row>
    <row r="349" spans="12:12" x14ac:dyDescent="0.25">
      <c r="L349" s="4"/>
    </row>
    <row r="350" spans="12:12" x14ac:dyDescent="0.25">
      <c r="L350" s="4"/>
    </row>
    <row r="351" spans="12:12" x14ac:dyDescent="0.25">
      <c r="L351" s="4"/>
    </row>
    <row r="352" spans="12:12" x14ac:dyDescent="0.25">
      <c r="L352" s="4"/>
    </row>
    <row r="353" spans="12:12" x14ac:dyDescent="0.25">
      <c r="L353" s="4"/>
    </row>
    <row r="354" spans="12:12" x14ac:dyDescent="0.25">
      <c r="L354" s="4"/>
    </row>
    <row r="355" spans="12:12" x14ac:dyDescent="0.25">
      <c r="L355" s="4"/>
    </row>
    <row r="356" spans="12:12" x14ac:dyDescent="0.25">
      <c r="L356" s="4"/>
    </row>
    <row r="357" spans="12:12" x14ac:dyDescent="0.25">
      <c r="L357" s="4"/>
    </row>
    <row r="358" spans="12:12" x14ac:dyDescent="0.25">
      <c r="L358" s="4"/>
    </row>
    <row r="359" spans="12:12" x14ac:dyDescent="0.25">
      <c r="L359" s="4"/>
    </row>
    <row r="360" spans="12:12" x14ac:dyDescent="0.25">
      <c r="L360" s="4"/>
    </row>
    <row r="361" spans="12:12" x14ac:dyDescent="0.25">
      <c r="L361" s="4"/>
    </row>
    <row r="362" spans="12:12" x14ac:dyDescent="0.25">
      <c r="L362" s="4"/>
    </row>
    <row r="363" spans="12:12" x14ac:dyDescent="0.25">
      <c r="L363" s="4"/>
    </row>
    <row r="364" spans="12:12" x14ac:dyDescent="0.25">
      <c r="L364" s="4"/>
    </row>
    <row r="365" spans="12:12" x14ac:dyDescent="0.25">
      <c r="L365" s="4"/>
    </row>
    <row r="366" spans="12:12" x14ac:dyDescent="0.25">
      <c r="L366" s="4"/>
    </row>
    <row r="367" spans="12:12" x14ac:dyDescent="0.25">
      <c r="L367" s="4"/>
    </row>
    <row r="368" spans="12:12" x14ac:dyDescent="0.25">
      <c r="L368" s="4"/>
    </row>
    <row r="369" spans="12:12" x14ac:dyDescent="0.25">
      <c r="L369" s="4"/>
    </row>
    <row r="370" spans="12:12" x14ac:dyDescent="0.25">
      <c r="L370" s="4"/>
    </row>
    <row r="371" spans="12:12" x14ac:dyDescent="0.25">
      <c r="L371" s="4"/>
    </row>
    <row r="372" spans="12:12" x14ac:dyDescent="0.25">
      <c r="L372" s="4"/>
    </row>
    <row r="373" spans="12:12" x14ac:dyDescent="0.25">
      <c r="L373" s="4"/>
    </row>
    <row r="374" spans="12:12" x14ac:dyDescent="0.25">
      <c r="L374" s="4"/>
    </row>
    <row r="375" spans="12:12" x14ac:dyDescent="0.25">
      <c r="L375" s="4"/>
    </row>
    <row r="376" spans="12:12" x14ac:dyDescent="0.25">
      <c r="L376" s="4"/>
    </row>
    <row r="377" spans="12:12" x14ac:dyDescent="0.25">
      <c r="L377" s="4"/>
    </row>
    <row r="378" spans="12:12" x14ac:dyDescent="0.25">
      <c r="L378" s="4"/>
    </row>
    <row r="379" spans="12:12" x14ac:dyDescent="0.25">
      <c r="L379" s="4"/>
    </row>
    <row r="380" spans="12:12" x14ac:dyDescent="0.25">
      <c r="L380" s="4"/>
    </row>
    <row r="381" spans="12:12" x14ac:dyDescent="0.25">
      <c r="L381" s="4"/>
    </row>
    <row r="382" spans="12:12" x14ac:dyDescent="0.25">
      <c r="L382" s="4"/>
    </row>
    <row r="383" spans="12:12" x14ac:dyDescent="0.25">
      <c r="L383" s="4"/>
    </row>
    <row r="384" spans="12:12" x14ac:dyDescent="0.25">
      <c r="L384" s="4"/>
    </row>
    <row r="385" spans="12:12" x14ac:dyDescent="0.25">
      <c r="L385" s="4"/>
    </row>
    <row r="386" spans="12:12" x14ac:dyDescent="0.25">
      <c r="L386" s="4"/>
    </row>
    <row r="387" spans="12:12" x14ac:dyDescent="0.25">
      <c r="L387" s="4"/>
    </row>
    <row r="388" spans="12:12" x14ac:dyDescent="0.25">
      <c r="L388" s="4"/>
    </row>
    <row r="389" spans="12:12" x14ac:dyDescent="0.25">
      <c r="L389" s="4"/>
    </row>
    <row r="390" spans="12:12" x14ac:dyDescent="0.25">
      <c r="L390" s="4"/>
    </row>
    <row r="391" spans="12:12" x14ac:dyDescent="0.25">
      <c r="L391" s="4"/>
    </row>
    <row r="392" spans="12:12" x14ac:dyDescent="0.25">
      <c r="L392" s="4"/>
    </row>
    <row r="393" spans="12:12" x14ac:dyDescent="0.25">
      <c r="L393" s="4"/>
    </row>
    <row r="394" spans="12:12" x14ac:dyDescent="0.25">
      <c r="L394" s="4"/>
    </row>
    <row r="395" spans="12:12" x14ac:dyDescent="0.25">
      <c r="L395" s="4"/>
    </row>
    <row r="396" spans="12:12" x14ac:dyDescent="0.25">
      <c r="L396" s="4"/>
    </row>
    <row r="397" spans="12:12" x14ac:dyDescent="0.25">
      <c r="L397" s="4"/>
    </row>
    <row r="398" spans="12:12" x14ac:dyDescent="0.25">
      <c r="L398" s="4"/>
    </row>
    <row r="399" spans="12:12" x14ac:dyDescent="0.25">
      <c r="L399" s="4"/>
    </row>
    <row r="400" spans="12:12" x14ac:dyDescent="0.25">
      <c r="L400" s="4"/>
    </row>
    <row r="401" spans="12:12" x14ac:dyDescent="0.25">
      <c r="L401" s="4"/>
    </row>
    <row r="402" spans="12:12" x14ac:dyDescent="0.25">
      <c r="L402" s="4"/>
    </row>
    <row r="403" spans="12:12" x14ac:dyDescent="0.25">
      <c r="L403" s="4"/>
    </row>
    <row r="404" spans="12:12" x14ac:dyDescent="0.25">
      <c r="L404" s="4"/>
    </row>
    <row r="405" spans="12:12" x14ac:dyDescent="0.25">
      <c r="L405" s="4"/>
    </row>
    <row r="406" spans="12:12" x14ac:dyDescent="0.25">
      <c r="L406" s="4"/>
    </row>
    <row r="407" spans="12:12" x14ac:dyDescent="0.25">
      <c r="L407" s="4"/>
    </row>
    <row r="408" spans="12:12" x14ac:dyDescent="0.25">
      <c r="L408" s="4"/>
    </row>
    <row r="409" spans="12:12" x14ac:dyDescent="0.25">
      <c r="L409" s="4"/>
    </row>
    <row r="410" spans="12:12" x14ac:dyDescent="0.25">
      <c r="L410" s="4"/>
    </row>
    <row r="411" spans="12:12" x14ac:dyDescent="0.25">
      <c r="L411" s="4"/>
    </row>
    <row r="412" spans="12:12" x14ac:dyDescent="0.25">
      <c r="L412" s="4"/>
    </row>
    <row r="413" spans="12:12" x14ac:dyDescent="0.25">
      <c r="L413" s="4"/>
    </row>
    <row r="414" spans="12:12" x14ac:dyDescent="0.25">
      <c r="L414" s="4"/>
    </row>
    <row r="415" spans="12:12" x14ac:dyDescent="0.25">
      <c r="L415" s="4"/>
    </row>
    <row r="416" spans="12:12" x14ac:dyDescent="0.25">
      <c r="L416" s="4"/>
    </row>
    <row r="417" spans="12:12" x14ac:dyDescent="0.25">
      <c r="L417" s="4"/>
    </row>
    <row r="418" spans="12:12" x14ac:dyDescent="0.25">
      <c r="L418" s="4"/>
    </row>
    <row r="419" spans="12:12" x14ac:dyDescent="0.25">
      <c r="L419" s="4"/>
    </row>
    <row r="420" spans="12:12" x14ac:dyDescent="0.25">
      <c r="L420" s="4"/>
    </row>
    <row r="421" spans="12:12" x14ac:dyDescent="0.25">
      <c r="L421" s="4"/>
    </row>
    <row r="422" spans="12:12" x14ac:dyDescent="0.25">
      <c r="L422" s="4"/>
    </row>
    <row r="423" spans="12:12" x14ac:dyDescent="0.25">
      <c r="L423" s="4"/>
    </row>
    <row r="424" spans="12:12" x14ac:dyDescent="0.25">
      <c r="L424" s="4"/>
    </row>
    <row r="425" spans="12:12" x14ac:dyDescent="0.25">
      <c r="L425" s="4"/>
    </row>
    <row r="426" spans="12:12" x14ac:dyDescent="0.25">
      <c r="L426" s="4"/>
    </row>
    <row r="427" spans="12:12" x14ac:dyDescent="0.25">
      <c r="L427" s="4"/>
    </row>
    <row r="428" spans="12:12" x14ac:dyDescent="0.25">
      <c r="L428" s="4"/>
    </row>
    <row r="429" spans="12:12" x14ac:dyDescent="0.25">
      <c r="L429" s="4"/>
    </row>
    <row r="430" spans="12:12" x14ac:dyDescent="0.25">
      <c r="L430" s="4"/>
    </row>
    <row r="431" spans="12:12" x14ac:dyDescent="0.25">
      <c r="L431" s="4"/>
    </row>
    <row r="432" spans="12:12" x14ac:dyDescent="0.25">
      <c r="L432" s="4"/>
    </row>
    <row r="433" spans="12:12" x14ac:dyDescent="0.25">
      <c r="L433" s="4"/>
    </row>
    <row r="434" spans="12:12" x14ac:dyDescent="0.25">
      <c r="L434" s="4"/>
    </row>
    <row r="435" spans="12:12" x14ac:dyDescent="0.25">
      <c r="L435" s="4"/>
    </row>
    <row r="436" spans="12:12" x14ac:dyDescent="0.25">
      <c r="L436" s="4"/>
    </row>
    <row r="437" spans="12:12" x14ac:dyDescent="0.25">
      <c r="L437" s="4"/>
    </row>
    <row r="438" spans="12:12" x14ac:dyDescent="0.25">
      <c r="L438" s="4"/>
    </row>
    <row r="439" spans="12:12" x14ac:dyDescent="0.25">
      <c r="L439" s="4"/>
    </row>
    <row r="440" spans="12:12" x14ac:dyDescent="0.25">
      <c r="L440" s="4"/>
    </row>
    <row r="441" spans="12:12" x14ac:dyDescent="0.25">
      <c r="L441" s="4"/>
    </row>
    <row r="442" spans="12:12" x14ac:dyDescent="0.25">
      <c r="L442" s="4"/>
    </row>
    <row r="443" spans="12:12" x14ac:dyDescent="0.25">
      <c r="L443" s="4"/>
    </row>
    <row r="444" spans="12:12" x14ac:dyDescent="0.25">
      <c r="L444" s="4"/>
    </row>
    <row r="445" spans="12:12" x14ac:dyDescent="0.25">
      <c r="L445" s="4"/>
    </row>
    <row r="446" spans="12:12" x14ac:dyDescent="0.25">
      <c r="L446" s="4"/>
    </row>
    <row r="447" spans="12:12" x14ac:dyDescent="0.25">
      <c r="L447" s="4"/>
    </row>
    <row r="448" spans="12:12" x14ac:dyDescent="0.25">
      <c r="L448" s="4"/>
    </row>
    <row r="449" spans="12:12" x14ac:dyDescent="0.25">
      <c r="L449" s="4"/>
    </row>
    <row r="450" spans="12:12" x14ac:dyDescent="0.25">
      <c r="L450" s="4"/>
    </row>
    <row r="451" spans="12:12" x14ac:dyDescent="0.25">
      <c r="L451" s="4"/>
    </row>
    <row r="452" spans="12:12" x14ac:dyDescent="0.25">
      <c r="L452" s="4"/>
    </row>
    <row r="453" spans="12:12" x14ac:dyDescent="0.25">
      <c r="L453" s="4"/>
    </row>
    <row r="454" spans="12:12" x14ac:dyDescent="0.25">
      <c r="L454" s="4"/>
    </row>
    <row r="455" spans="12:12" x14ac:dyDescent="0.25">
      <c r="L455" s="4"/>
    </row>
    <row r="456" spans="12:12" x14ac:dyDescent="0.25">
      <c r="L456" s="4"/>
    </row>
    <row r="457" spans="12:12" x14ac:dyDescent="0.25">
      <c r="L457" s="4"/>
    </row>
    <row r="458" spans="12:12" x14ac:dyDescent="0.25">
      <c r="L458" s="4"/>
    </row>
    <row r="459" spans="12:12" x14ac:dyDescent="0.25">
      <c r="L459" s="4"/>
    </row>
    <row r="460" spans="12:12" x14ac:dyDescent="0.25">
      <c r="L460" s="4"/>
    </row>
    <row r="461" spans="12:12" x14ac:dyDescent="0.25">
      <c r="L461" s="4"/>
    </row>
    <row r="462" spans="12:12" x14ac:dyDescent="0.25">
      <c r="L462" s="4"/>
    </row>
    <row r="463" spans="12:12" x14ac:dyDescent="0.25">
      <c r="L463" s="4"/>
    </row>
    <row r="464" spans="12:12" x14ac:dyDescent="0.25">
      <c r="L464" s="4"/>
    </row>
    <row r="465" spans="12:12" x14ac:dyDescent="0.25">
      <c r="L465" s="4"/>
    </row>
    <row r="466" spans="12:12" x14ac:dyDescent="0.25">
      <c r="L466" s="4"/>
    </row>
    <row r="467" spans="12:12" x14ac:dyDescent="0.25">
      <c r="L467" s="4"/>
    </row>
    <row r="468" spans="12:12" x14ac:dyDescent="0.25">
      <c r="L468" s="4"/>
    </row>
    <row r="469" spans="12:12" x14ac:dyDescent="0.25">
      <c r="L469" s="4"/>
    </row>
    <row r="470" spans="12:12" x14ac:dyDescent="0.25">
      <c r="L470" s="4"/>
    </row>
    <row r="471" spans="12:12" x14ac:dyDescent="0.25">
      <c r="L471" s="4"/>
    </row>
    <row r="472" spans="12:12" x14ac:dyDescent="0.25">
      <c r="L472" s="4"/>
    </row>
    <row r="473" spans="12:12" x14ac:dyDescent="0.25">
      <c r="L473" s="4"/>
    </row>
    <row r="474" spans="12:12" x14ac:dyDescent="0.25">
      <c r="L474" s="4"/>
    </row>
    <row r="475" spans="12:12" x14ac:dyDescent="0.25">
      <c r="L475" s="4"/>
    </row>
    <row r="476" spans="12:12" x14ac:dyDescent="0.25">
      <c r="L476" s="4"/>
    </row>
    <row r="477" spans="12:12" x14ac:dyDescent="0.25">
      <c r="L477" s="4"/>
    </row>
    <row r="478" spans="12:12" x14ac:dyDescent="0.25">
      <c r="L478" s="4"/>
    </row>
    <row r="479" spans="12:12" x14ac:dyDescent="0.25">
      <c r="L479" s="4"/>
    </row>
    <row r="480" spans="12:12" x14ac:dyDescent="0.25">
      <c r="L480" s="4"/>
    </row>
    <row r="481" spans="12:12" x14ac:dyDescent="0.25">
      <c r="L481" s="4"/>
    </row>
    <row r="482" spans="12:12" x14ac:dyDescent="0.25">
      <c r="L482" s="4"/>
    </row>
    <row r="483" spans="12:12" x14ac:dyDescent="0.25">
      <c r="L483" s="4"/>
    </row>
    <row r="484" spans="12:12" x14ac:dyDescent="0.25">
      <c r="L484" s="4"/>
    </row>
    <row r="485" spans="12:12" x14ac:dyDescent="0.25">
      <c r="L485" s="4"/>
    </row>
    <row r="486" spans="12:12" x14ac:dyDescent="0.25">
      <c r="L486" s="4"/>
    </row>
    <row r="487" spans="12:12" x14ac:dyDescent="0.25">
      <c r="L487" s="4"/>
    </row>
    <row r="488" spans="12:12" x14ac:dyDescent="0.25">
      <c r="L488" s="4"/>
    </row>
    <row r="489" spans="12:12" x14ac:dyDescent="0.25">
      <c r="L489" s="4"/>
    </row>
    <row r="490" spans="12:12" x14ac:dyDescent="0.25">
      <c r="L490" s="4"/>
    </row>
    <row r="491" spans="12:12" x14ac:dyDescent="0.25">
      <c r="L491" s="4"/>
    </row>
    <row r="492" spans="12:12" x14ac:dyDescent="0.25">
      <c r="L492" s="4"/>
    </row>
    <row r="493" spans="12:12" x14ac:dyDescent="0.25">
      <c r="L493" s="4"/>
    </row>
    <row r="494" spans="12:12" x14ac:dyDescent="0.25">
      <c r="L494" s="4"/>
    </row>
    <row r="495" spans="12:12" x14ac:dyDescent="0.25">
      <c r="L495" s="4"/>
    </row>
    <row r="496" spans="12:12" x14ac:dyDescent="0.25">
      <c r="L496" s="4"/>
    </row>
    <row r="497" spans="12:12" x14ac:dyDescent="0.25">
      <c r="L497" s="4"/>
    </row>
    <row r="498" spans="12:12" x14ac:dyDescent="0.25">
      <c r="L498" s="4"/>
    </row>
    <row r="499" spans="12:12" x14ac:dyDescent="0.25">
      <c r="L499" s="4"/>
    </row>
    <row r="500" spans="12:12" x14ac:dyDescent="0.25">
      <c r="L500" s="4"/>
    </row>
    <row r="501" spans="12:12" x14ac:dyDescent="0.25">
      <c r="L501" s="4"/>
    </row>
    <row r="502" spans="12:12" x14ac:dyDescent="0.25">
      <c r="L502" s="4"/>
    </row>
    <row r="503" spans="12:12" x14ac:dyDescent="0.25">
      <c r="L503" s="4"/>
    </row>
    <row r="504" spans="12:12" x14ac:dyDescent="0.25">
      <c r="L504" s="4"/>
    </row>
    <row r="505" spans="12:12" x14ac:dyDescent="0.25">
      <c r="L505" s="4"/>
    </row>
  </sheetData>
  <mergeCells count="1">
    <mergeCell ref="L44:AA44"/>
  </mergeCells>
  <conditionalFormatting sqref="G19">
    <cfRule type="cellIs" dxfId="1" priority="3" operator="notEqual">
      <formula>1</formula>
    </cfRule>
    <cfRule type="cellIs" dxfId="0" priority="4" operator="equal">
      <formula>1</formula>
    </cfRule>
  </conditionalFormatting>
  <conditionalFormatting sqref="L4:Z18">
    <cfRule type="colorScale" priority="2">
      <colorScale>
        <cfvo type="min"/>
        <cfvo type="percentile" val="50"/>
        <cfvo type="max"/>
        <color rgb="FF63BE7B"/>
        <color rgb="FFFCFCFF"/>
        <color rgb="FFF8696B"/>
      </colorScale>
    </cfRule>
  </conditionalFormatting>
  <conditionalFormatting sqref="L22:Z36">
    <cfRule type="colorScale" priority="1">
      <colorScale>
        <cfvo type="min"/>
        <cfvo type="percentile" val="50"/>
        <cfvo type="max"/>
        <color rgb="FF63BE7B"/>
        <color rgb="FFFCFCFF"/>
        <color rgb="FFF8696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opyIt">
                <anchor moveWithCells="1">
                  <from>
                    <xdr:col>5</xdr:col>
                    <xdr:colOff>1933575</xdr:colOff>
                    <xdr:row>43</xdr:row>
                    <xdr:rowOff>142875</xdr:rowOff>
                  </from>
                  <to>
                    <xdr:col>5</xdr:col>
                    <xdr:colOff>2714625</xdr:colOff>
                    <xdr:row>46</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5DE56-9903-4B76-89D3-76569759290C}">
  <sheetPr>
    <pageSetUpPr fitToPage="1"/>
  </sheetPr>
  <dimension ref="A1:K18"/>
  <sheetViews>
    <sheetView tabSelected="1" topLeftCell="E1" workbookViewId="0">
      <selection activeCell="U11" sqref="U11"/>
    </sheetView>
  </sheetViews>
  <sheetFormatPr defaultRowHeight="15" outlineLevelCol="1" x14ac:dyDescent="0.25"/>
  <cols>
    <col min="1" max="4" width="0" hidden="1" customWidth="1" outlineLevel="1"/>
    <col min="5" max="5" width="9" collapsed="1"/>
    <col min="9" max="9" width="10.5703125" bestFit="1" customWidth="1"/>
  </cols>
  <sheetData>
    <row r="1" spans="1:11" x14ac:dyDescent="0.25">
      <c r="A1" t="s">
        <v>28</v>
      </c>
      <c r="H1" t="s">
        <v>31</v>
      </c>
    </row>
    <row r="2" spans="1:11" x14ac:dyDescent="0.25">
      <c r="A2" s="2" t="s">
        <v>29</v>
      </c>
      <c r="B2" s="2" t="s">
        <v>30</v>
      </c>
      <c r="C2" s="2" t="s">
        <v>29</v>
      </c>
      <c r="D2" s="2" t="s">
        <v>30</v>
      </c>
      <c r="E2" s="2" t="s">
        <v>29</v>
      </c>
      <c r="F2" s="2" t="s">
        <v>30</v>
      </c>
      <c r="G2" s="2" t="s">
        <v>29</v>
      </c>
      <c r="H2" s="2" t="s">
        <v>32</v>
      </c>
      <c r="I2" s="2" t="s">
        <v>33</v>
      </c>
      <c r="J2" s="2" t="s">
        <v>7</v>
      </c>
      <c r="K2" s="2" t="s">
        <v>29</v>
      </c>
    </row>
    <row r="3" spans="1:11" x14ac:dyDescent="0.25">
      <c r="A3" s="4" cm="1">
        <f t="array" ref="A3:B10">_xlfn._xlws.SORT(TRANSPOSE(Min.Portfolios),2,-1,TRUE)</f>
        <v>0.55866305679244432</v>
      </c>
      <c r="B3" s="4">
        <v>0.20499979193248413</v>
      </c>
      <c r="C3" s="4" cm="1">
        <f t="array" ref="C3:D10">_xlfn._xlws.SORT(TRANSPOSE(Max.Portfolios),2,1)</f>
        <v>0.18140918947458687</v>
      </c>
      <c r="D3" s="4">
        <v>9.7500943708693708E-2</v>
      </c>
      <c r="E3" s="4" cm="1">
        <f t="array" ref="E3:F18">_xlfn.VSTACK(_xlfn.ANCHORARRAY(A3),_xlfn.ANCHORARRAY(C3))</f>
        <v>0.55866305679244432</v>
      </c>
      <c r="F3" s="4">
        <v>0.20499979193248413</v>
      </c>
      <c r="G3" s="4" cm="1">
        <f t="array" ref="G3:G18">_xlfn.TAKE(_xlfn.ANCHORARRAY(E3),,1)</f>
        <v>0.55866305679244432</v>
      </c>
      <c r="H3" s="26" cm="1">
        <f t="array" ref="H3:H12">100%-_xlfn.ANCHORARRAY(I3)</f>
        <v>1</v>
      </c>
      <c r="I3" s="24" cm="1">
        <f t="array" ref="I3:I12">_xlfn.SEQUENCE(10,1,0%,20%)</f>
        <v>0</v>
      </c>
      <c r="J3" s="58" cm="1">
        <f t="array" ref="J3:J12">_xlfn.ANCHORARRAY(I3)*mkt.risk</f>
        <v>0</v>
      </c>
      <c r="K3" s="58" cm="1">
        <f t="array" ref="K3:K12">H3*riskfree.rate+_xlfn.ANCHORARRAY(I3)*mkt.reward</f>
        <v>0.05</v>
      </c>
    </row>
    <row r="4" spans="1:11" x14ac:dyDescent="0.25">
      <c r="A4" s="4">
        <v>0.36437880788222993</v>
      </c>
      <c r="B4" s="4">
        <v>0.2000006028478111</v>
      </c>
      <c r="C4" s="4">
        <v>0.29564418146544003</v>
      </c>
      <c r="D4" s="4">
        <v>0.1100008520415371</v>
      </c>
      <c r="E4" s="4">
        <v>0.36437880788222993</v>
      </c>
      <c r="F4" s="4">
        <v>0.2000006028478111</v>
      </c>
      <c r="G4" s="4">
        <v>0.36437880788222993</v>
      </c>
      <c r="H4" s="24">
        <v>0.8</v>
      </c>
      <c r="I4" s="24">
        <v>0.2</v>
      </c>
      <c r="J4" s="4">
        <v>3.4000041924053134E-2</v>
      </c>
      <c r="K4" s="4">
        <v>0.15511968222327194</v>
      </c>
    </row>
    <row r="5" spans="1:11" x14ac:dyDescent="0.25">
      <c r="A5" s="4">
        <v>0.50623131116322129</v>
      </c>
      <c r="B5" s="4">
        <v>0.19299978518289135</v>
      </c>
      <c r="C5" s="4">
        <v>0.39543177240566818</v>
      </c>
      <c r="D5" s="4">
        <v>0.13000099711241178</v>
      </c>
      <c r="E5" s="4">
        <v>0.50623131116322129</v>
      </c>
      <c r="F5" s="4">
        <v>0.19299978518289135</v>
      </c>
      <c r="G5" s="4">
        <v>0.50623131116322129</v>
      </c>
      <c r="H5" s="24">
        <v>0.6</v>
      </c>
      <c r="I5" s="24">
        <v>0.4</v>
      </c>
      <c r="J5" s="4">
        <v>6.8000083848106269E-2</v>
      </c>
      <c r="K5" s="4">
        <v>0.26023936444654389</v>
      </c>
    </row>
    <row r="6" spans="1:11" x14ac:dyDescent="0.25">
      <c r="A6" s="4">
        <v>0.21588035050706991</v>
      </c>
      <c r="B6" s="4">
        <v>0.17000021572751831</v>
      </c>
      <c r="C6" s="4">
        <v>0.46818768645868825</v>
      </c>
      <c r="D6" s="4">
        <v>0.15000076576012294</v>
      </c>
      <c r="E6" s="4">
        <v>0.21588035050706991</v>
      </c>
      <c r="F6" s="4">
        <v>0.17000021572751831</v>
      </c>
      <c r="G6" s="4">
        <v>0.21588035050706991</v>
      </c>
      <c r="H6" s="24">
        <v>0.39999999999999991</v>
      </c>
      <c r="I6" s="24">
        <v>0.60000000000000009</v>
      </c>
      <c r="J6" s="4">
        <v>0.1020001257721594</v>
      </c>
      <c r="K6" s="4">
        <v>0.36535904666981589</v>
      </c>
    </row>
    <row r="7" spans="1:11" x14ac:dyDescent="0.25">
      <c r="A7" s="4">
        <v>0.16726130107720488</v>
      </c>
      <c r="B7" s="4">
        <v>0.15000009896409078</v>
      </c>
      <c r="C7" s="4">
        <v>0.52559841111635974</v>
      </c>
      <c r="D7" s="4">
        <v>0.17000020962026566</v>
      </c>
      <c r="E7" s="4">
        <v>0.16726130107720488</v>
      </c>
      <c r="F7" s="4">
        <v>0.15000009896409078</v>
      </c>
      <c r="G7" s="4">
        <v>0.16726130107720488</v>
      </c>
      <c r="H7" s="24">
        <v>0.19999999999999996</v>
      </c>
      <c r="I7" s="24">
        <v>0.8</v>
      </c>
      <c r="J7" s="4">
        <v>0.13600016769621254</v>
      </c>
      <c r="K7" s="4">
        <v>0.47047872889308778</v>
      </c>
    </row>
    <row r="8" spans="1:11" x14ac:dyDescent="0.25">
      <c r="A8" s="4">
        <v>0.10341859407081176</v>
      </c>
      <c r="B8" s="4">
        <v>0.13000095899599756</v>
      </c>
      <c r="C8" s="4">
        <v>0.58158788959688879</v>
      </c>
      <c r="D8" s="4">
        <v>0.1929998917221615</v>
      </c>
      <c r="E8" s="4">
        <v>0.10341859407081176</v>
      </c>
      <c r="F8" s="4">
        <v>0.13000095899599756</v>
      </c>
      <c r="G8" s="4">
        <v>0.10341859407081176</v>
      </c>
      <c r="H8" s="24">
        <v>0</v>
      </c>
      <c r="I8" s="24">
        <v>1</v>
      </c>
      <c r="J8" s="4">
        <v>0.17000020962026566</v>
      </c>
      <c r="K8" s="4">
        <v>0.57559841111635979</v>
      </c>
    </row>
    <row r="9" spans="1:11" x14ac:dyDescent="0.25">
      <c r="A9" s="4">
        <v>9.4133950527936494E-2</v>
      </c>
      <c r="B9" s="4">
        <v>0.10999950507473696</v>
      </c>
      <c r="C9" s="4">
        <v>0.59145102676470618</v>
      </c>
      <c r="D9" s="4">
        <v>0.1999994008676364</v>
      </c>
      <c r="E9" s="4">
        <v>9.4133950527936494E-2</v>
      </c>
      <c r="F9" s="4">
        <v>0.10999950507473696</v>
      </c>
      <c r="G9" s="4">
        <v>9.4133950527936494E-2</v>
      </c>
      <c r="H9" s="24">
        <v>-0.19999999999999996</v>
      </c>
      <c r="I9" s="24">
        <v>1.2</v>
      </c>
      <c r="J9" s="4">
        <v>0.20400025154431878</v>
      </c>
      <c r="K9" s="4">
        <v>0.68071809333963174</v>
      </c>
    </row>
    <row r="10" spans="1:11" x14ac:dyDescent="0.25">
      <c r="A10">
        <v>0.1375130319001904</v>
      </c>
      <c r="B10">
        <v>9.750099865658296E-2</v>
      </c>
      <c r="C10">
        <v>0.58850105912205908</v>
      </c>
      <c r="D10">
        <v>0.20499941192068444</v>
      </c>
      <c r="E10" s="4">
        <v>0.1375130319001904</v>
      </c>
      <c r="F10" s="4">
        <v>9.750099865658296E-2</v>
      </c>
      <c r="G10" s="4">
        <v>0.1375130319001904</v>
      </c>
      <c r="H10" s="24">
        <v>-0.39999999999999991</v>
      </c>
      <c r="I10" s="24">
        <v>1.4</v>
      </c>
      <c r="J10" s="4">
        <v>0.2380002934683719</v>
      </c>
      <c r="K10" s="4">
        <v>0.78583777556290368</v>
      </c>
    </row>
    <row r="11" spans="1:11" x14ac:dyDescent="0.25">
      <c r="E11" s="4">
        <v>0.18140918947458687</v>
      </c>
      <c r="F11" s="4">
        <v>9.7500943708693708E-2</v>
      </c>
      <c r="G11" s="4">
        <v>0.18140918947458687</v>
      </c>
      <c r="H11" s="24">
        <v>-0.59999999999999987</v>
      </c>
      <c r="I11" s="24">
        <v>1.5999999999999999</v>
      </c>
      <c r="J11" s="4">
        <v>0.27200033539242502</v>
      </c>
      <c r="K11" s="4">
        <v>0.89095745778617552</v>
      </c>
    </row>
    <row r="12" spans="1:11" x14ac:dyDescent="0.25">
      <c r="E12" s="4">
        <v>0.29564418146544003</v>
      </c>
      <c r="F12" s="4">
        <v>0.1100008520415371</v>
      </c>
      <c r="G12" s="4">
        <v>0.29564418146544003</v>
      </c>
      <c r="H12" s="24">
        <v>-0.79999999999999982</v>
      </c>
      <c r="I12" s="24">
        <v>1.7999999999999998</v>
      </c>
      <c r="J12" s="4">
        <v>0.30600037731647817</v>
      </c>
      <c r="K12" s="4">
        <v>0.99607714000944747</v>
      </c>
    </row>
    <row r="13" spans="1:11" x14ac:dyDescent="0.25">
      <c r="E13" s="4">
        <v>0.39543177240566818</v>
      </c>
      <c r="F13" s="4">
        <v>0.13000099711241178</v>
      </c>
      <c r="G13" s="4">
        <v>0.39543177240566818</v>
      </c>
    </row>
    <row r="14" spans="1:11" x14ac:dyDescent="0.25">
      <c r="E14" s="4">
        <v>0.46818768645868825</v>
      </c>
      <c r="F14" s="4">
        <v>0.15000076576012294</v>
      </c>
      <c r="G14" s="4">
        <v>0.46818768645868825</v>
      </c>
    </row>
    <row r="15" spans="1:11" x14ac:dyDescent="0.25">
      <c r="E15" s="4">
        <v>0.52559841111635974</v>
      </c>
      <c r="F15" s="4">
        <v>0.17000020962026566</v>
      </c>
      <c r="G15" s="4">
        <v>0.52559841111635974</v>
      </c>
    </row>
    <row r="16" spans="1:11" x14ac:dyDescent="0.25">
      <c r="E16" s="4">
        <v>0.58158788959688879</v>
      </c>
      <c r="F16" s="4">
        <v>0.1929998917221615</v>
      </c>
      <c r="G16" s="4">
        <v>0.58158788959688879</v>
      </c>
    </row>
    <row r="17" spans="5:7" x14ac:dyDescent="0.25">
      <c r="E17" s="4">
        <v>0.59145102676470618</v>
      </c>
      <c r="F17" s="4">
        <v>0.1999994008676364</v>
      </c>
      <c r="G17" s="4">
        <v>0.59145102676470618</v>
      </c>
    </row>
    <row r="18" spans="5:7" x14ac:dyDescent="0.25">
      <c r="E18" s="4">
        <v>0.58850105912205908</v>
      </c>
      <c r="F18" s="4">
        <v>0.20499941192068444</v>
      </c>
      <c r="G18" s="4">
        <v>0.58850105912205908</v>
      </c>
    </row>
  </sheetData>
  <pageMargins left="0.7" right="0.7" top="0.75" bottom="0.75" header="0.3" footer="0.3"/>
  <pageSetup scale="83"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98D7B-3435-4D0D-AFED-E92FD4777AAB}">
  <dimension ref="A1:P507"/>
  <sheetViews>
    <sheetView workbookViewId="0">
      <selection activeCell="E3" sqref="E3"/>
    </sheetView>
  </sheetViews>
  <sheetFormatPr defaultRowHeight="15" x14ac:dyDescent="0.25"/>
  <cols>
    <col min="1" max="1" width="16.5703125" customWidth="1"/>
  </cols>
  <sheetData>
    <row r="1" spans="1:16" x14ac:dyDescent="0.25">
      <c r="A1" t="s">
        <v>6</v>
      </c>
      <c r="B1" s="4">
        <f t="shared" ref="B1:P1" ca="1" si="0">(B2/B3)^(1/YEARFRAC(start.date,end.date))-1</f>
        <v>0.50188731146161447</v>
      </c>
      <c r="C1" s="4">
        <f t="shared" ca="1" si="0"/>
        <v>0.24426150888183029</v>
      </c>
      <c r="D1" s="4">
        <f t="shared" ca="1" si="0"/>
        <v>3.6788763069179442E-2</v>
      </c>
      <c r="E1" s="4">
        <f t="shared" ca="1" si="0"/>
        <v>6.6631152091231494E-2</v>
      </c>
      <c r="F1" s="4">
        <f t="shared" ca="1" si="0"/>
        <v>8.8487782986215846E-2</v>
      </c>
      <c r="G1" s="4">
        <f t="shared" ca="1" si="0"/>
        <v>-7.2257429010123553E-2</v>
      </c>
      <c r="H1" s="4">
        <f t="shared" ca="1" si="0"/>
        <v>0.66697619188579194</v>
      </c>
      <c r="I1" s="4">
        <f t="shared" ca="1" si="0"/>
        <v>4.2895298341592669E-2</v>
      </c>
      <c r="J1" s="4">
        <f t="shared" ca="1" si="0"/>
        <v>0.47773725613562257</v>
      </c>
      <c r="K1" s="4">
        <f t="shared" ca="1" si="0"/>
        <v>1.166527912084955</v>
      </c>
      <c r="L1" s="4">
        <f t="shared" ca="1" si="0"/>
        <v>0.50201520709580794</v>
      </c>
      <c r="M1" s="4">
        <f t="shared" ca="1" si="0"/>
        <v>9.1745040990196536E-3</v>
      </c>
      <c r="N1" s="4">
        <f t="shared" ca="1" si="0"/>
        <v>4.6836336235839715E-2</v>
      </c>
      <c r="O1" s="4">
        <f t="shared" ca="1" si="0"/>
        <v>0.46244363486399709</v>
      </c>
      <c r="P1" s="4">
        <f t="shared" ca="1" si="0"/>
        <v>0.34091564741541114</v>
      </c>
    </row>
    <row r="2" spans="1:16" x14ac:dyDescent="0.25">
      <c r="A2" t="s">
        <v>5</v>
      </c>
      <c r="B2" cm="1" vm="16">
        <f t="array" aca="1" ref="B2" ca="1">_xlfn.TAKE(_xlfn.ANCHORARRAY(the.dates),-1,-1)</f>
        <v>636.03</v>
      </c>
      <c r="C2" cm="1" vm="17">
        <f t="array" aca="1" ref="C2" ca="1">_xlfn.TAKE(_xlfn.ANCHORARRAY(C6),-1)</f>
        <v>368.84</v>
      </c>
      <c r="D2" cm="1" vm="18">
        <f t="array" aca="1" ref="D2" ca="1">_xlfn.TAKE(_xlfn.ANCHORARRAY(D6),-1)</f>
        <v>62.26</v>
      </c>
      <c r="E2" cm="1" vm="19">
        <f t="array" aca="1" ref="E2" ca="1">_xlfn.TAKE(_xlfn.ANCHORARRAY(E6),-1)</f>
        <v>205.56</v>
      </c>
      <c r="F2" cm="1" vm="20">
        <f t="array" aca="1" ref="F2" ca="1">_xlfn.TAKE(_xlfn.ANCHORARRAY(F6),-1)</f>
        <v>167.65</v>
      </c>
      <c r="G2" cm="1" vm="21">
        <f t="array" aca="1" ref="G2" ca="1">_xlfn.TAKE(_xlfn.ANCHORARRAY(G6),-1)</f>
        <v>30.71</v>
      </c>
      <c r="H2" cm="1" vm="22">
        <f t="array" aca="1" ref="H2" ca="1">_xlfn.TAKE(_xlfn.ANCHORARRAY(H6),-1)</f>
        <v>197.49</v>
      </c>
      <c r="I2" cm="1" vm="23">
        <f t="array" aca="1" ref="I2" ca="1">_xlfn.TAKE(_xlfn.ANCHORARRAY(I6),-1)</f>
        <v>32.270000000000003</v>
      </c>
      <c r="J2" cm="1" vm="24">
        <f t="array" aca="1" ref="J2" ca="1">_xlfn.TAKE(_xlfn.ANCHORARRAY(J6),-1)</f>
        <v>26.27</v>
      </c>
      <c r="K2" cm="1" vm="25">
        <f t="array" aca="1" ref="K2" ca="1">_xlfn.TAKE(_xlfn.ANCHORARRAY(K6),-1)</f>
        <v>585.51</v>
      </c>
      <c r="L2" cm="1" vm="26">
        <f t="array" aca="1" ref="L2" ca="1">_xlfn.TAKE(_xlfn.ANCHORARRAY(L6),-1)</f>
        <v>316.05</v>
      </c>
      <c r="M2" cm="1" vm="27">
        <f t="array" aca="1" ref="M2" ca="1">_xlfn.TAKE(_xlfn.ANCHORARRAY(M6),-1)</f>
        <v>221</v>
      </c>
      <c r="N2" cm="1" vm="28">
        <f t="array" aca="1" ref="N2" ca="1">_xlfn.TAKE(_xlfn.ANCHORARRAY(N6),-1)</f>
        <v>485.94</v>
      </c>
      <c r="O2" cm="1" vm="29">
        <f t="array" aca="1" ref="O2" ca="1">_xlfn.TAKE(_xlfn.ANCHORARRAY(O6),-1)</f>
        <v>189.3</v>
      </c>
      <c r="P2" cm="1" vm="30">
        <f t="array" aca="1" ref="P2" ca="1">_xlfn.TAKE(_xlfn.ANCHORARRAY(P6),-1)</f>
        <v>421.5</v>
      </c>
    </row>
    <row r="3" spans="1:16" x14ac:dyDescent="0.25">
      <c r="A3" t="s">
        <v>4</v>
      </c>
      <c r="B3">
        <v>281.97000000000003</v>
      </c>
      <c r="C3" vm="31">
        <f ca="1">+C7</f>
        <v>238.24</v>
      </c>
      <c r="D3">
        <v>57.92</v>
      </c>
      <c r="E3">
        <v>180.68</v>
      </c>
      <c r="F3">
        <v>141.5</v>
      </c>
      <c r="G3">
        <v>35.68</v>
      </c>
      <c r="H3">
        <v>71.069999999999993</v>
      </c>
      <c r="I3">
        <v>29.67</v>
      </c>
      <c r="J3">
        <v>12.03</v>
      </c>
      <c r="K3">
        <v>124.74</v>
      </c>
      <c r="L3">
        <v>140.09</v>
      </c>
      <c r="M3">
        <v>217</v>
      </c>
      <c r="N3">
        <v>443.43</v>
      </c>
      <c r="O3">
        <v>88.51</v>
      </c>
      <c r="P3">
        <v>234.42</v>
      </c>
    </row>
    <row r="4" spans="1:16" x14ac:dyDescent="0.25">
      <c r="B4" t="e" cm="1" vm="1">
        <f t="array" ref="B4:P4">TRANSPOSE(stock.list)</f>
        <v>#VALUE!</v>
      </c>
      <c r="C4" t="e" vm="2">
        <v>#VALUE!</v>
      </c>
      <c r="D4" t="e" vm="3">
        <v>#VALUE!</v>
      </c>
      <c r="E4" t="e" vm="4">
        <v>#VALUE!</v>
      </c>
      <c r="F4" t="e" vm="5">
        <v>#VALUE!</v>
      </c>
      <c r="G4" t="e" vm="6">
        <v>#VALUE!</v>
      </c>
      <c r="H4" t="e" vm="7">
        <v>#VALUE!</v>
      </c>
      <c r="I4" t="e" vm="8">
        <v>#VALUE!</v>
      </c>
      <c r="J4" t="e" vm="9">
        <v>#VALUE!</v>
      </c>
      <c r="K4" t="e" vm="10">
        <v>#VALUE!</v>
      </c>
      <c r="L4" t="e" vm="11">
        <v>#VALUE!</v>
      </c>
      <c r="M4" t="e" vm="12">
        <v>#VALUE!</v>
      </c>
      <c r="N4" t="e" vm="13">
        <v>#VALUE!</v>
      </c>
      <c r="O4" t="e" vm="14">
        <v>#VALUE!</v>
      </c>
      <c r="P4" t="e" vm="15">
        <v>#VALUE!</v>
      </c>
    </row>
    <row r="5" spans="1:16" x14ac:dyDescent="0.25">
      <c r="B5" s="2" t="str" cm="1">
        <f t="array" aca="1" ref="B5:P5" ca="1">TRANSPOSE(stock.tickers)</f>
        <v>PH</v>
      </c>
      <c r="C5" s="2" t="str">
        <f ca="1"/>
        <v>CSL</v>
      </c>
      <c r="D5" s="2" t="str">
        <f ca="1"/>
        <v>KO</v>
      </c>
      <c r="E5" s="2" t="str">
        <f ca="1"/>
        <v>STE</v>
      </c>
      <c r="F5" s="2" t="str">
        <f ca="1"/>
        <v>PG</v>
      </c>
      <c r="G5" s="2" t="str">
        <f ca="1"/>
        <v>KHC</v>
      </c>
      <c r="H5" s="2" t="str">
        <f ca="1"/>
        <v>TSM</v>
      </c>
      <c r="I5" s="2" t="str">
        <f ca="1"/>
        <v>CSX</v>
      </c>
      <c r="J5" s="2" t="str">
        <f ca="1"/>
        <v>PKOH</v>
      </c>
      <c r="K5" s="2" t="str">
        <f ca="1"/>
        <v>META</v>
      </c>
      <c r="L5" s="2" t="str">
        <f ca="1"/>
        <v>PWR</v>
      </c>
      <c r="M5" s="2" t="str">
        <f ca="1"/>
        <v>STZ</v>
      </c>
      <c r="N5" s="2" t="str">
        <f ca="1"/>
        <v>LMT</v>
      </c>
      <c r="O5" s="2" t="str">
        <f ca="1"/>
        <v>GOOGL</v>
      </c>
      <c r="P5" s="2" t="str">
        <f ca="1"/>
        <v>MSFT</v>
      </c>
    </row>
    <row r="6" spans="1:16" x14ac:dyDescent="0.25">
      <c r="A6" cm="1" vm="32">
        <f t="array" aca="1" ref="A6:B507" ca="1">+_xlfn.STOCKHISTORY(B4,start.date,end.date,0,0,0,1)</f>
        <v>44929</v>
      </c>
      <c r="B6" vm="33">
        <f ca="1"/>
        <v>291.76</v>
      </c>
      <c r="C6" cm="1" vm="34">
        <f t="array" aca="1" ref="C6:C507" ca="1">_xlfn.STOCKHISTORY(C5,start.date,end.date,0,0,1)</f>
        <v>234.29</v>
      </c>
      <c r="D6" cm="1" vm="35">
        <f t="array" aca="1" ref="D6:D507" ca="1">_xlfn.STOCKHISTORY(D5,start.date,end.date,0,0,1)</f>
        <v>62.95</v>
      </c>
      <c r="E6" cm="1" vm="36">
        <f t="array" aca="1" ref="E6:E507" ca="1">_xlfn.STOCKHISTORY(E5,start.date,end.date,0,0,1)</f>
        <v>185.58</v>
      </c>
      <c r="F6" cm="1" vm="37">
        <f t="array" aca="1" ref="F6:F507" ca="1">_xlfn.STOCKHISTORY(F5,start.date,end.date,0,0,1)</f>
        <v>151.57</v>
      </c>
      <c r="G6" cm="1" vm="38">
        <f t="array" aca="1" ref="G6:G507" ca="1">_xlfn.STOCKHISTORY(G5,start.date,end.date,0,0,1)</f>
        <v>40.78</v>
      </c>
      <c r="H6" cm="1" vm="39">
        <f t="array" aca="1" ref="H6:H507" ca="1">_xlfn.STOCKHISTORY(H5,start.date,end.date,0,0,1)</f>
        <v>74.03</v>
      </c>
      <c r="I6" cm="1" vm="40">
        <f t="array" aca="1" ref="I6:I507" ca="1">_xlfn.STOCKHISTORY(I5,start.date,end.date,0,0,1)</f>
        <v>30.88</v>
      </c>
      <c r="J6" cm="1" vm="41">
        <f t="array" aca="1" ref="J6:J507" ca="1">_xlfn.STOCKHISTORY(J5,start.date,end.date,0,0,1)</f>
        <v>12.86</v>
      </c>
      <c r="K6" cm="1" vm="42">
        <f t="array" aca="1" ref="K6:K507" ca="1">_xlfn.STOCKHISTORY(K5,start.date,end.date,0,0,1)</f>
        <v>124.74</v>
      </c>
      <c r="L6" cm="1" vm="43">
        <f t="array" aca="1" ref="L6:L507" ca="1">_xlfn.STOCKHISTORY(L5,start.date,end.date,0,0,1)</f>
        <v>140.61000000000001</v>
      </c>
      <c r="M6" cm="1" vm="44">
        <f t="array" aca="1" ref="M6:M507" ca="1">_xlfn.STOCKHISTORY(M5,start.date,end.date,0,0,1)</f>
        <v>227.6</v>
      </c>
      <c r="N6" cm="1" vm="45">
        <f t="array" aca="1" ref="N6:N507" ca="1">_xlfn.STOCKHISTORY(N5,start.date,end.date,0,0,1)</f>
        <v>477.53</v>
      </c>
      <c r="O6" cm="1" vm="46">
        <f t="array" aca="1" ref="O6:O507" ca="1">_xlfn.STOCKHISTORY(O5,start.date,end.date,0,0,1)</f>
        <v>89.12</v>
      </c>
      <c r="P6" cm="1" vm="47">
        <f t="array" aca="1" ref="P6:P507" ca="1">_xlfn.STOCKHISTORY(P5,start.date,end.date,0,0,1)</f>
        <v>239.58</v>
      </c>
    </row>
    <row r="7" spans="1:16" x14ac:dyDescent="0.25">
      <c r="A7" vm="48">
        <f ca="1"/>
        <v>44930</v>
      </c>
      <c r="B7" vm="49">
        <f ca="1"/>
        <v>296.89</v>
      </c>
      <c r="C7" vm="31">
        <f ca="1"/>
        <v>238.24</v>
      </c>
      <c r="D7" vm="50">
        <f ca="1"/>
        <v>62.92</v>
      </c>
      <c r="E7" vm="51">
        <f ca="1"/>
        <v>191.32</v>
      </c>
      <c r="F7" vm="52">
        <f ca="1"/>
        <v>152.22999999999999</v>
      </c>
      <c r="G7" vm="53">
        <f ca="1"/>
        <v>41.24</v>
      </c>
      <c r="H7" vm="54">
        <f ca="1"/>
        <v>76.319999999999993</v>
      </c>
      <c r="I7" vm="55">
        <f ca="1"/>
        <v>31.28</v>
      </c>
      <c r="J7" vm="56">
        <f ca="1"/>
        <v>12.16</v>
      </c>
      <c r="K7" vm="57">
        <f ca="1"/>
        <v>127.37</v>
      </c>
      <c r="L7" vm="58">
        <f ca="1"/>
        <v>138.55000000000001</v>
      </c>
      <c r="M7" vm="59">
        <f ca="1"/>
        <v>231.16</v>
      </c>
      <c r="N7" vm="60">
        <f ca="1"/>
        <v>476.5</v>
      </c>
      <c r="O7" vm="61">
        <f ca="1"/>
        <v>88.08</v>
      </c>
      <c r="P7" vm="62">
        <f ca="1"/>
        <v>229.1</v>
      </c>
    </row>
    <row r="8" spans="1:16" x14ac:dyDescent="0.25">
      <c r="A8" vm="63">
        <f ca="1"/>
        <v>44931</v>
      </c>
      <c r="B8" vm="64">
        <f ca="1"/>
        <v>298.10000000000002</v>
      </c>
      <c r="C8" vm="65">
        <f ca="1"/>
        <v>229.89</v>
      </c>
      <c r="D8" vm="66">
        <f ca="1"/>
        <v>62.2</v>
      </c>
      <c r="E8" vm="67">
        <f ca="1"/>
        <v>187.29</v>
      </c>
      <c r="F8" vm="68">
        <f ca="1"/>
        <v>150.34</v>
      </c>
      <c r="G8" vm="69">
        <f ca="1"/>
        <v>41.33</v>
      </c>
      <c r="H8" vm="70">
        <f ca="1"/>
        <v>75.73</v>
      </c>
      <c r="I8" vm="71">
        <f ca="1"/>
        <v>30.91</v>
      </c>
      <c r="J8" vm="72">
        <f ca="1"/>
        <v>12.58</v>
      </c>
      <c r="K8" vm="73">
        <f ca="1"/>
        <v>126.94</v>
      </c>
      <c r="L8" vm="74">
        <f ca="1"/>
        <v>135.57</v>
      </c>
      <c r="M8" vm="75">
        <f ca="1"/>
        <v>208.68</v>
      </c>
      <c r="N8" vm="76">
        <f ca="1"/>
        <v>477.07</v>
      </c>
      <c r="O8" vm="77">
        <f ca="1"/>
        <v>86.2</v>
      </c>
      <c r="P8" vm="78">
        <f ca="1"/>
        <v>222.31</v>
      </c>
    </row>
    <row r="9" spans="1:16" x14ac:dyDescent="0.25">
      <c r="A9" vm="79">
        <f ca="1"/>
        <v>44932</v>
      </c>
      <c r="B9" vm="80">
        <f ca="1"/>
        <v>308.55</v>
      </c>
      <c r="C9" vm="81">
        <f ca="1"/>
        <v>236.63</v>
      </c>
      <c r="D9" vm="82">
        <f ca="1"/>
        <v>63.4</v>
      </c>
      <c r="E9" vm="83">
        <f ca="1"/>
        <v>191.75</v>
      </c>
      <c r="F9" vm="84">
        <f ca="1"/>
        <v>153.91999999999999</v>
      </c>
      <c r="G9" vm="85">
        <f ca="1"/>
        <v>42.59</v>
      </c>
      <c r="H9" vm="86">
        <f ca="1"/>
        <v>78.069999999999993</v>
      </c>
      <c r="I9" vm="87">
        <f ca="1"/>
        <v>32.200000000000003</v>
      </c>
      <c r="J9" vm="88">
        <f ca="1"/>
        <v>12.3</v>
      </c>
      <c r="K9" vm="89">
        <f ca="1"/>
        <v>130.02000000000001</v>
      </c>
      <c r="L9" vm="90">
        <f ca="1"/>
        <v>139.12</v>
      </c>
      <c r="M9" vm="91">
        <f ca="1"/>
        <v>214.23</v>
      </c>
      <c r="N9" vm="92">
        <f ca="1"/>
        <v>473.24</v>
      </c>
      <c r="O9" vm="93">
        <f ca="1"/>
        <v>87.34</v>
      </c>
      <c r="P9" vm="94">
        <f ca="1"/>
        <v>224.93</v>
      </c>
    </row>
    <row r="10" spans="1:16" x14ac:dyDescent="0.25">
      <c r="A10" vm="95">
        <f ca="1"/>
        <v>44935</v>
      </c>
      <c r="B10" vm="96">
        <f ca="1"/>
        <v>309.52</v>
      </c>
      <c r="C10" vm="97">
        <f ca="1"/>
        <v>237.64</v>
      </c>
      <c r="D10" vm="98">
        <f ca="1"/>
        <v>62.61</v>
      </c>
      <c r="E10" vm="99">
        <f ca="1"/>
        <v>190.85</v>
      </c>
      <c r="F10" vm="100">
        <f ca="1"/>
        <v>152.04</v>
      </c>
      <c r="G10" vm="101">
        <f ca="1"/>
        <v>42.2</v>
      </c>
      <c r="H10" vm="102">
        <f ca="1"/>
        <v>80.31</v>
      </c>
      <c r="I10" vm="103">
        <f ca="1"/>
        <v>32.14</v>
      </c>
      <c r="J10" vm="104">
        <f ca="1"/>
        <v>12.99</v>
      </c>
      <c r="K10" vm="105">
        <f ca="1"/>
        <v>129.47</v>
      </c>
      <c r="L10" vm="106">
        <f ca="1"/>
        <v>138.63999999999999</v>
      </c>
      <c r="M10" vm="107">
        <f ca="1"/>
        <v>215.51</v>
      </c>
      <c r="N10" vm="108">
        <f ca="1"/>
        <v>458.99</v>
      </c>
      <c r="O10" vm="109">
        <f ca="1"/>
        <v>88.02</v>
      </c>
      <c r="P10" vm="110">
        <f ca="1"/>
        <v>227.12</v>
      </c>
    </row>
    <row r="11" spans="1:16" x14ac:dyDescent="0.25">
      <c r="A11" vm="111">
        <f ca="1"/>
        <v>44936</v>
      </c>
      <c r="B11" vm="112">
        <f ca="1"/>
        <v>310.5</v>
      </c>
      <c r="C11" vm="113">
        <f ca="1"/>
        <v>238.85</v>
      </c>
      <c r="D11" vm="114">
        <f ca="1"/>
        <v>62.13</v>
      </c>
      <c r="E11" vm="115">
        <f ca="1"/>
        <v>201.52</v>
      </c>
      <c r="F11" vm="116">
        <f ca="1"/>
        <v>151.88999999999999</v>
      </c>
      <c r="G11" vm="117">
        <f ca="1"/>
        <v>42.33</v>
      </c>
      <c r="H11" vm="118">
        <f ca="1"/>
        <v>81.27</v>
      </c>
      <c r="I11" vm="119">
        <f ca="1"/>
        <v>32.4</v>
      </c>
      <c r="J11" vm="120">
        <f ca="1"/>
        <v>13.24</v>
      </c>
      <c r="K11" vm="121">
        <f ca="1"/>
        <v>132.99</v>
      </c>
      <c r="L11" vm="122">
        <f ca="1"/>
        <v>139.51</v>
      </c>
      <c r="M11" vm="123">
        <f ca="1"/>
        <v>220</v>
      </c>
      <c r="N11" vm="124">
        <f ca="1"/>
        <v>462.29</v>
      </c>
      <c r="O11" vm="125">
        <f ca="1"/>
        <v>88.42</v>
      </c>
      <c r="P11" vm="126">
        <f ca="1"/>
        <v>228.85</v>
      </c>
    </row>
    <row r="12" spans="1:16" x14ac:dyDescent="0.25">
      <c r="A12" vm="127">
        <f ca="1"/>
        <v>44937</v>
      </c>
      <c r="B12" vm="128">
        <f ca="1"/>
        <v>311.32</v>
      </c>
      <c r="C12" vm="129">
        <f ca="1"/>
        <v>246.24</v>
      </c>
      <c r="D12" vm="130">
        <f ca="1"/>
        <v>62.01</v>
      </c>
      <c r="E12" vm="131">
        <f ca="1"/>
        <v>200.69</v>
      </c>
      <c r="F12" vm="132">
        <f ca="1"/>
        <v>150.66</v>
      </c>
      <c r="G12" vm="133">
        <f ca="1"/>
        <v>42.56</v>
      </c>
      <c r="H12" vm="134">
        <f ca="1"/>
        <v>81.78</v>
      </c>
      <c r="I12" vm="135">
        <f ca="1"/>
        <v>32.450000000000003</v>
      </c>
      <c r="J12" vm="136">
        <f ca="1"/>
        <v>12.7</v>
      </c>
      <c r="K12" vm="137">
        <f ca="1"/>
        <v>132.88999999999999</v>
      </c>
      <c r="L12" vm="138">
        <f ca="1"/>
        <v>140.69</v>
      </c>
      <c r="M12" vm="139">
        <f ca="1"/>
        <v>222.64</v>
      </c>
      <c r="N12" vm="140">
        <f ca="1"/>
        <v>463</v>
      </c>
      <c r="O12" vm="141">
        <f ca="1"/>
        <v>91.52</v>
      </c>
      <c r="P12" vm="142">
        <f ca="1"/>
        <v>235.77</v>
      </c>
    </row>
    <row r="13" spans="1:16" x14ac:dyDescent="0.25">
      <c r="A13" vm="143">
        <f ca="1"/>
        <v>44938</v>
      </c>
      <c r="B13" vm="144">
        <f ca="1"/>
        <v>315.18</v>
      </c>
      <c r="C13" vm="145">
        <f ca="1"/>
        <v>241.93</v>
      </c>
      <c r="D13" vm="146">
        <f ca="1"/>
        <v>61.21</v>
      </c>
      <c r="E13" vm="147">
        <f ca="1"/>
        <v>200.23</v>
      </c>
      <c r="F13" vm="148">
        <f ca="1"/>
        <v>149.81</v>
      </c>
      <c r="G13" vm="149">
        <f ca="1"/>
        <v>42.43</v>
      </c>
      <c r="H13" vm="150">
        <f ca="1"/>
        <v>87</v>
      </c>
      <c r="I13" vm="151">
        <f ca="1"/>
        <v>32.49</v>
      </c>
      <c r="J13" vm="152">
        <f ca="1"/>
        <v>13.99</v>
      </c>
      <c r="K13" vm="153">
        <f ca="1"/>
        <v>136.71</v>
      </c>
      <c r="L13" vm="154">
        <f ca="1"/>
        <v>147.81</v>
      </c>
      <c r="M13" vm="155">
        <f ca="1"/>
        <v>223.19</v>
      </c>
      <c r="N13" vm="156">
        <f ca="1"/>
        <v>461.74</v>
      </c>
      <c r="O13" vm="157">
        <f ca="1"/>
        <v>91.13</v>
      </c>
      <c r="P13" vm="158">
        <f ca="1"/>
        <v>238.51</v>
      </c>
    </row>
    <row r="14" spans="1:16" x14ac:dyDescent="0.25">
      <c r="A14" vm="159">
        <f ca="1"/>
        <v>44939</v>
      </c>
      <c r="B14" vm="160">
        <f ca="1"/>
        <v>317.49</v>
      </c>
      <c r="C14" vm="161">
        <f ca="1"/>
        <v>239.43</v>
      </c>
      <c r="D14" vm="162">
        <f ca="1"/>
        <v>61.43</v>
      </c>
      <c r="E14" vm="163">
        <f ca="1"/>
        <v>202.03</v>
      </c>
      <c r="F14" vm="164">
        <f ca="1"/>
        <v>150.88</v>
      </c>
      <c r="G14" vm="165">
        <f ca="1"/>
        <v>42.42</v>
      </c>
      <c r="H14" vm="166">
        <f ca="1"/>
        <v>86.8</v>
      </c>
      <c r="I14" vm="167">
        <f ca="1"/>
        <v>32.42</v>
      </c>
      <c r="J14" vm="168">
        <f ca="1"/>
        <v>14.15</v>
      </c>
      <c r="K14" vm="169">
        <f ca="1"/>
        <v>136.97999999999999</v>
      </c>
      <c r="L14" vm="170">
        <f ca="1"/>
        <v>148.5</v>
      </c>
      <c r="M14" vm="171">
        <f ca="1"/>
        <v>225</v>
      </c>
      <c r="N14" vm="172">
        <f ca="1"/>
        <v>449.83</v>
      </c>
      <c r="O14" vm="173">
        <f ca="1"/>
        <v>92.12</v>
      </c>
      <c r="P14" vm="174">
        <f ca="1"/>
        <v>239.23</v>
      </c>
    </row>
    <row r="15" spans="1:16" x14ac:dyDescent="0.25">
      <c r="A15" vm="175">
        <f ca="1"/>
        <v>44943</v>
      </c>
      <c r="B15" vm="176">
        <f ca="1"/>
        <v>314.70999999999998</v>
      </c>
      <c r="C15" vm="177">
        <f ca="1"/>
        <v>238.17</v>
      </c>
      <c r="D15" vm="178">
        <f ca="1"/>
        <v>61.68</v>
      </c>
      <c r="E15" vm="179">
        <f ca="1"/>
        <v>199.88</v>
      </c>
      <c r="F15" vm="180">
        <f ca="1"/>
        <v>150.44</v>
      </c>
      <c r="G15" vm="117">
        <f ca="1"/>
        <v>42.33</v>
      </c>
      <c r="H15" vm="181">
        <f ca="1"/>
        <v>88.99</v>
      </c>
      <c r="I15" vm="182">
        <f ca="1"/>
        <v>32.6</v>
      </c>
      <c r="J15" vm="183">
        <f ca="1"/>
        <v>13.86</v>
      </c>
      <c r="K15" vm="184">
        <f ca="1"/>
        <v>135.36000000000001</v>
      </c>
      <c r="L15" vm="185">
        <f ca="1"/>
        <v>148.27000000000001</v>
      </c>
      <c r="M15" vm="186">
        <f ca="1"/>
        <v>223.78</v>
      </c>
      <c r="N15" vm="187">
        <f ca="1"/>
        <v>447.16</v>
      </c>
      <c r="O15" vm="188">
        <f ca="1"/>
        <v>91.29</v>
      </c>
      <c r="P15" vm="189">
        <f ca="1"/>
        <v>240.35</v>
      </c>
    </row>
    <row r="16" spans="1:16" x14ac:dyDescent="0.25">
      <c r="A16" vm="190">
        <f ca="1"/>
        <v>44944</v>
      </c>
      <c r="B16" vm="191">
        <f ca="1"/>
        <v>307.81</v>
      </c>
      <c r="C16" vm="192">
        <f ca="1"/>
        <v>237.01</v>
      </c>
      <c r="D16" vm="193">
        <f ca="1"/>
        <v>59.81</v>
      </c>
      <c r="E16" vm="194">
        <f ca="1"/>
        <v>195.14</v>
      </c>
      <c r="F16" vm="195">
        <f ca="1"/>
        <v>146.41</v>
      </c>
      <c r="G16" vm="196">
        <f ca="1"/>
        <v>39.659999999999997</v>
      </c>
      <c r="H16" vm="197">
        <f ca="1"/>
        <v>89.47</v>
      </c>
      <c r="I16" vm="198">
        <f ca="1"/>
        <v>32.229999999999997</v>
      </c>
      <c r="J16" vm="199">
        <f ca="1"/>
        <v>13.6</v>
      </c>
      <c r="K16" vm="200">
        <f ca="1"/>
        <v>133.02000000000001</v>
      </c>
      <c r="L16" vm="201">
        <f ca="1"/>
        <v>144.30000000000001</v>
      </c>
      <c r="M16" vm="202">
        <f ca="1"/>
        <v>219.6</v>
      </c>
      <c r="N16" vm="203">
        <f ca="1"/>
        <v>441.27</v>
      </c>
      <c r="O16" vm="204">
        <f ca="1"/>
        <v>91.12</v>
      </c>
      <c r="P16" vm="205">
        <f ca="1"/>
        <v>235.81</v>
      </c>
    </row>
    <row r="17" spans="1:16" x14ac:dyDescent="0.25">
      <c r="A17" vm="206">
        <f ca="1"/>
        <v>44945</v>
      </c>
      <c r="B17" vm="207">
        <f ca="1"/>
        <v>297.81</v>
      </c>
      <c r="C17" vm="208">
        <f ca="1"/>
        <v>233.92</v>
      </c>
      <c r="D17" vm="209">
        <f ca="1"/>
        <v>59.72</v>
      </c>
      <c r="E17" vm="210">
        <f ca="1"/>
        <v>199.17</v>
      </c>
      <c r="F17" vm="211">
        <f ca="1"/>
        <v>142.41999999999999</v>
      </c>
      <c r="G17" vm="212">
        <f ca="1"/>
        <v>40.04</v>
      </c>
      <c r="H17" vm="213">
        <f ca="1"/>
        <v>88.4</v>
      </c>
      <c r="I17" vm="214">
        <f ca="1"/>
        <v>31.55</v>
      </c>
      <c r="J17" vm="215">
        <f ca="1"/>
        <v>12.97</v>
      </c>
      <c r="K17" vm="216">
        <f ca="1"/>
        <v>136.15</v>
      </c>
      <c r="L17" vm="217">
        <f ca="1"/>
        <v>143.49</v>
      </c>
      <c r="M17" vm="218">
        <f ca="1"/>
        <v>216.59</v>
      </c>
      <c r="N17" vm="219">
        <f ca="1"/>
        <v>439.31</v>
      </c>
      <c r="O17" vm="220">
        <f ca="1"/>
        <v>93.05</v>
      </c>
      <c r="P17" vm="221">
        <f ca="1"/>
        <v>231.93</v>
      </c>
    </row>
    <row r="18" spans="1:16" x14ac:dyDescent="0.25">
      <c r="A18" vm="222">
        <f ca="1"/>
        <v>44946</v>
      </c>
      <c r="B18" vm="223">
        <f ca="1"/>
        <v>305.32</v>
      </c>
      <c r="C18" vm="224">
        <f ca="1"/>
        <v>235.9</v>
      </c>
      <c r="D18" vm="225">
        <f ca="1"/>
        <v>60.08</v>
      </c>
      <c r="E18" vm="226">
        <f ca="1"/>
        <v>205.11</v>
      </c>
      <c r="F18" vm="227">
        <f ca="1"/>
        <v>142.97</v>
      </c>
      <c r="G18" vm="228">
        <f ca="1"/>
        <v>39.880000000000003</v>
      </c>
      <c r="H18" vm="229">
        <f ca="1"/>
        <v>91.03</v>
      </c>
      <c r="I18" vm="230">
        <f ca="1"/>
        <v>32.01</v>
      </c>
      <c r="J18" vm="231">
        <f ca="1"/>
        <v>12.64</v>
      </c>
      <c r="K18" vm="232">
        <f ca="1"/>
        <v>139.37</v>
      </c>
      <c r="L18" vm="233">
        <f ca="1"/>
        <v>146.24</v>
      </c>
      <c r="M18" vm="234">
        <f ca="1"/>
        <v>220.88</v>
      </c>
      <c r="N18" vm="235">
        <f ca="1"/>
        <v>443.28</v>
      </c>
      <c r="O18" vm="236">
        <f ca="1"/>
        <v>98.02</v>
      </c>
      <c r="P18" vm="237">
        <f ca="1"/>
        <v>240.22</v>
      </c>
    </row>
    <row r="19" spans="1:16" x14ac:dyDescent="0.25">
      <c r="A19" vm="238">
        <f ca="1"/>
        <v>44949</v>
      </c>
      <c r="B19" vm="239">
        <f ca="1"/>
        <v>311.70999999999998</v>
      </c>
      <c r="C19" vm="240">
        <f ca="1"/>
        <v>240.29</v>
      </c>
      <c r="D19" vm="241">
        <f ca="1"/>
        <v>60.23</v>
      </c>
      <c r="E19" vm="242">
        <f ca="1"/>
        <v>206.85</v>
      </c>
      <c r="F19" vm="243">
        <f ca="1"/>
        <v>141.05000000000001</v>
      </c>
      <c r="G19" vm="244">
        <f ca="1"/>
        <v>40.26</v>
      </c>
      <c r="H19" vm="245">
        <f ca="1"/>
        <v>95.66</v>
      </c>
      <c r="I19" vm="246">
        <f ca="1"/>
        <v>32.049999999999997</v>
      </c>
      <c r="J19" vm="247">
        <f ca="1"/>
        <v>12.76</v>
      </c>
      <c r="K19" vm="248">
        <f ca="1"/>
        <v>143.27000000000001</v>
      </c>
      <c r="L19" vm="249">
        <f ca="1"/>
        <v>149.55000000000001</v>
      </c>
      <c r="M19" vm="250">
        <f ca="1"/>
        <v>224</v>
      </c>
      <c r="N19" vm="251">
        <f ca="1"/>
        <v>441.28</v>
      </c>
      <c r="O19" vm="252">
        <f ca="1"/>
        <v>99.79</v>
      </c>
      <c r="P19" vm="253">
        <f ca="1"/>
        <v>242.58</v>
      </c>
    </row>
    <row r="20" spans="1:16" x14ac:dyDescent="0.25">
      <c r="A20" vm="254">
        <f ca="1"/>
        <v>44950</v>
      </c>
      <c r="B20" vm="255">
        <f ca="1"/>
        <v>312.69</v>
      </c>
      <c r="C20" vm="256">
        <f ca="1"/>
        <v>240.32</v>
      </c>
      <c r="D20" vm="257">
        <f ca="1"/>
        <v>60.55</v>
      </c>
      <c r="E20" vm="258">
        <f ca="1"/>
        <v>204.82</v>
      </c>
      <c r="F20" vm="259">
        <f ca="1"/>
        <v>141.82</v>
      </c>
      <c r="G20" vm="260">
        <f ca="1"/>
        <v>39.82</v>
      </c>
      <c r="H20" vm="261">
        <f ca="1"/>
        <v>94.56</v>
      </c>
      <c r="I20" vm="262">
        <f ca="1"/>
        <v>31.86</v>
      </c>
      <c r="J20" vm="263">
        <f ca="1"/>
        <v>12.9</v>
      </c>
      <c r="K20" vm="264">
        <f ca="1"/>
        <v>143.13999999999999</v>
      </c>
      <c r="L20" vm="265">
        <f ca="1"/>
        <v>151.51</v>
      </c>
      <c r="M20" vm="266">
        <f ca="1"/>
        <v>227.5</v>
      </c>
      <c r="N20" vm="267">
        <f ca="1"/>
        <v>449.23</v>
      </c>
      <c r="O20" vm="268">
        <f ca="1"/>
        <v>97.7</v>
      </c>
      <c r="P20" vm="269">
        <f ca="1"/>
        <v>242.04</v>
      </c>
    </row>
    <row r="21" spans="1:16" x14ac:dyDescent="0.25">
      <c r="A21" vm="270">
        <f ca="1"/>
        <v>44951</v>
      </c>
      <c r="B21" vm="271">
        <f ca="1"/>
        <v>310.2</v>
      </c>
      <c r="C21" vm="272">
        <f ca="1"/>
        <v>240.74</v>
      </c>
      <c r="D21" vm="273">
        <f ca="1"/>
        <v>60.93</v>
      </c>
      <c r="E21" vm="274">
        <f ca="1"/>
        <v>205</v>
      </c>
      <c r="F21" vm="275">
        <f ca="1"/>
        <v>141.72</v>
      </c>
      <c r="G21" vm="276">
        <f ca="1"/>
        <v>39.950000000000003</v>
      </c>
      <c r="H21" vm="277">
        <f ca="1"/>
        <v>92.41</v>
      </c>
      <c r="I21" vm="278">
        <f ca="1"/>
        <v>31.05</v>
      </c>
      <c r="J21" vm="279">
        <f ca="1"/>
        <v>12.6</v>
      </c>
      <c r="K21" vm="280">
        <f ca="1"/>
        <v>141.5</v>
      </c>
      <c r="L21" vm="281">
        <f ca="1"/>
        <v>148.88999999999999</v>
      </c>
      <c r="M21" vm="282">
        <f ca="1"/>
        <v>228.93</v>
      </c>
      <c r="N21" vm="283">
        <f ca="1"/>
        <v>454.16</v>
      </c>
      <c r="O21" vm="284">
        <f ca="1"/>
        <v>95.22</v>
      </c>
      <c r="P21" vm="285">
        <f ca="1"/>
        <v>240.61</v>
      </c>
    </row>
    <row r="22" spans="1:16" x14ac:dyDescent="0.25">
      <c r="A22" vm="286">
        <f ca="1"/>
        <v>44952</v>
      </c>
      <c r="B22" vm="287">
        <f ca="1"/>
        <v>314.41000000000003</v>
      </c>
      <c r="C22" vm="288">
        <f ca="1"/>
        <v>243.16</v>
      </c>
      <c r="D22" vm="289">
        <f ca="1"/>
        <v>60.81</v>
      </c>
      <c r="E22" vm="290">
        <f ca="1"/>
        <v>204.92</v>
      </c>
      <c r="F22" vm="291">
        <f ca="1"/>
        <v>141.15</v>
      </c>
      <c r="G22" vm="196">
        <f ca="1"/>
        <v>39.659999999999997</v>
      </c>
      <c r="H22" vm="292">
        <f ca="1"/>
        <v>93.45</v>
      </c>
      <c r="I22" vm="293">
        <f ca="1"/>
        <v>30.15</v>
      </c>
      <c r="J22" vm="294">
        <f ca="1"/>
        <v>12.71</v>
      </c>
      <c r="K22" vm="295">
        <f ca="1"/>
        <v>147.30000000000001</v>
      </c>
      <c r="L22" vm="296">
        <f ca="1"/>
        <v>150.06</v>
      </c>
      <c r="M22" vm="297">
        <f ca="1"/>
        <v>228.5</v>
      </c>
      <c r="N22" vm="298">
        <f ca="1"/>
        <v>459.81</v>
      </c>
      <c r="O22" vm="299">
        <f ca="1"/>
        <v>97.52</v>
      </c>
      <c r="P22" vm="300">
        <f ca="1"/>
        <v>248</v>
      </c>
    </row>
    <row r="23" spans="1:16" x14ac:dyDescent="0.25">
      <c r="A23" vm="301">
        <f ca="1"/>
        <v>44953</v>
      </c>
      <c r="B23" vm="302">
        <f ca="1"/>
        <v>319.8</v>
      </c>
      <c r="C23" vm="303">
        <f ca="1"/>
        <v>248.47</v>
      </c>
      <c r="D23" vm="304">
        <f ca="1"/>
        <v>60.49</v>
      </c>
      <c r="E23" vm="305">
        <f ca="1"/>
        <v>206.1</v>
      </c>
      <c r="F23" vm="306">
        <f ca="1"/>
        <v>140.57</v>
      </c>
      <c r="G23" vm="307">
        <f ca="1"/>
        <v>39.69</v>
      </c>
      <c r="H23" vm="308">
        <f ca="1"/>
        <v>93.3</v>
      </c>
      <c r="I23" vm="309">
        <f ca="1"/>
        <v>30.08</v>
      </c>
      <c r="J23" vm="310">
        <f ca="1"/>
        <v>13.5</v>
      </c>
      <c r="K23" vm="311">
        <f ca="1"/>
        <v>151.74</v>
      </c>
      <c r="L23" vm="312">
        <f ca="1"/>
        <v>150</v>
      </c>
      <c r="M23" vm="313">
        <f ca="1"/>
        <v>228.79</v>
      </c>
      <c r="N23" vm="314">
        <f ca="1"/>
        <v>459.6</v>
      </c>
      <c r="O23" vm="315">
        <f ca="1"/>
        <v>99.37</v>
      </c>
      <c r="P23" vm="316">
        <f ca="1"/>
        <v>248.16</v>
      </c>
    </row>
    <row r="24" spans="1:16" x14ac:dyDescent="0.25">
      <c r="A24" vm="317">
        <f ca="1"/>
        <v>44956</v>
      </c>
      <c r="B24" vm="318">
        <f ca="1"/>
        <v>317.3</v>
      </c>
      <c r="C24" vm="319">
        <f ca="1"/>
        <v>244.67</v>
      </c>
      <c r="D24" vm="320">
        <f ca="1"/>
        <v>60.64</v>
      </c>
      <c r="E24" vm="321">
        <f ca="1"/>
        <v>203.23</v>
      </c>
      <c r="F24" vm="322">
        <f ca="1"/>
        <v>141.01</v>
      </c>
      <c r="G24" vm="323">
        <f ca="1"/>
        <v>40.369999999999997</v>
      </c>
      <c r="H24" vm="324">
        <f ca="1"/>
        <v>93.13</v>
      </c>
      <c r="I24" vm="325">
        <f ca="1"/>
        <v>29.88</v>
      </c>
      <c r="J24" vm="326">
        <f ca="1"/>
        <v>13.05</v>
      </c>
      <c r="K24" vm="327">
        <f ca="1"/>
        <v>147.06</v>
      </c>
      <c r="L24" vm="328">
        <f ca="1"/>
        <v>149.1</v>
      </c>
      <c r="M24" vm="329">
        <f ca="1"/>
        <v>226.36</v>
      </c>
      <c r="N24" vm="330">
        <f ca="1"/>
        <v>460.59</v>
      </c>
      <c r="O24" vm="331">
        <f ca="1"/>
        <v>96.94</v>
      </c>
      <c r="P24" vm="332">
        <f ca="1"/>
        <v>242.71</v>
      </c>
    </row>
    <row r="25" spans="1:16" x14ac:dyDescent="0.25">
      <c r="A25" vm="333">
        <f ca="1"/>
        <v>44957</v>
      </c>
      <c r="B25" vm="334">
        <f ca="1"/>
        <v>326</v>
      </c>
      <c r="C25" vm="335">
        <f ca="1"/>
        <v>250.86</v>
      </c>
      <c r="D25" vm="336">
        <f ca="1"/>
        <v>61.32</v>
      </c>
      <c r="E25" vm="337">
        <f ca="1"/>
        <v>206.51</v>
      </c>
      <c r="F25" vm="338">
        <f ca="1"/>
        <v>142.38</v>
      </c>
      <c r="G25" vm="339">
        <f ca="1"/>
        <v>40.53</v>
      </c>
      <c r="H25" vm="340">
        <f ca="1"/>
        <v>92.73</v>
      </c>
      <c r="I25" vm="341">
        <f ca="1"/>
        <v>30.92</v>
      </c>
      <c r="J25" vm="342">
        <f ca="1"/>
        <v>13.25</v>
      </c>
      <c r="K25" vm="343">
        <f ca="1"/>
        <v>148.97</v>
      </c>
      <c r="L25" vm="344">
        <f ca="1"/>
        <v>152.19</v>
      </c>
      <c r="M25" vm="345">
        <f ca="1"/>
        <v>231.52</v>
      </c>
      <c r="N25" vm="346">
        <f ca="1"/>
        <v>463.26</v>
      </c>
      <c r="O25" vm="347">
        <f ca="1"/>
        <v>98.84</v>
      </c>
      <c r="P25" vm="348">
        <f ca="1"/>
        <v>247.81</v>
      </c>
    </row>
    <row r="26" spans="1:16" x14ac:dyDescent="0.25">
      <c r="A26" vm="349">
        <f ca="1"/>
        <v>44958</v>
      </c>
      <c r="B26" vm="350">
        <f ca="1"/>
        <v>328.69</v>
      </c>
      <c r="C26" vm="351">
        <f ca="1"/>
        <v>255.56</v>
      </c>
      <c r="D26" vm="352">
        <f ca="1"/>
        <v>61.33</v>
      </c>
      <c r="E26" vm="353">
        <f ca="1"/>
        <v>214.49</v>
      </c>
      <c r="F26" vm="354">
        <f ca="1"/>
        <v>143.19</v>
      </c>
      <c r="G26" vm="355">
        <f ca="1"/>
        <v>40.54</v>
      </c>
      <c r="H26" vm="356">
        <f ca="1"/>
        <v>94.74</v>
      </c>
      <c r="I26" vm="357">
        <f ca="1"/>
        <v>31.59</v>
      </c>
      <c r="J26" vm="358">
        <f ca="1"/>
        <v>13.78</v>
      </c>
      <c r="K26" vm="359">
        <f ca="1"/>
        <v>153.12</v>
      </c>
      <c r="L26" vm="360">
        <f ca="1"/>
        <v>152.87</v>
      </c>
      <c r="M26" vm="361">
        <f ca="1"/>
        <v>233.59</v>
      </c>
      <c r="N26" vm="362">
        <f ca="1"/>
        <v>462.25</v>
      </c>
      <c r="O26" vm="363">
        <f ca="1"/>
        <v>100.43</v>
      </c>
      <c r="P26" vm="364">
        <f ca="1"/>
        <v>252.75</v>
      </c>
    </row>
    <row r="27" spans="1:16" x14ac:dyDescent="0.25">
      <c r="A27" vm="365">
        <f ca="1"/>
        <v>44959</v>
      </c>
      <c r="B27" vm="366">
        <f ca="1"/>
        <v>337.55</v>
      </c>
      <c r="C27" vm="367">
        <f ca="1"/>
        <v>257.29000000000002</v>
      </c>
      <c r="D27" vm="368">
        <f ca="1"/>
        <v>60.28</v>
      </c>
      <c r="E27" vm="369">
        <f ca="1"/>
        <v>220.86</v>
      </c>
      <c r="F27" vm="370">
        <f ca="1"/>
        <v>142.16999999999999</v>
      </c>
      <c r="G27" vm="371">
        <f ca="1"/>
        <v>39.99</v>
      </c>
      <c r="H27" vm="372">
        <f ca="1"/>
        <v>96.65</v>
      </c>
      <c r="I27" vm="373">
        <f ca="1"/>
        <v>32.64</v>
      </c>
      <c r="J27" vm="374">
        <f ca="1"/>
        <v>14.19</v>
      </c>
      <c r="K27" vm="375">
        <f ca="1"/>
        <v>188.77</v>
      </c>
      <c r="L27" vm="376">
        <f ca="1"/>
        <v>151.68</v>
      </c>
      <c r="M27" vm="377">
        <f ca="1"/>
        <v>232.45</v>
      </c>
      <c r="N27" vm="378">
        <f ca="1"/>
        <v>457.19</v>
      </c>
      <c r="O27" vm="379">
        <f ca="1"/>
        <v>107.74</v>
      </c>
      <c r="P27" vm="380">
        <f ca="1"/>
        <v>264.60000000000002</v>
      </c>
    </row>
    <row r="28" spans="1:16" x14ac:dyDescent="0.25">
      <c r="A28" vm="381">
        <f ca="1"/>
        <v>44960</v>
      </c>
      <c r="B28" vm="382">
        <f ca="1"/>
        <v>350</v>
      </c>
      <c r="C28" vm="383">
        <f ca="1"/>
        <v>250.48</v>
      </c>
      <c r="D28" vm="384">
        <f ca="1"/>
        <v>59.83</v>
      </c>
      <c r="E28" vm="385">
        <f ca="1"/>
        <v>219.03</v>
      </c>
      <c r="F28" vm="386">
        <f ca="1"/>
        <v>142.61000000000001</v>
      </c>
      <c r="G28" vm="387">
        <f ca="1"/>
        <v>39.380000000000003</v>
      </c>
      <c r="H28" vm="388">
        <f ca="1"/>
        <v>94.66</v>
      </c>
      <c r="I28" vm="23">
        <f ca="1"/>
        <v>32.270000000000003</v>
      </c>
      <c r="J28" vm="389">
        <f ca="1"/>
        <v>14.2</v>
      </c>
      <c r="K28" vm="390">
        <f ca="1"/>
        <v>186.53</v>
      </c>
      <c r="L28" vm="391">
        <f ca="1"/>
        <v>152.43</v>
      </c>
      <c r="M28" vm="392">
        <f ca="1"/>
        <v>230.82</v>
      </c>
      <c r="N28" vm="393">
        <f ca="1"/>
        <v>459.08</v>
      </c>
      <c r="O28" vm="394">
        <f ca="1"/>
        <v>104.78</v>
      </c>
      <c r="P28" vm="395">
        <f ca="1"/>
        <v>258.35000000000002</v>
      </c>
    </row>
    <row r="29" spans="1:16" x14ac:dyDescent="0.25">
      <c r="A29" vm="396">
        <f ca="1"/>
        <v>44963</v>
      </c>
      <c r="B29" vm="397">
        <f ca="1"/>
        <v>348.99</v>
      </c>
      <c r="C29" vm="398">
        <f ca="1"/>
        <v>246.73</v>
      </c>
      <c r="D29" vm="399">
        <f ca="1"/>
        <v>60.17</v>
      </c>
      <c r="E29" vm="400">
        <f ca="1"/>
        <v>214.64</v>
      </c>
      <c r="F29" vm="401">
        <f ca="1"/>
        <v>141.4</v>
      </c>
      <c r="G29" vm="402">
        <f ca="1"/>
        <v>39.93</v>
      </c>
      <c r="H29" vm="403">
        <f ca="1"/>
        <v>91.83</v>
      </c>
      <c r="I29" vm="246">
        <f ca="1"/>
        <v>32.049999999999997</v>
      </c>
      <c r="J29" vm="404">
        <f ca="1"/>
        <v>14.36</v>
      </c>
      <c r="K29" vm="405">
        <f ca="1"/>
        <v>186.06</v>
      </c>
      <c r="L29" vm="406">
        <f ca="1"/>
        <v>152.72</v>
      </c>
      <c r="M29" vm="407">
        <f ca="1"/>
        <v>231.99</v>
      </c>
      <c r="N29" vm="408">
        <f ca="1"/>
        <v>469.1</v>
      </c>
      <c r="O29" vm="409">
        <f ca="1"/>
        <v>102.9</v>
      </c>
      <c r="P29" vm="410">
        <f ca="1"/>
        <v>256.77</v>
      </c>
    </row>
    <row r="30" spans="1:16" x14ac:dyDescent="0.25">
      <c r="A30" vm="411">
        <f ca="1"/>
        <v>44964</v>
      </c>
      <c r="B30" vm="412">
        <f ca="1"/>
        <v>349.02</v>
      </c>
      <c r="C30" vm="413">
        <f ca="1"/>
        <v>250.68</v>
      </c>
      <c r="D30" vm="414">
        <f ca="1"/>
        <v>60.07</v>
      </c>
      <c r="E30" vm="415">
        <f ca="1"/>
        <v>217.01</v>
      </c>
      <c r="F30" vm="416">
        <f ca="1"/>
        <v>140.02000000000001</v>
      </c>
      <c r="G30" vm="417">
        <f ca="1"/>
        <v>39.54</v>
      </c>
      <c r="H30" vm="418">
        <f ca="1"/>
        <v>94.55</v>
      </c>
      <c r="I30" vm="419">
        <f ca="1"/>
        <v>32.29</v>
      </c>
      <c r="J30" vm="420">
        <f ca="1"/>
        <v>14.75</v>
      </c>
      <c r="K30" vm="421">
        <f ca="1"/>
        <v>191.62</v>
      </c>
      <c r="L30" vm="422">
        <f ca="1"/>
        <v>153.57</v>
      </c>
      <c r="M30" vm="423">
        <f ca="1"/>
        <v>230.29</v>
      </c>
      <c r="N30" vm="424">
        <f ca="1"/>
        <v>468.33</v>
      </c>
      <c r="O30" vm="425">
        <f ca="1"/>
        <v>107.64</v>
      </c>
      <c r="P30" vm="426">
        <f ca="1"/>
        <v>267.56</v>
      </c>
    </row>
    <row r="31" spans="1:16" x14ac:dyDescent="0.25">
      <c r="A31" vm="427">
        <f ca="1"/>
        <v>44965</v>
      </c>
      <c r="B31" vm="428">
        <f ca="1"/>
        <v>351.99</v>
      </c>
      <c r="C31" vm="429">
        <f ca="1"/>
        <v>251.24</v>
      </c>
      <c r="D31" vm="209">
        <f ca="1"/>
        <v>59.72</v>
      </c>
      <c r="E31" vm="430">
        <f ca="1"/>
        <v>215.85</v>
      </c>
      <c r="F31" vm="431">
        <f ca="1"/>
        <v>138.57</v>
      </c>
      <c r="G31" vm="432">
        <f ca="1"/>
        <v>39.07</v>
      </c>
      <c r="H31" vm="433">
        <f ca="1"/>
        <v>94.28</v>
      </c>
      <c r="I31" vm="434">
        <f ca="1"/>
        <v>31.95</v>
      </c>
      <c r="J31" vm="435">
        <f ca="1"/>
        <v>14.94</v>
      </c>
      <c r="K31" vm="436">
        <f ca="1"/>
        <v>183.43</v>
      </c>
      <c r="L31" vm="437">
        <f ca="1"/>
        <v>152.36000000000001</v>
      </c>
      <c r="M31" vm="438">
        <f ca="1"/>
        <v>230.13</v>
      </c>
      <c r="N31" vm="439">
        <f ca="1"/>
        <v>469.65</v>
      </c>
      <c r="O31" vm="315">
        <f ca="1"/>
        <v>99.37</v>
      </c>
      <c r="P31" vm="440">
        <f ca="1"/>
        <v>266.73</v>
      </c>
    </row>
    <row r="32" spans="1:16" x14ac:dyDescent="0.25">
      <c r="A32" vm="441">
        <f ca="1"/>
        <v>44966</v>
      </c>
      <c r="B32" vm="442">
        <f ca="1"/>
        <v>351.62</v>
      </c>
      <c r="C32" vm="443">
        <f ca="1"/>
        <v>253.68</v>
      </c>
      <c r="D32" vm="444">
        <f ca="1"/>
        <v>59.62</v>
      </c>
      <c r="E32" vm="445">
        <f ca="1"/>
        <v>192.34</v>
      </c>
      <c r="F32" vm="446">
        <f ca="1"/>
        <v>137.05000000000001</v>
      </c>
      <c r="G32" vm="447">
        <f ca="1"/>
        <v>38.89</v>
      </c>
      <c r="H32" vm="448">
        <f ca="1"/>
        <v>96.69</v>
      </c>
      <c r="I32" vm="449">
        <f ca="1"/>
        <v>31.13</v>
      </c>
      <c r="J32" vm="450">
        <f ca="1"/>
        <v>14.57</v>
      </c>
      <c r="K32" vm="451">
        <f ca="1"/>
        <v>177.92</v>
      </c>
      <c r="L32" vm="452">
        <f ca="1"/>
        <v>152.46</v>
      </c>
      <c r="M32" vm="453">
        <f ca="1"/>
        <v>226.88</v>
      </c>
      <c r="N32" vm="454">
        <f ca="1"/>
        <v>470.09</v>
      </c>
      <c r="O32" vm="455">
        <f ca="1"/>
        <v>95.01</v>
      </c>
      <c r="P32" vm="456">
        <f ca="1"/>
        <v>263.62</v>
      </c>
    </row>
    <row r="33" spans="1:16" x14ac:dyDescent="0.25">
      <c r="A33" vm="457">
        <f ca="1"/>
        <v>44967</v>
      </c>
      <c r="B33" vm="458">
        <f ca="1"/>
        <v>348.88</v>
      </c>
      <c r="C33" vm="459">
        <f ca="1"/>
        <v>255.64</v>
      </c>
      <c r="D33" vm="444">
        <f ca="1"/>
        <v>59.62</v>
      </c>
      <c r="E33" vm="460">
        <f ca="1"/>
        <v>192.87</v>
      </c>
      <c r="F33" vm="461">
        <f ca="1"/>
        <v>138.26</v>
      </c>
      <c r="G33" vm="462">
        <f ca="1"/>
        <v>39.630000000000003</v>
      </c>
      <c r="H33" vm="463">
        <f ca="1"/>
        <v>95.37</v>
      </c>
      <c r="I33" vm="464">
        <f ca="1"/>
        <v>31.57</v>
      </c>
      <c r="J33" vm="465">
        <f ca="1"/>
        <v>14.9</v>
      </c>
      <c r="K33" vm="466">
        <f ca="1"/>
        <v>174.15</v>
      </c>
      <c r="L33" vm="467">
        <f ca="1"/>
        <v>151.34</v>
      </c>
      <c r="M33" vm="468">
        <f ca="1"/>
        <v>228.3</v>
      </c>
      <c r="N33" vm="469">
        <f ca="1"/>
        <v>480.83</v>
      </c>
      <c r="O33" vm="470">
        <f ca="1"/>
        <v>94.57</v>
      </c>
      <c r="P33" vm="471">
        <f ca="1"/>
        <v>263.10000000000002</v>
      </c>
    </row>
    <row r="34" spans="1:16" x14ac:dyDescent="0.25">
      <c r="A34" vm="472">
        <f ca="1"/>
        <v>44970</v>
      </c>
      <c r="B34" vm="473">
        <f ca="1"/>
        <v>352.04</v>
      </c>
      <c r="C34" vm="474">
        <f ca="1"/>
        <v>257.35000000000002</v>
      </c>
      <c r="D34" vm="475">
        <f ca="1"/>
        <v>60.6</v>
      </c>
      <c r="E34" vm="476">
        <f ca="1"/>
        <v>196.32</v>
      </c>
      <c r="F34" vm="477">
        <f ca="1"/>
        <v>140.07</v>
      </c>
      <c r="G34" vm="478">
        <f ca="1"/>
        <v>40.33</v>
      </c>
      <c r="H34" vm="479">
        <f ca="1"/>
        <v>96.11</v>
      </c>
      <c r="I34" vm="480">
        <f ca="1"/>
        <v>31.63</v>
      </c>
      <c r="J34" vm="481">
        <f ca="1"/>
        <v>14.66</v>
      </c>
      <c r="K34" vm="482">
        <f ca="1"/>
        <v>179.43</v>
      </c>
      <c r="L34" vm="483">
        <f ca="1"/>
        <v>154.29</v>
      </c>
      <c r="M34" vm="484">
        <f ca="1"/>
        <v>228.54</v>
      </c>
      <c r="N34" vm="485">
        <f ca="1"/>
        <v>481.97</v>
      </c>
      <c r="O34" vm="486">
        <f ca="1"/>
        <v>94.61</v>
      </c>
      <c r="P34" vm="487">
        <f ca="1"/>
        <v>271.32</v>
      </c>
    </row>
    <row r="35" spans="1:16" x14ac:dyDescent="0.25">
      <c r="A35" vm="488">
        <f ca="1"/>
        <v>44971</v>
      </c>
      <c r="B35" vm="489">
        <f ca="1"/>
        <v>352.35</v>
      </c>
      <c r="C35" vm="490">
        <f ca="1"/>
        <v>257.02999999999997</v>
      </c>
      <c r="D35" vm="491">
        <f ca="1"/>
        <v>59.59</v>
      </c>
      <c r="E35" vm="492">
        <f ca="1"/>
        <v>194.84</v>
      </c>
      <c r="F35" vm="493">
        <f ca="1"/>
        <v>139.28</v>
      </c>
      <c r="G35" vm="228">
        <f ca="1"/>
        <v>39.880000000000003</v>
      </c>
      <c r="H35" vm="494">
        <f ca="1"/>
        <v>97.96</v>
      </c>
      <c r="I35" vm="495">
        <f ca="1"/>
        <v>31.44</v>
      </c>
      <c r="J35" vm="496">
        <f ca="1"/>
        <v>14.65</v>
      </c>
      <c r="K35" vm="497">
        <f ca="1"/>
        <v>179.48</v>
      </c>
      <c r="L35" vm="498">
        <f ca="1"/>
        <v>154.19999999999999</v>
      </c>
      <c r="M35" vm="499">
        <f ca="1"/>
        <v>225.75</v>
      </c>
      <c r="N35" vm="500">
        <f ca="1"/>
        <v>481.58</v>
      </c>
      <c r="O35" vm="501">
        <f ca="1"/>
        <v>94.68</v>
      </c>
      <c r="P35" vm="502">
        <f ca="1"/>
        <v>272.17</v>
      </c>
    </row>
    <row r="36" spans="1:16" x14ac:dyDescent="0.25">
      <c r="A36" vm="503">
        <f ca="1"/>
        <v>44972</v>
      </c>
      <c r="B36" vm="504">
        <f ca="1"/>
        <v>361.16</v>
      </c>
      <c r="C36" vm="505">
        <f ca="1"/>
        <v>260.79000000000002</v>
      </c>
      <c r="D36" vm="491">
        <f ca="1"/>
        <v>59.59</v>
      </c>
      <c r="E36" vm="506">
        <f ca="1"/>
        <v>198.13</v>
      </c>
      <c r="F36" vm="507">
        <f ca="1"/>
        <v>138.96</v>
      </c>
      <c r="G36" vm="508">
        <f ca="1"/>
        <v>40.130000000000003</v>
      </c>
      <c r="H36" vm="509">
        <f ca="1"/>
        <v>92.76</v>
      </c>
      <c r="I36" vm="510">
        <f ca="1"/>
        <v>31.67</v>
      </c>
      <c r="J36" vm="511">
        <f ca="1"/>
        <v>14.49</v>
      </c>
      <c r="K36" vm="512">
        <f ca="1"/>
        <v>177.16</v>
      </c>
      <c r="L36" vm="513">
        <f ca="1"/>
        <v>156</v>
      </c>
      <c r="M36" vm="514">
        <f ca="1"/>
        <v>224.88</v>
      </c>
      <c r="N36" vm="515">
        <f ca="1"/>
        <v>480.51</v>
      </c>
      <c r="O36" vm="331">
        <f ca="1"/>
        <v>96.94</v>
      </c>
      <c r="P36" vm="516">
        <f ca="1"/>
        <v>269.32</v>
      </c>
    </row>
    <row r="37" spans="1:16" x14ac:dyDescent="0.25">
      <c r="A37" vm="517">
        <f ca="1"/>
        <v>44973</v>
      </c>
      <c r="B37" vm="518">
        <f ca="1"/>
        <v>354.54</v>
      </c>
      <c r="C37" vm="519">
        <f ca="1"/>
        <v>259.85000000000002</v>
      </c>
      <c r="D37" vm="520">
        <f ca="1"/>
        <v>59.22</v>
      </c>
      <c r="E37" vm="521">
        <f ca="1"/>
        <v>191.68</v>
      </c>
      <c r="F37" vm="522">
        <f ca="1"/>
        <v>137.13999999999999</v>
      </c>
      <c r="G37" vm="523">
        <f ca="1"/>
        <v>39.78</v>
      </c>
      <c r="H37" vm="524">
        <f ca="1"/>
        <v>90.82</v>
      </c>
      <c r="I37" vm="525">
        <f ca="1"/>
        <v>31.11</v>
      </c>
      <c r="J37" vm="526">
        <f ca="1"/>
        <v>14.25</v>
      </c>
      <c r="K37" vm="527">
        <f ca="1"/>
        <v>172.44</v>
      </c>
      <c r="L37" vm="528">
        <f ca="1"/>
        <v>155.32</v>
      </c>
      <c r="M37" vm="529">
        <f ca="1"/>
        <v>227.26</v>
      </c>
      <c r="N37" vm="530">
        <f ca="1"/>
        <v>471.25</v>
      </c>
      <c r="O37" vm="531">
        <f ca="1"/>
        <v>95.51</v>
      </c>
      <c r="P37" vm="532">
        <f ca="1"/>
        <v>262.14999999999998</v>
      </c>
    </row>
    <row r="38" spans="1:16" x14ac:dyDescent="0.25">
      <c r="A38" vm="533">
        <f ca="1"/>
        <v>44974</v>
      </c>
      <c r="B38" vm="534">
        <f ca="1"/>
        <v>355.48</v>
      </c>
      <c r="C38" vm="535">
        <f ca="1"/>
        <v>266.19</v>
      </c>
      <c r="D38" vm="536">
        <f ca="1"/>
        <v>60.12</v>
      </c>
      <c r="E38" vm="537">
        <f ca="1"/>
        <v>189.66</v>
      </c>
      <c r="F38" vm="538">
        <f ca="1"/>
        <v>140.01</v>
      </c>
      <c r="G38" vm="539">
        <f ca="1"/>
        <v>40</v>
      </c>
      <c r="H38" vm="540">
        <f ca="1"/>
        <v>90.1</v>
      </c>
      <c r="I38" vm="541">
        <f ca="1"/>
        <v>31.21</v>
      </c>
      <c r="J38" vm="542">
        <f ca="1"/>
        <v>14.4</v>
      </c>
      <c r="K38" vm="543">
        <f ca="1"/>
        <v>172.88</v>
      </c>
      <c r="L38" vm="544">
        <f ca="1"/>
        <v>154.9</v>
      </c>
      <c r="M38" vm="545">
        <f ca="1"/>
        <v>226.8</v>
      </c>
      <c r="N38" vm="546">
        <f ca="1"/>
        <v>475.63</v>
      </c>
      <c r="O38" vm="547">
        <f ca="1"/>
        <v>94.35</v>
      </c>
      <c r="P38" vm="548">
        <f ca="1"/>
        <v>258.06</v>
      </c>
    </row>
    <row r="39" spans="1:16" x14ac:dyDescent="0.25">
      <c r="A39" vm="549">
        <f ca="1"/>
        <v>44978</v>
      </c>
      <c r="B39" vm="550">
        <f ca="1"/>
        <v>343.54</v>
      </c>
      <c r="C39" vm="551">
        <f ca="1"/>
        <v>259.73</v>
      </c>
      <c r="D39" vm="552">
        <f ca="1"/>
        <v>59.8</v>
      </c>
      <c r="E39" vm="553">
        <f ca="1"/>
        <v>185.01</v>
      </c>
      <c r="F39" vm="554">
        <f ca="1"/>
        <v>139.91</v>
      </c>
      <c r="G39" vm="555">
        <f ca="1"/>
        <v>39.869999999999997</v>
      </c>
      <c r="H39" vm="556">
        <f ca="1"/>
        <v>87.64</v>
      </c>
      <c r="I39" vm="557">
        <f ca="1"/>
        <v>30.59</v>
      </c>
      <c r="J39" vm="558">
        <f ca="1"/>
        <v>13.72</v>
      </c>
      <c r="K39" vm="559">
        <f ca="1"/>
        <v>172.08</v>
      </c>
      <c r="L39" vm="560">
        <f ca="1"/>
        <v>148.69999999999999</v>
      </c>
      <c r="M39" vm="561">
        <f ca="1"/>
        <v>223.11</v>
      </c>
      <c r="N39" vm="562">
        <f ca="1"/>
        <v>479.19</v>
      </c>
      <c r="O39" vm="563">
        <f ca="1"/>
        <v>91.79</v>
      </c>
      <c r="P39" vm="564">
        <f ca="1"/>
        <v>252.67</v>
      </c>
    </row>
    <row r="40" spans="1:16" x14ac:dyDescent="0.25">
      <c r="A40" vm="565">
        <f ca="1"/>
        <v>44979</v>
      </c>
      <c r="B40" vm="566">
        <f ca="1"/>
        <v>345.32</v>
      </c>
      <c r="C40" vm="567">
        <f ca="1"/>
        <v>256.97000000000003</v>
      </c>
      <c r="D40" vm="568">
        <f ca="1"/>
        <v>59.98</v>
      </c>
      <c r="E40" vm="569">
        <f ca="1"/>
        <v>185.28</v>
      </c>
      <c r="F40" vm="570">
        <f ca="1"/>
        <v>140.5</v>
      </c>
      <c r="G40" vm="571">
        <f ca="1"/>
        <v>39.58</v>
      </c>
      <c r="H40" vm="572">
        <f ca="1"/>
        <v>86.83</v>
      </c>
      <c r="I40" vm="573">
        <f ca="1"/>
        <v>29.99</v>
      </c>
      <c r="J40" vm="574">
        <f ca="1"/>
        <v>14</v>
      </c>
      <c r="K40" vm="575">
        <f ca="1"/>
        <v>171.12</v>
      </c>
      <c r="L40" vm="576">
        <f ca="1"/>
        <v>148.4</v>
      </c>
      <c r="M40" vm="577">
        <f ca="1"/>
        <v>222.12</v>
      </c>
      <c r="N40" vm="578">
        <f ca="1"/>
        <v>479.53</v>
      </c>
      <c r="O40" vm="579">
        <f ca="1"/>
        <v>91.65</v>
      </c>
      <c r="P40" vm="580">
        <f ca="1"/>
        <v>251.51</v>
      </c>
    </row>
    <row r="41" spans="1:16" x14ac:dyDescent="0.25">
      <c r="A41" vm="581">
        <f ca="1"/>
        <v>44980</v>
      </c>
      <c r="B41" vm="582">
        <f ca="1"/>
        <v>349.01</v>
      </c>
      <c r="C41" vm="583">
        <f ca="1"/>
        <v>256.69</v>
      </c>
      <c r="D41" vm="584">
        <f ca="1"/>
        <v>60.09</v>
      </c>
      <c r="E41" vm="585">
        <f ca="1"/>
        <v>187.85</v>
      </c>
      <c r="F41" vm="586">
        <f ca="1"/>
        <v>140.05000000000001</v>
      </c>
      <c r="G41" vm="587">
        <f ca="1"/>
        <v>39.75</v>
      </c>
      <c r="H41" vm="588">
        <f ca="1"/>
        <v>90.08</v>
      </c>
      <c r="I41" vm="589">
        <f ca="1"/>
        <v>30.65</v>
      </c>
      <c r="J41" vm="590">
        <f ca="1"/>
        <v>14.32</v>
      </c>
      <c r="K41" vm="591">
        <f ca="1"/>
        <v>172.04</v>
      </c>
      <c r="L41" vm="592">
        <f ca="1"/>
        <v>159.62</v>
      </c>
      <c r="M41" vm="593">
        <f ca="1"/>
        <v>225.6</v>
      </c>
      <c r="N41" vm="594">
        <f ca="1"/>
        <v>479.08</v>
      </c>
      <c r="O41" vm="595">
        <f ca="1"/>
        <v>90.89</v>
      </c>
      <c r="P41" vm="596">
        <f ca="1"/>
        <v>254.77</v>
      </c>
    </row>
    <row r="42" spans="1:16" x14ac:dyDescent="0.25">
      <c r="A42" vm="597">
        <f ca="1"/>
        <v>44981</v>
      </c>
      <c r="B42" vm="598">
        <f ca="1"/>
        <v>348.03</v>
      </c>
      <c r="C42" vm="599">
        <f ca="1"/>
        <v>257.51</v>
      </c>
      <c r="D42" vm="600">
        <f ca="1"/>
        <v>59.84</v>
      </c>
      <c r="E42" vm="601">
        <f ca="1"/>
        <v>186.13</v>
      </c>
      <c r="F42" vm="602">
        <f ca="1"/>
        <v>139.26</v>
      </c>
      <c r="G42" vm="603">
        <f ca="1"/>
        <v>39.61</v>
      </c>
      <c r="H42" vm="604">
        <f ca="1"/>
        <v>88.11</v>
      </c>
      <c r="I42" vm="605">
        <f ca="1"/>
        <v>30.75</v>
      </c>
      <c r="J42" vm="606">
        <f ca="1"/>
        <v>13.62</v>
      </c>
      <c r="K42" vm="607">
        <f ca="1"/>
        <v>170.39</v>
      </c>
      <c r="L42" vm="608">
        <f ca="1"/>
        <v>160.63999999999999</v>
      </c>
      <c r="M42" vm="609">
        <f ca="1"/>
        <v>224.09</v>
      </c>
      <c r="N42" vm="610">
        <f ca="1"/>
        <v>480.4</v>
      </c>
      <c r="O42" vm="611">
        <f ca="1"/>
        <v>89.13</v>
      </c>
      <c r="P42" vm="612">
        <f ca="1"/>
        <v>249.22</v>
      </c>
    </row>
    <row r="43" spans="1:16" x14ac:dyDescent="0.25">
      <c r="A43" vm="613">
        <f ca="1"/>
        <v>44984</v>
      </c>
      <c r="B43" vm="614">
        <f ca="1"/>
        <v>350.48</v>
      </c>
      <c r="C43" vm="615">
        <f ca="1"/>
        <v>259.02</v>
      </c>
      <c r="D43" vm="616">
        <f ca="1"/>
        <v>59.82</v>
      </c>
      <c r="E43" vm="617">
        <f ca="1"/>
        <v>188.33</v>
      </c>
      <c r="F43" vm="618">
        <f ca="1"/>
        <v>139.13999999999999</v>
      </c>
      <c r="G43" vm="196">
        <f ca="1"/>
        <v>39.659999999999997</v>
      </c>
      <c r="H43" vm="619">
        <f ca="1"/>
        <v>87.3</v>
      </c>
      <c r="I43" vm="620">
        <f ca="1"/>
        <v>30.77</v>
      </c>
      <c r="J43" vm="621">
        <f ca="1"/>
        <v>13.85</v>
      </c>
      <c r="K43" vm="622">
        <f ca="1"/>
        <v>169.54</v>
      </c>
      <c r="L43" vm="623">
        <f ca="1"/>
        <v>162.9</v>
      </c>
      <c r="M43" vm="624">
        <f ca="1"/>
        <v>224.69</v>
      </c>
      <c r="N43" vm="625">
        <f ca="1"/>
        <v>479.49</v>
      </c>
      <c r="O43" vm="626">
        <f ca="1"/>
        <v>89.87</v>
      </c>
      <c r="P43" vm="627">
        <f ca="1"/>
        <v>250.16</v>
      </c>
    </row>
    <row r="44" spans="1:16" x14ac:dyDescent="0.25">
      <c r="A44" vm="628">
        <f ca="1"/>
        <v>44985</v>
      </c>
      <c r="B44" vm="629">
        <f ca="1"/>
        <v>351.85</v>
      </c>
      <c r="C44" vm="630">
        <f ca="1"/>
        <v>258.22000000000003</v>
      </c>
      <c r="D44" vm="631">
        <f ca="1"/>
        <v>59.51</v>
      </c>
      <c r="E44" vm="632">
        <f ca="1"/>
        <v>188.03</v>
      </c>
      <c r="F44" vm="633">
        <f ca="1"/>
        <v>137.56</v>
      </c>
      <c r="G44" vm="634">
        <f ca="1"/>
        <v>38.94</v>
      </c>
      <c r="H44" vm="635">
        <f ca="1"/>
        <v>87.07</v>
      </c>
      <c r="I44" vm="636">
        <f ca="1"/>
        <v>30.49</v>
      </c>
      <c r="J44" vm="637">
        <f ca="1"/>
        <v>13.31</v>
      </c>
      <c r="K44" vm="638">
        <f ca="1"/>
        <v>174.94</v>
      </c>
      <c r="L44" vm="639">
        <f ca="1"/>
        <v>161.4</v>
      </c>
      <c r="M44" vm="640">
        <f ca="1"/>
        <v>223.7</v>
      </c>
      <c r="N44" vm="641">
        <f ca="1"/>
        <v>474.26</v>
      </c>
      <c r="O44" vm="642">
        <f ca="1"/>
        <v>90.06</v>
      </c>
      <c r="P44" vm="643">
        <f ca="1"/>
        <v>249.42</v>
      </c>
    </row>
    <row r="45" spans="1:16" x14ac:dyDescent="0.25">
      <c r="A45" vm="644">
        <f ca="1"/>
        <v>44986</v>
      </c>
      <c r="B45" vm="645">
        <f ca="1"/>
        <v>353.35</v>
      </c>
      <c r="C45" vm="646">
        <f ca="1"/>
        <v>257.94</v>
      </c>
      <c r="D45" vm="647">
        <f ca="1"/>
        <v>58.86</v>
      </c>
      <c r="E45" vm="648">
        <f ca="1"/>
        <v>188.52</v>
      </c>
      <c r="F45" vm="649">
        <f ca="1"/>
        <v>137.66</v>
      </c>
      <c r="G45" vm="650">
        <f ca="1"/>
        <v>38.4</v>
      </c>
      <c r="H45" vm="125">
        <f ca="1"/>
        <v>88.42</v>
      </c>
      <c r="I45" vm="651">
        <f ca="1"/>
        <v>30.86</v>
      </c>
      <c r="J45" vm="652">
        <f ca="1"/>
        <v>13.55</v>
      </c>
      <c r="K45" vm="653">
        <f ca="1"/>
        <v>173.42</v>
      </c>
      <c r="L45" vm="654">
        <f ca="1"/>
        <v>159.65</v>
      </c>
      <c r="M45" vm="655">
        <f ca="1"/>
        <v>219.7</v>
      </c>
      <c r="N45" vm="656">
        <f ca="1"/>
        <v>474.33</v>
      </c>
      <c r="O45" vm="657">
        <f ca="1"/>
        <v>90.36</v>
      </c>
      <c r="P45" vm="658">
        <f ca="1"/>
        <v>246.27</v>
      </c>
    </row>
    <row r="46" spans="1:16" x14ac:dyDescent="0.25">
      <c r="A46" vm="659">
        <f ca="1"/>
        <v>44987</v>
      </c>
      <c r="B46" vm="660">
        <f ca="1"/>
        <v>355.5</v>
      </c>
      <c r="C46" vm="661">
        <f ca="1"/>
        <v>260.93</v>
      </c>
      <c r="D46" vm="209">
        <f ca="1"/>
        <v>59.72</v>
      </c>
      <c r="E46" vm="662">
        <f ca="1"/>
        <v>188.38</v>
      </c>
      <c r="F46" vm="663">
        <f ca="1"/>
        <v>139.93</v>
      </c>
      <c r="G46" vm="664">
        <f ca="1"/>
        <v>38.659999999999997</v>
      </c>
      <c r="H46" vm="665">
        <f ca="1"/>
        <v>89.03</v>
      </c>
      <c r="I46" vm="55">
        <f ca="1"/>
        <v>31.28</v>
      </c>
      <c r="J46" vm="666">
        <f ca="1"/>
        <v>13.35</v>
      </c>
      <c r="K46" vm="667">
        <f ca="1"/>
        <v>174.53</v>
      </c>
      <c r="L46" vm="668">
        <f ca="1"/>
        <v>160.05000000000001</v>
      </c>
      <c r="M46" vm="669">
        <f ca="1"/>
        <v>221.74</v>
      </c>
      <c r="N46" vm="670">
        <f ca="1"/>
        <v>478.31</v>
      </c>
      <c r="O46" vm="671">
        <f ca="1"/>
        <v>92</v>
      </c>
      <c r="P46" vm="672">
        <f ca="1"/>
        <v>251.11</v>
      </c>
    </row>
    <row r="47" spans="1:16" x14ac:dyDescent="0.25">
      <c r="A47" vm="673">
        <f ca="1"/>
        <v>44988</v>
      </c>
      <c r="B47" vm="674">
        <f ca="1"/>
        <v>359.85</v>
      </c>
      <c r="C47" vm="675">
        <f ca="1"/>
        <v>265.44</v>
      </c>
      <c r="D47" vm="676">
        <f ca="1"/>
        <v>59.44</v>
      </c>
      <c r="E47" vm="677">
        <f ca="1"/>
        <v>189.95</v>
      </c>
      <c r="F47" vm="678">
        <f ca="1"/>
        <v>140.94999999999999</v>
      </c>
      <c r="G47" vm="679">
        <f ca="1"/>
        <v>39.04</v>
      </c>
      <c r="H47" vm="680">
        <f ca="1"/>
        <v>89.79</v>
      </c>
      <c r="I47" vm="681">
        <f ca="1"/>
        <v>31.15</v>
      </c>
      <c r="J47" vm="682">
        <f ca="1"/>
        <v>14.29</v>
      </c>
      <c r="K47" vm="683">
        <f ca="1"/>
        <v>185.25</v>
      </c>
      <c r="L47" vm="684">
        <f ca="1"/>
        <v>163.12</v>
      </c>
      <c r="M47" vm="685">
        <f ca="1"/>
        <v>223.25</v>
      </c>
      <c r="N47" vm="686">
        <f ca="1"/>
        <v>477.89</v>
      </c>
      <c r="O47" vm="687">
        <f ca="1"/>
        <v>93.65</v>
      </c>
      <c r="P47" vm="688">
        <f ca="1"/>
        <v>255.29</v>
      </c>
    </row>
    <row r="48" spans="1:16" x14ac:dyDescent="0.25">
      <c r="A48" vm="689">
        <f ca="1"/>
        <v>44991</v>
      </c>
      <c r="B48" vm="690">
        <f ca="1"/>
        <v>360.5</v>
      </c>
      <c r="C48" vm="691">
        <f ca="1"/>
        <v>264.27999999999997</v>
      </c>
      <c r="D48" vm="692">
        <f ca="1"/>
        <v>60.36</v>
      </c>
      <c r="E48" vm="693">
        <f ca="1"/>
        <v>186.16</v>
      </c>
      <c r="F48" vm="694">
        <f ca="1"/>
        <v>140.35</v>
      </c>
      <c r="G48" vm="695">
        <f ca="1"/>
        <v>38.99</v>
      </c>
      <c r="H48" vm="696">
        <f ca="1"/>
        <v>89.58</v>
      </c>
      <c r="I48" vm="697">
        <f ca="1"/>
        <v>30.54</v>
      </c>
      <c r="J48" vm="698">
        <f ca="1"/>
        <v>14.28</v>
      </c>
      <c r="K48" vm="699">
        <f ca="1"/>
        <v>184.9</v>
      </c>
      <c r="L48" vm="700">
        <f ca="1"/>
        <v>163.37</v>
      </c>
      <c r="M48" vm="701">
        <f ca="1"/>
        <v>220.54</v>
      </c>
      <c r="N48" vm="702">
        <f ca="1"/>
        <v>480.17</v>
      </c>
      <c r="O48" vm="703">
        <f ca="1"/>
        <v>95.13</v>
      </c>
      <c r="P48" vm="704">
        <f ca="1"/>
        <v>256.87</v>
      </c>
    </row>
    <row r="49" spans="1:16" x14ac:dyDescent="0.25">
      <c r="A49" vm="705">
        <f ca="1"/>
        <v>44992</v>
      </c>
      <c r="B49" vm="706">
        <f ca="1"/>
        <v>359.54</v>
      </c>
      <c r="C49" vm="707">
        <f ca="1"/>
        <v>260.49</v>
      </c>
      <c r="D49" vm="708">
        <f ca="1"/>
        <v>60.01</v>
      </c>
      <c r="E49" vm="709">
        <f ca="1"/>
        <v>181.69</v>
      </c>
      <c r="F49" vm="633">
        <f ca="1"/>
        <v>137.56</v>
      </c>
      <c r="G49" vm="710">
        <f ca="1"/>
        <v>38.64</v>
      </c>
      <c r="H49" vm="711">
        <f ca="1"/>
        <v>88.85</v>
      </c>
      <c r="I49" vm="712">
        <f ca="1"/>
        <v>29.69</v>
      </c>
      <c r="J49" vm="713">
        <f ca="1"/>
        <v>14.26</v>
      </c>
      <c r="K49" vm="714">
        <f ca="1"/>
        <v>184.51</v>
      </c>
      <c r="L49" vm="715">
        <f ca="1"/>
        <v>162.97</v>
      </c>
      <c r="M49" vm="716">
        <f ca="1"/>
        <v>219.22</v>
      </c>
      <c r="N49" vm="717">
        <f ca="1"/>
        <v>478.66</v>
      </c>
      <c r="O49" vm="718">
        <f ca="1"/>
        <v>93.86</v>
      </c>
      <c r="P49" vm="719">
        <f ca="1"/>
        <v>254.15</v>
      </c>
    </row>
    <row r="50" spans="1:16" x14ac:dyDescent="0.25">
      <c r="A50" vm="720">
        <f ca="1"/>
        <v>44993</v>
      </c>
      <c r="B50" vm="721">
        <f ca="1"/>
        <v>362.67</v>
      </c>
      <c r="C50" vm="722">
        <f ca="1"/>
        <v>263.81</v>
      </c>
      <c r="D50" vm="723">
        <f ca="1"/>
        <v>60.04</v>
      </c>
      <c r="E50" vm="724">
        <f ca="1"/>
        <v>180.29</v>
      </c>
      <c r="F50" vm="725">
        <f ca="1"/>
        <v>137.58000000000001</v>
      </c>
      <c r="G50" vm="726">
        <f ca="1"/>
        <v>38.32</v>
      </c>
      <c r="H50" vm="727">
        <f ca="1"/>
        <v>90.83</v>
      </c>
      <c r="I50" vm="728">
        <f ca="1"/>
        <v>30.27</v>
      </c>
      <c r="J50" vm="729">
        <f ca="1"/>
        <v>14.22</v>
      </c>
      <c r="K50" vm="730">
        <f ca="1"/>
        <v>184.97</v>
      </c>
      <c r="L50" vm="731">
        <f ca="1"/>
        <v>162.43</v>
      </c>
      <c r="M50" vm="732">
        <f ca="1"/>
        <v>219.3</v>
      </c>
      <c r="N50" vm="733">
        <f ca="1"/>
        <v>479.5</v>
      </c>
      <c r="O50" vm="734">
        <f ca="1"/>
        <v>94.25</v>
      </c>
      <c r="P50" vm="735">
        <f ca="1"/>
        <v>253.7</v>
      </c>
    </row>
    <row r="51" spans="1:16" x14ac:dyDescent="0.25">
      <c r="A51" vm="736">
        <f ca="1"/>
        <v>44994</v>
      </c>
      <c r="B51" vm="737">
        <f ca="1"/>
        <v>350.93</v>
      </c>
      <c r="C51" vm="738">
        <f ca="1"/>
        <v>255.62</v>
      </c>
      <c r="D51" vm="739">
        <f ca="1"/>
        <v>59.46</v>
      </c>
      <c r="E51" vm="740">
        <f ca="1"/>
        <v>182.52</v>
      </c>
      <c r="F51" vm="741">
        <f ca="1"/>
        <v>136.57</v>
      </c>
      <c r="G51" vm="742">
        <f ca="1"/>
        <v>37.79</v>
      </c>
      <c r="H51" vm="743">
        <f ca="1"/>
        <v>88.88</v>
      </c>
      <c r="I51" vm="744">
        <f ca="1"/>
        <v>29.76</v>
      </c>
      <c r="J51" vm="745">
        <f ca="1"/>
        <v>14.08</v>
      </c>
      <c r="K51" vm="709">
        <f ca="1"/>
        <v>181.69</v>
      </c>
      <c r="L51" vm="746">
        <f ca="1"/>
        <v>160.55000000000001</v>
      </c>
      <c r="M51" vm="747">
        <f ca="1"/>
        <v>215.8</v>
      </c>
      <c r="N51" vm="748">
        <f ca="1"/>
        <v>475.85</v>
      </c>
      <c r="O51" vm="749">
        <f ca="1"/>
        <v>92.32</v>
      </c>
      <c r="P51" vm="750">
        <f ca="1"/>
        <v>252.32</v>
      </c>
    </row>
    <row r="52" spans="1:16" x14ac:dyDescent="0.25">
      <c r="A52" vm="751">
        <f ca="1"/>
        <v>44995</v>
      </c>
      <c r="B52" vm="752">
        <f ca="1"/>
        <v>338.47</v>
      </c>
      <c r="C52" vm="753">
        <f ca="1"/>
        <v>243.1</v>
      </c>
      <c r="D52" vm="754">
        <f ca="1"/>
        <v>59.21</v>
      </c>
      <c r="E52" vm="755">
        <f ca="1"/>
        <v>177.5</v>
      </c>
      <c r="F52" vm="756">
        <f ca="1"/>
        <v>137.19</v>
      </c>
      <c r="G52" vm="757">
        <f ca="1"/>
        <v>37.94</v>
      </c>
      <c r="H52" vm="758">
        <f ca="1"/>
        <v>87.25</v>
      </c>
      <c r="I52" vm="759">
        <f ca="1"/>
        <v>29.49</v>
      </c>
      <c r="J52" vm="760">
        <f ca="1"/>
        <v>13.43</v>
      </c>
      <c r="K52" vm="761">
        <f ca="1"/>
        <v>179.51</v>
      </c>
      <c r="L52" vm="762">
        <f ca="1"/>
        <v>157.35</v>
      </c>
      <c r="M52" vm="763">
        <f ca="1"/>
        <v>212</v>
      </c>
      <c r="N52" vm="764">
        <f ca="1"/>
        <v>475.5</v>
      </c>
      <c r="O52" vm="765">
        <f ca="1"/>
        <v>90.63</v>
      </c>
      <c r="P52" vm="766">
        <f ca="1"/>
        <v>248.59</v>
      </c>
    </row>
    <row r="53" spans="1:16" x14ac:dyDescent="0.25">
      <c r="A53" vm="767">
        <f ca="1"/>
        <v>44998</v>
      </c>
      <c r="B53" vm="768">
        <f ca="1"/>
        <v>332.09</v>
      </c>
      <c r="C53" vm="769">
        <f ca="1"/>
        <v>237.23</v>
      </c>
      <c r="D53" vm="193">
        <f ca="1"/>
        <v>59.81</v>
      </c>
      <c r="E53" vm="770">
        <f ca="1"/>
        <v>178.6</v>
      </c>
      <c r="F53" vm="771">
        <f ca="1"/>
        <v>138.13999999999999</v>
      </c>
      <c r="G53" vm="772">
        <f ca="1"/>
        <v>38.119999999999997</v>
      </c>
      <c r="H53" vm="773">
        <f ca="1"/>
        <v>87.74</v>
      </c>
      <c r="I53" vm="774">
        <f ca="1"/>
        <v>29.06</v>
      </c>
      <c r="J53" vm="775">
        <f ca="1"/>
        <v>12.1</v>
      </c>
      <c r="K53" vm="776">
        <f ca="1"/>
        <v>180.9</v>
      </c>
      <c r="L53" vm="777">
        <f ca="1"/>
        <v>155.87</v>
      </c>
      <c r="M53" vm="778">
        <f ca="1"/>
        <v>211</v>
      </c>
      <c r="N53" vm="779">
        <f ca="1"/>
        <v>477.33</v>
      </c>
      <c r="O53" vm="780">
        <f ca="1"/>
        <v>91.11</v>
      </c>
      <c r="P53" vm="781">
        <f ca="1"/>
        <v>253.92</v>
      </c>
    </row>
    <row r="54" spans="1:16" x14ac:dyDescent="0.25">
      <c r="A54" vm="782">
        <f ca="1"/>
        <v>44999</v>
      </c>
      <c r="B54" vm="783">
        <f ca="1"/>
        <v>334.22</v>
      </c>
      <c r="C54" vm="784">
        <f ca="1"/>
        <v>237.33</v>
      </c>
      <c r="D54" vm="785">
        <f ca="1"/>
        <v>60.03</v>
      </c>
      <c r="E54" vm="786">
        <f ca="1"/>
        <v>178.54</v>
      </c>
      <c r="F54" vm="787">
        <f ca="1"/>
        <v>139.85</v>
      </c>
      <c r="G54" vm="788">
        <f ca="1"/>
        <v>38.14</v>
      </c>
      <c r="H54" vm="789">
        <f ca="1"/>
        <v>89.29</v>
      </c>
      <c r="I54" vm="790">
        <f ca="1"/>
        <v>29.26</v>
      </c>
      <c r="J54" vm="791">
        <f ca="1"/>
        <v>12.18</v>
      </c>
      <c r="K54" vm="792">
        <f ca="1"/>
        <v>194.02</v>
      </c>
      <c r="L54" vm="793">
        <f ca="1"/>
        <v>159.74</v>
      </c>
      <c r="M54" vm="794">
        <f ca="1"/>
        <v>215.05</v>
      </c>
      <c r="N54" vm="795">
        <f ca="1"/>
        <v>478.87</v>
      </c>
      <c r="O54" vm="796">
        <f ca="1"/>
        <v>93.97</v>
      </c>
      <c r="P54" vm="505">
        <f ca="1"/>
        <v>260.79000000000002</v>
      </c>
    </row>
    <row r="55" spans="1:16" x14ac:dyDescent="0.25">
      <c r="A55" vm="797">
        <f ca="1"/>
        <v>45000</v>
      </c>
      <c r="B55" vm="798">
        <f ca="1"/>
        <v>313.54000000000002</v>
      </c>
      <c r="C55" vm="799">
        <f ca="1"/>
        <v>222.63</v>
      </c>
      <c r="D55" vm="800">
        <f ca="1"/>
        <v>60.43</v>
      </c>
      <c r="E55" vm="801">
        <f ca="1"/>
        <v>176.39</v>
      </c>
      <c r="F55" vm="802">
        <f ca="1"/>
        <v>141.83000000000001</v>
      </c>
      <c r="G55" vm="803">
        <f ca="1"/>
        <v>38.11</v>
      </c>
      <c r="H55" vm="804">
        <f ca="1"/>
        <v>86.7</v>
      </c>
      <c r="I55" vm="805">
        <f ca="1"/>
        <v>28.98</v>
      </c>
      <c r="J55" vm="806">
        <f ca="1"/>
        <v>12.89</v>
      </c>
      <c r="K55" vm="807">
        <f ca="1"/>
        <v>197.75</v>
      </c>
      <c r="L55" vm="808">
        <f ca="1"/>
        <v>155.34</v>
      </c>
      <c r="M55" vm="809">
        <f ca="1"/>
        <v>216.03</v>
      </c>
      <c r="N55" vm="810">
        <f ca="1"/>
        <v>473.31</v>
      </c>
      <c r="O55" vm="479">
        <f ca="1"/>
        <v>96.11</v>
      </c>
      <c r="P55" vm="675">
        <f ca="1"/>
        <v>265.44</v>
      </c>
    </row>
    <row r="56" spans="1:16" x14ac:dyDescent="0.25">
      <c r="A56" vm="811">
        <f ca="1"/>
        <v>45001</v>
      </c>
      <c r="B56" vm="812">
        <f ca="1"/>
        <v>314</v>
      </c>
      <c r="C56" vm="813">
        <f ca="1"/>
        <v>224.32</v>
      </c>
      <c r="D56" vm="814">
        <f ca="1"/>
        <v>60.3</v>
      </c>
      <c r="E56" vm="815">
        <f ca="1"/>
        <v>178.72</v>
      </c>
      <c r="F56" vm="816">
        <f ca="1"/>
        <v>142.88999999999999</v>
      </c>
      <c r="G56" vm="817">
        <f ca="1"/>
        <v>38.18</v>
      </c>
      <c r="H56" vm="818">
        <f ca="1"/>
        <v>89.3</v>
      </c>
      <c r="I56" vm="819">
        <f ca="1"/>
        <v>29.33</v>
      </c>
      <c r="J56" vm="820">
        <f ca="1"/>
        <v>12.4</v>
      </c>
      <c r="K56" vm="821">
        <f ca="1"/>
        <v>204.93</v>
      </c>
      <c r="L56" vm="822">
        <f ca="1"/>
        <v>157.21</v>
      </c>
      <c r="M56" vm="823">
        <f ca="1"/>
        <v>215.65</v>
      </c>
      <c r="N56" vm="92">
        <f ca="1"/>
        <v>473.24</v>
      </c>
      <c r="O56" vm="824">
        <f ca="1"/>
        <v>100.32</v>
      </c>
      <c r="P56" vm="825">
        <f ca="1"/>
        <v>276.2</v>
      </c>
    </row>
    <row r="57" spans="1:16" x14ac:dyDescent="0.25">
      <c r="A57" vm="826">
        <f ca="1"/>
        <v>45002</v>
      </c>
      <c r="B57" vm="827">
        <f ca="1"/>
        <v>304.92</v>
      </c>
      <c r="C57" vm="828">
        <f ca="1"/>
        <v>218.21</v>
      </c>
      <c r="D57" vm="829">
        <f ca="1"/>
        <v>60.02</v>
      </c>
      <c r="E57" vm="830">
        <f ca="1"/>
        <v>176.56</v>
      </c>
      <c r="F57" vm="831">
        <f ca="1"/>
        <v>142.93</v>
      </c>
      <c r="G57" vm="832">
        <f ca="1"/>
        <v>37.630000000000003</v>
      </c>
      <c r="H57" vm="197">
        <f ca="1"/>
        <v>89.47</v>
      </c>
      <c r="I57" vm="833">
        <f ca="1"/>
        <v>28.91</v>
      </c>
      <c r="J57" vm="834">
        <f ca="1"/>
        <v>11.57</v>
      </c>
      <c r="K57" vm="835">
        <f ca="1"/>
        <v>195.61</v>
      </c>
      <c r="L57" vm="836">
        <f ca="1"/>
        <v>155.1</v>
      </c>
      <c r="M57" vm="837">
        <f ca="1"/>
        <v>210.9</v>
      </c>
      <c r="N57" vm="838">
        <f ca="1"/>
        <v>465.87</v>
      </c>
      <c r="O57" vm="839">
        <f ca="1"/>
        <v>101.62</v>
      </c>
      <c r="P57" vm="840">
        <f ca="1"/>
        <v>279.43</v>
      </c>
    </row>
    <row r="58" spans="1:16" x14ac:dyDescent="0.25">
      <c r="A58" vm="841">
        <f ca="1"/>
        <v>45005</v>
      </c>
      <c r="B58" vm="842">
        <f ca="1"/>
        <v>315.83</v>
      </c>
      <c r="C58" vm="843">
        <f ca="1"/>
        <v>221.07</v>
      </c>
      <c r="D58" vm="475">
        <f ca="1"/>
        <v>60.6</v>
      </c>
      <c r="E58" vm="844">
        <f ca="1"/>
        <v>181.26</v>
      </c>
      <c r="F58" vm="845">
        <f ca="1"/>
        <v>145.13</v>
      </c>
      <c r="G58" vm="757">
        <f ca="1"/>
        <v>37.94</v>
      </c>
      <c r="H58" vm="846">
        <f ca="1"/>
        <v>90.04</v>
      </c>
      <c r="I58" vm="847">
        <f ca="1"/>
        <v>29.18</v>
      </c>
      <c r="J58" vm="848">
        <f ca="1"/>
        <v>11.7</v>
      </c>
      <c r="K58" vm="849">
        <f ca="1"/>
        <v>197.81</v>
      </c>
      <c r="L58" vm="850">
        <f ca="1"/>
        <v>157.29</v>
      </c>
      <c r="M58" vm="851">
        <f ca="1"/>
        <v>215.4</v>
      </c>
      <c r="N58" vm="852">
        <f ca="1"/>
        <v>475.7</v>
      </c>
      <c r="O58" vm="853">
        <f ca="1"/>
        <v>101.22</v>
      </c>
      <c r="P58" vm="854">
        <f ca="1"/>
        <v>272.23</v>
      </c>
    </row>
    <row r="59" spans="1:16" x14ac:dyDescent="0.25">
      <c r="A59" vm="855">
        <f ca="1"/>
        <v>45006</v>
      </c>
      <c r="B59" vm="856">
        <f ca="1"/>
        <v>326.20999999999998</v>
      </c>
      <c r="C59" vm="857">
        <f ca="1"/>
        <v>223.26</v>
      </c>
      <c r="D59" vm="858">
        <f ca="1"/>
        <v>60.32</v>
      </c>
      <c r="E59" vm="859">
        <f ca="1"/>
        <v>184.49</v>
      </c>
      <c r="F59" vm="860">
        <f ca="1"/>
        <v>144.08000000000001</v>
      </c>
      <c r="G59" vm="861">
        <f ca="1"/>
        <v>38.04</v>
      </c>
      <c r="H59" vm="862">
        <f ca="1"/>
        <v>92.5</v>
      </c>
      <c r="I59" vm="863">
        <f ca="1"/>
        <v>29.32</v>
      </c>
      <c r="J59" vm="848">
        <f ca="1"/>
        <v>11.7</v>
      </c>
      <c r="K59" vm="864">
        <f ca="1"/>
        <v>202.16</v>
      </c>
      <c r="L59" vm="865">
        <f ca="1"/>
        <v>161.62</v>
      </c>
      <c r="M59" vm="866">
        <f ca="1"/>
        <v>216.17</v>
      </c>
      <c r="N59" vm="867">
        <f ca="1"/>
        <v>474.76</v>
      </c>
      <c r="O59" vm="868">
        <f ca="1"/>
        <v>104.92</v>
      </c>
      <c r="P59" vm="869">
        <f ca="1"/>
        <v>273.77999999999997</v>
      </c>
    </row>
    <row r="60" spans="1:16" x14ac:dyDescent="0.25">
      <c r="A60" vm="870">
        <f ca="1"/>
        <v>45007</v>
      </c>
      <c r="B60" vm="871">
        <f ca="1"/>
        <v>322.12</v>
      </c>
      <c r="C60" vm="872">
        <f ca="1"/>
        <v>217.81</v>
      </c>
      <c r="D60" vm="873">
        <f ca="1"/>
        <v>60.05</v>
      </c>
      <c r="E60" vm="874">
        <f ca="1"/>
        <v>181.44</v>
      </c>
      <c r="F60" vm="875">
        <f ca="1"/>
        <v>143.99</v>
      </c>
      <c r="G60" vm="876">
        <f ca="1"/>
        <v>37.57</v>
      </c>
      <c r="H60" vm="877">
        <f ca="1"/>
        <v>92.62</v>
      </c>
      <c r="I60" vm="878">
        <f ca="1"/>
        <v>28.29</v>
      </c>
      <c r="J60" vm="879">
        <f ca="1"/>
        <v>11.55</v>
      </c>
      <c r="K60" vm="880">
        <f ca="1"/>
        <v>199.81</v>
      </c>
      <c r="L60" vm="881">
        <f ca="1"/>
        <v>158.56</v>
      </c>
      <c r="M60" vm="882">
        <f ca="1"/>
        <v>214.14</v>
      </c>
      <c r="N60" vm="883">
        <f ca="1"/>
        <v>468.9</v>
      </c>
      <c r="O60" vm="884">
        <f ca="1"/>
        <v>103.37</v>
      </c>
      <c r="P60" vm="885">
        <f ca="1"/>
        <v>272.29000000000002</v>
      </c>
    </row>
    <row r="61" spans="1:16" x14ac:dyDescent="0.25">
      <c r="A61" vm="886">
        <f ca="1"/>
        <v>45008</v>
      </c>
      <c r="B61" vm="887">
        <f ca="1"/>
        <v>320.42</v>
      </c>
      <c r="C61" vm="888">
        <f ca="1"/>
        <v>212.96</v>
      </c>
      <c r="D61" vm="889">
        <f ca="1"/>
        <v>59.92</v>
      </c>
      <c r="E61" vm="890">
        <f ca="1"/>
        <v>181.42</v>
      </c>
      <c r="F61" vm="891">
        <f ca="1"/>
        <v>143.79</v>
      </c>
      <c r="G61" vm="892">
        <f ca="1"/>
        <v>37.42</v>
      </c>
      <c r="H61" vm="893">
        <f ca="1"/>
        <v>94.59</v>
      </c>
      <c r="I61" vm="894">
        <f ca="1"/>
        <v>28.08</v>
      </c>
      <c r="J61" vm="895">
        <f ca="1"/>
        <v>11.05</v>
      </c>
      <c r="K61" vm="896">
        <f ca="1"/>
        <v>204.28</v>
      </c>
      <c r="L61" vm="897">
        <f ca="1"/>
        <v>158.97</v>
      </c>
      <c r="M61" vm="898">
        <f ca="1"/>
        <v>214.99</v>
      </c>
      <c r="N61" vm="899">
        <f ca="1"/>
        <v>467.9</v>
      </c>
      <c r="O61" vm="900">
        <f ca="1"/>
        <v>105.6</v>
      </c>
      <c r="P61" vm="901">
        <f ca="1"/>
        <v>277.66000000000003</v>
      </c>
    </row>
    <row r="62" spans="1:16" x14ac:dyDescent="0.25">
      <c r="A62" vm="902">
        <f ca="1"/>
        <v>45009</v>
      </c>
      <c r="B62" vm="903">
        <f ca="1"/>
        <v>320.87</v>
      </c>
      <c r="C62" vm="904">
        <f ca="1"/>
        <v>212.05</v>
      </c>
      <c r="D62" vm="905">
        <f ca="1"/>
        <v>60.9</v>
      </c>
      <c r="E62" vm="906">
        <f ca="1"/>
        <v>185.2</v>
      </c>
      <c r="F62" vm="907">
        <f ca="1"/>
        <v>146.72</v>
      </c>
      <c r="G62" vm="817">
        <f ca="1"/>
        <v>38.18</v>
      </c>
      <c r="H62" vm="908">
        <f ca="1"/>
        <v>92.79</v>
      </c>
      <c r="I62" vm="909">
        <f ca="1"/>
        <v>28.25</v>
      </c>
      <c r="J62" vm="910">
        <f ca="1"/>
        <v>11.06</v>
      </c>
      <c r="K62" vm="911">
        <f ca="1"/>
        <v>206.01</v>
      </c>
      <c r="L62" vm="912">
        <f ca="1"/>
        <v>160.78</v>
      </c>
      <c r="M62" vm="913">
        <f ca="1"/>
        <v>217.95</v>
      </c>
      <c r="N62" vm="914">
        <f ca="1"/>
        <v>474.54</v>
      </c>
      <c r="O62" vm="915">
        <f ca="1"/>
        <v>105.44</v>
      </c>
      <c r="P62" vm="916">
        <f ca="1"/>
        <v>280.57</v>
      </c>
    </row>
    <row r="63" spans="1:16" x14ac:dyDescent="0.25">
      <c r="A63" vm="917">
        <f ca="1"/>
        <v>45012</v>
      </c>
      <c r="B63" vm="918">
        <f ca="1"/>
        <v>324.66000000000003</v>
      </c>
      <c r="C63" vm="919">
        <f ca="1"/>
        <v>217.43</v>
      </c>
      <c r="D63" vm="920">
        <f ca="1"/>
        <v>61.35</v>
      </c>
      <c r="E63" vm="921">
        <f ca="1"/>
        <v>186.32</v>
      </c>
      <c r="F63" vm="922">
        <f ca="1"/>
        <v>145.94999999999999</v>
      </c>
      <c r="G63" vm="923">
        <f ca="1"/>
        <v>38.6</v>
      </c>
      <c r="H63" vm="924">
        <f ca="1"/>
        <v>90.66</v>
      </c>
      <c r="I63" vm="925">
        <f ca="1"/>
        <v>28.75</v>
      </c>
      <c r="J63" vm="926">
        <f ca="1"/>
        <v>11.33</v>
      </c>
      <c r="K63" vm="927">
        <f ca="1"/>
        <v>202.84</v>
      </c>
      <c r="L63" vm="928">
        <f ca="1"/>
        <v>162.44999999999999</v>
      </c>
      <c r="M63" vm="929">
        <f ca="1"/>
        <v>219.49</v>
      </c>
      <c r="N63" vm="930">
        <f ca="1"/>
        <v>473.39</v>
      </c>
      <c r="O63" vm="931">
        <f ca="1"/>
        <v>102.46</v>
      </c>
      <c r="P63" vm="932">
        <f ca="1"/>
        <v>276.38</v>
      </c>
    </row>
    <row r="64" spans="1:16" x14ac:dyDescent="0.25">
      <c r="A64" vm="933">
        <f ca="1"/>
        <v>45013</v>
      </c>
      <c r="B64" vm="934">
        <f ca="1"/>
        <v>327.74</v>
      </c>
      <c r="C64" vm="935">
        <f ca="1"/>
        <v>218.99</v>
      </c>
      <c r="D64" vm="936">
        <f ca="1"/>
        <v>61.42</v>
      </c>
      <c r="E64" vm="937">
        <f ca="1"/>
        <v>185.31</v>
      </c>
      <c r="F64" vm="938">
        <f ca="1"/>
        <v>146.36000000000001</v>
      </c>
      <c r="G64" vm="939">
        <f ca="1"/>
        <v>38.39</v>
      </c>
      <c r="H64" vm="940">
        <f ca="1"/>
        <v>90.81</v>
      </c>
      <c r="I64" vm="941">
        <f ca="1"/>
        <v>29.11</v>
      </c>
      <c r="J64" vm="942">
        <f ca="1"/>
        <v>11.43</v>
      </c>
      <c r="K64" vm="943">
        <f ca="1"/>
        <v>200.68</v>
      </c>
      <c r="L64" vm="944">
        <f ca="1"/>
        <v>163.28</v>
      </c>
      <c r="M64" vm="945">
        <f ca="1"/>
        <v>219.28</v>
      </c>
      <c r="N64" vm="946">
        <f ca="1"/>
        <v>471.44</v>
      </c>
      <c r="O64" vm="947">
        <f ca="1"/>
        <v>101.03</v>
      </c>
      <c r="P64" vm="948">
        <f ca="1"/>
        <v>275.23</v>
      </c>
    </row>
    <row r="65" spans="1:16" x14ac:dyDescent="0.25">
      <c r="A65" vm="949">
        <f ca="1"/>
        <v>45014</v>
      </c>
      <c r="B65" vm="950">
        <f ca="1"/>
        <v>334.17</v>
      </c>
      <c r="C65" vm="951">
        <f ca="1"/>
        <v>222.75</v>
      </c>
      <c r="D65" vm="952">
        <f ca="1"/>
        <v>61.86</v>
      </c>
      <c r="E65" vm="953">
        <f ca="1"/>
        <v>187.46</v>
      </c>
      <c r="F65" vm="954">
        <f ca="1"/>
        <v>146.81</v>
      </c>
      <c r="G65" vm="955">
        <f ca="1"/>
        <v>38.67</v>
      </c>
      <c r="H65" vm="509">
        <f ca="1"/>
        <v>92.76</v>
      </c>
      <c r="I65" vm="956">
        <f ca="1"/>
        <v>29.59</v>
      </c>
      <c r="J65" vm="957">
        <f ca="1"/>
        <v>11.795</v>
      </c>
      <c r="K65" vm="958">
        <f ca="1"/>
        <v>205.35</v>
      </c>
      <c r="L65" vm="959">
        <f ca="1"/>
        <v>165.46</v>
      </c>
      <c r="M65" vm="960">
        <f ca="1"/>
        <v>223.68</v>
      </c>
      <c r="N65" vm="961">
        <f ca="1"/>
        <v>474.19</v>
      </c>
      <c r="O65" vm="962">
        <f ca="1"/>
        <v>101.39</v>
      </c>
      <c r="P65" vm="963">
        <f ca="1"/>
        <v>280.51</v>
      </c>
    </row>
    <row r="66" spans="1:16" x14ac:dyDescent="0.25">
      <c r="A66" vm="964">
        <f ca="1"/>
        <v>45015</v>
      </c>
      <c r="B66" vm="965">
        <f ca="1"/>
        <v>336.57</v>
      </c>
      <c r="C66" vm="966">
        <f ca="1"/>
        <v>225.02</v>
      </c>
      <c r="D66" vm="967">
        <f ca="1"/>
        <v>61.85</v>
      </c>
      <c r="E66" vm="968">
        <f ca="1"/>
        <v>188.8</v>
      </c>
      <c r="F66" vm="969">
        <f ca="1"/>
        <v>147.44999999999999</v>
      </c>
      <c r="G66" vm="970">
        <f ca="1"/>
        <v>38.840000000000003</v>
      </c>
      <c r="H66" vm="971">
        <f ca="1"/>
        <v>92.47</v>
      </c>
      <c r="I66" vm="972">
        <f ca="1"/>
        <v>29.5</v>
      </c>
      <c r="J66" vm="973">
        <f ca="1"/>
        <v>12.035</v>
      </c>
      <c r="K66" vm="974">
        <f ca="1"/>
        <v>207.84</v>
      </c>
      <c r="L66" vm="975">
        <f ca="1"/>
        <v>166.52</v>
      </c>
      <c r="M66" vm="976">
        <f ca="1"/>
        <v>224.91</v>
      </c>
      <c r="N66" vm="977">
        <f ca="1"/>
        <v>473.18</v>
      </c>
      <c r="O66" vm="978">
        <f ca="1"/>
        <v>100.89</v>
      </c>
      <c r="P66" vm="979">
        <f ca="1"/>
        <v>284.05</v>
      </c>
    </row>
    <row r="67" spans="1:16" x14ac:dyDescent="0.25">
      <c r="A67" vm="980">
        <f ca="1"/>
        <v>45016</v>
      </c>
      <c r="B67" vm="981">
        <f ca="1"/>
        <v>336.11</v>
      </c>
      <c r="C67" vm="982">
        <f ca="1"/>
        <v>226.07</v>
      </c>
      <c r="D67" vm="983">
        <f ca="1"/>
        <v>62.03</v>
      </c>
      <c r="E67" vm="984">
        <f ca="1"/>
        <v>191.28</v>
      </c>
      <c r="F67" vm="985">
        <f ca="1"/>
        <v>148.69</v>
      </c>
      <c r="G67" vm="955">
        <f ca="1"/>
        <v>38.67</v>
      </c>
      <c r="H67" vm="986">
        <f ca="1"/>
        <v>93.02</v>
      </c>
      <c r="I67" vm="987">
        <f ca="1"/>
        <v>29.94</v>
      </c>
      <c r="J67" vm="988">
        <f ca="1"/>
        <v>12.08</v>
      </c>
      <c r="K67" vm="989">
        <f ca="1"/>
        <v>211.94</v>
      </c>
      <c r="L67" vm="990">
        <f ca="1"/>
        <v>166.64</v>
      </c>
      <c r="M67" vm="991">
        <f ca="1"/>
        <v>225.89</v>
      </c>
      <c r="N67" vm="992">
        <f ca="1"/>
        <v>472.73</v>
      </c>
      <c r="O67" vm="993">
        <f ca="1"/>
        <v>103.73</v>
      </c>
      <c r="P67" vm="994">
        <f ca="1"/>
        <v>288.3</v>
      </c>
    </row>
    <row r="68" spans="1:16" x14ac:dyDescent="0.25">
      <c r="A68" vm="995">
        <f ca="1"/>
        <v>45019</v>
      </c>
      <c r="B68" vm="996">
        <f ca="1"/>
        <v>339.17</v>
      </c>
      <c r="C68" vm="997">
        <f ca="1"/>
        <v>225.81</v>
      </c>
      <c r="D68" vm="998">
        <f ca="1"/>
        <v>62.4</v>
      </c>
      <c r="E68" vm="999">
        <f ca="1"/>
        <v>190.52</v>
      </c>
      <c r="F68" vm="1000">
        <f ca="1"/>
        <v>149.51</v>
      </c>
      <c r="G68" vm="1001">
        <f ca="1"/>
        <v>38.85</v>
      </c>
      <c r="H68" vm="1002">
        <f ca="1"/>
        <v>92.84</v>
      </c>
      <c r="I68" vm="1003">
        <f ca="1"/>
        <v>29.85</v>
      </c>
      <c r="J68" vm="1004">
        <f ca="1"/>
        <v>11.98</v>
      </c>
      <c r="K68" vm="1005">
        <f ca="1"/>
        <v>213.07</v>
      </c>
      <c r="L68" vm="1006">
        <f ca="1"/>
        <v>165.79</v>
      </c>
      <c r="M68" vm="1007">
        <f ca="1"/>
        <v>225.42</v>
      </c>
      <c r="N68" vm="1008">
        <f ca="1"/>
        <v>486.62</v>
      </c>
      <c r="O68" vm="1009">
        <f ca="1"/>
        <v>104.36</v>
      </c>
      <c r="P68" vm="1010">
        <f ca="1"/>
        <v>287.23</v>
      </c>
    </row>
    <row r="69" spans="1:16" x14ac:dyDescent="0.25">
      <c r="A69" vm="1011">
        <f ca="1"/>
        <v>45020</v>
      </c>
      <c r="B69" vm="1012">
        <f ca="1"/>
        <v>320.64</v>
      </c>
      <c r="C69" vm="1013">
        <f ca="1"/>
        <v>212.23</v>
      </c>
      <c r="D69" vm="1014">
        <f ca="1"/>
        <v>62.21</v>
      </c>
      <c r="E69" vm="1015">
        <f ca="1"/>
        <v>191.27</v>
      </c>
      <c r="F69" vm="1016">
        <f ca="1"/>
        <v>150.22999999999999</v>
      </c>
      <c r="G69" vm="1017">
        <f ca="1"/>
        <v>38.61</v>
      </c>
      <c r="H69" vm="1018">
        <f ca="1"/>
        <v>92.17</v>
      </c>
      <c r="I69" vm="1019">
        <f ca="1"/>
        <v>29.51</v>
      </c>
      <c r="J69" vm="1020">
        <f ca="1"/>
        <v>11.58</v>
      </c>
      <c r="K69" vm="1021">
        <f ca="1"/>
        <v>214.72</v>
      </c>
      <c r="L69" vm="1022">
        <f ca="1"/>
        <v>162.65</v>
      </c>
      <c r="M69" vm="1023">
        <f ca="1"/>
        <v>218.23</v>
      </c>
      <c r="N69" vm="1024">
        <f ca="1"/>
        <v>488.54</v>
      </c>
      <c r="O69" vm="1025">
        <f ca="1"/>
        <v>104.72</v>
      </c>
      <c r="P69" vm="1026">
        <f ca="1"/>
        <v>287.18</v>
      </c>
    </row>
    <row r="70" spans="1:16" x14ac:dyDescent="0.25">
      <c r="A70" vm="1027">
        <f ca="1"/>
        <v>45021</v>
      </c>
      <c r="B70" vm="1028">
        <f ca="1"/>
        <v>312.58</v>
      </c>
      <c r="C70" vm="1029">
        <f ca="1"/>
        <v>206.84</v>
      </c>
      <c r="D70" vm="1030">
        <f ca="1"/>
        <v>62.8</v>
      </c>
      <c r="E70" vm="1031">
        <f ca="1"/>
        <v>192.25</v>
      </c>
      <c r="F70" vm="1032">
        <f ca="1"/>
        <v>151.26</v>
      </c>
      <c r="G70" vm="1033">
        <f ca="1"/>
        <v>39.020000000000003</v>
      </c>
      <c r="H70" vm="1034">
        <f ca="1"/>
        <v>90.2</v>
      </c>
      <c r="I70" vm="1035">
        <f ca="1"/>
        <v>29.29</v>
      </c>
      <c r="J70" vm="1036">
        <f ca="1"/>
        <v>11.8</v>
      </c>
      <c r="K70" vm="1037">
        <f ca="1"/>
        <v>211.48</v>
      </c>
      <c r="L70" vm="1038">
        <f ca="1"/>
        <v>159.91</v>
      </c>
      <c r="M70" vm="1039">
        <f ca="1"/>
        <v>221.44</v>
      </c>
      <c r="N70" vm="1040">
        <f ca="1"/>
        <v>489.99</v>
      </c>
      <c r="O70" vm="1041">
        <f ca="1"/>
        <v>104.47</v>
      </c>
      <c r="P70" vm="1042">
        <f ca="1"/>
        <v>284.33999999999997</v>
      </c>
    </row>
    <row r="71" spans="1:16" x14ac:dyDescent="0.25">
      <c r="A71" vm="1043">
        <f ca="1"/>
        <v>45022</v>
      </c>
      <c r="B71" vm="1044">
        <f ca="1"/>
        <v>312.47000000000003</v>
      </c>
      <c r="C71" vm="1045">
        <f ca="1"/>
        <v>205.6</v>
      </c>
      <c r="D71" vm="1046">
        <f ca="1"/>
        <v>62.84</v>
      </c>
      <c r="E71" vm="1047">
        <f ca="1"/>
        <v>193.1</v>
      </c>
      <c r="F71" vm="1048">
        <f ca="1"/>
        <v>152.22</v>
      </c>
      <c r="G71" vm="1049">
        <f ca="1"/>
        <v>39.14</v>
      </c>
      <c r="H71" vm="1050">
        <f ca="1"/>
        <v>90.24</v>
      </c>
      <c r="I71" vm="1051">
        <f ca="1"/>
        <v>30.02</v>
      </c>
      <c r="J71" vm="1052">
        <f ca="1"/>
        <v>12</v>
      </c>
      <c r="K71" vm="1053">
        <f ca="1"/>
        <v>216.1</v>
      </c>
      <c r="L71" vm="1054">
        <f ca="1"/>
        <v>159.13</v>
      </c>
      <c r="M71" vm="1055">
        <f ca="1"/>
        <v>224.64</v>
      </c>
      <c r="N71" vm="1056">
        <f ca="1"/>
        <v>490.17</v>
      </c>
      <c r="O71" vm="1057">
        <f ca="1"/>
        <v>108.42</v>
      </c>
      <c r="P71" vm="1058">
        <f ca="1"/>
        <v>291.60000000000002</v>
      </c>
    </row>
    <row r="72" spans="1:16" x14ac:dyDescent="0.25">
      <c r="A72" vm="1059">
        <f ca="1"/>
        <v>45026</v>
      </c>
      <c r="B72" vm="1060">
        <f ca="1"/>
        <v>315.17</v>
      </c>
      <c r="C72" vm="1061">
        <f ca="1"/>
        <v>210.54</v>
      </c>
      <c r="D72" vm="1062">
        <f ca="1"/>
        <v>62.69</v>
      </c>
      <c r="E72" vm="1063">
        <f ca="1"/>
        <v>192.24</v>
      </c>
      <c r="F72" vm="1064">
        <f ca="1"/>
        <v>150.96</v>
      </c>
      <c r="G72" vm="1065">
        <f ca="1"/>
        <v>39.1</v>
      </c>
      <c r="H72" vm="1066">
        <f ca="1"/>
        <v>89.02</v>
      </c>
      <c r="I72" vm="573">
        <f ca="1"/>
        <v>29.99</v>
      </c>
      <c r="J72" vm="1067">
        <f ca="1"/>
        <v>11.73</v>
      </c>
      <c r="K72" vm="1068">
        <f ca="1"/>
        <v>214.75</v>
      </c>
      <c r="L72" vm="1069">
        <f ca="1"/>
        <v>161.54</v>
      </c>
      <c r="M72" vm="1070">
        <f ca="1"/>
        <v>224.6</v>
      </c>
      <c r="N72" vm="1071">
        <f ca="1"/>
        <v>496.75</v>
      </c>
      <c r="O72" vm="1072">
        <f ca="1"/>
        <v>106.44</v>
      </c>
      <c r="P72" vm="1073">
        <f ca="1"/>
        <v>289.39</v>
      </c>
    </row>
    <row r="73" spans="1:16" x14ac:dyDescent="0.25">
      <c r="A73" vm="1074">
        <f ca="1"/>
        <v>45027</v>
      </c>
      <c r="B73" vm="1075">
        <f ca="1"/>
        <v>317.98</v>
      </c>
      <c r="C73" vm="1076">
        <f ca="1"/>
        <v>210.76</v>
      </c>
      <c r="D73" vm="1077">
        <f ca="1"/>
        <v>62.58</v>
      </c>
      <c r="E73" vm="1078">
        <f ca="1"/>
        <v>195.36</v>
      </c>
      <c r="F73" vm="132">
        <f ca="1"/>
        <v>150.66</v>
      </c>
      <c r="G73" vm="1079">
        <f ca="1"/>
        <v>39.25</v>
      </c>
      <c r="H73" vm="1080">
        <f ca="1"/>
        <v>89.24</v>
      </c>
      <c r="I73" vm="1081">
        <f ca="1"/>
        <v>30.31</v>
      </c>
      <c r="J73" vm="88">
        <f ca="1"/>
        <v>12.3</v>
      </c>
      <c r="K73" vm="1082">
        <f ca="1"/>
        <v>213.85</v>
      </c>
      <c r="L73" vm="1083">
        <f ca="1"/>
        <v>163.72999999999999</v>
      </c>
      <c r="M73" vm="1084">
        <f ca="1"/>
        <v>228.16</v>
      </c>
      <c r="N73" vm="1085">
        <f ca="1"/>
        <v>487.84</v>
      </c>
      <c r="O73" vm="1086">
        <f ca="1"/>
        <v>105.35</v>
      </c>
      <c r="P73" vm="1087">
        <f ca="1"/>
        <v>282.83</v>
      </c>
    </row>
    <row r="74" spans="1:16" x14ac:dyDescent="0.25">
      <c r="A74" vm="1088">
        <f ca="1"/>
        <v>45028</v>
      </c>
      <c r="B74" vm="1089">
        <f ca="1"/>
        <v>324.52</v>
      </c>
      <c r="C74" vm="1090">
        <f ca="1"/>
        <v>210.6</v>
      </c>
      <c r="D74" vm="1062">
        <f ca="1"/>
        <v>62.69</v>
      </c>
      <c r="E74" vm="1091">
        <f ca="1"/>
        <v>193.51</v>
      </c>
      <c r="F74" vm="1092">
        <f ca="1"/>
        <v>151.07</v>
      </c>
      <c r="G74" vm="1093">
        <f ca="1"/>
        <v>39.28</v>
      </c>
      <c r="H74" vm="1094">
        <f ca="1"/>
        <v>86.87</v>
      </c>
      <c r="I74" vm="1095">
        <f ca="1"/>
        <v>30.16</v>
      </c>
      <c r="J74" vm="1096">
        <f ca="1"/>
        <v>12.01</v>
      </c>
      <c r="K74" vm="1097">
        <f ca="1"/>
        <v>214</v>
      </c>
      <c r="L74" vm="1098">
        <f ca="1"/>
        <v>165</v>
      </c>
      <c r="M74" vm="1099">
        <f ca="1"/>
        <v>226.42</v>
      </c>
      <c r="N74" vm="1100">
        <f ca="1"/>
        <v>488.1</v>
      </c>
      <c r="O74" vm="1101">
        <f ca="1"/>
        <v>104.64</v>
      </c>
      <c r="P74" vm="1102">
        <f ca="1"/>
        <v>283.49</v>
      </c>
    </row>
    <row r="75" spans="1:16" x14ac:dyDescent="0.25">
      <c r="A75" vm="1103">
        <f ca="1"/>
        <v>45029</v>
      </c>
      <c r="B75" vm="1104">
        <f ca="1"/>
        <v>319.55</v>
      </c>
      <c r="C75" vm="1105">
        <f ca="1"/>
        <v>210.79</v>
      </c>
      <c r="D75" vm="1106">
        <f ca="1"/>
        <v>63.15</v>
      </c>
      <c r="E75" vm="1107">
        <f ca="1"/>
        <v>195.12</v>
      </c>
      <c r="F75" vm="1108">
        <f ca="1"/>
        <v>151.77000000000001</v>
      </c>
      <c r="G75" vm="1109">
        <f ca="1"/>
        <v>39.17</v>
      </c>
      <c r="H75" vm="1110">
        <f ca="1"/>
        <v>87.05</v>
      </c>
      <c r="I75" vm="1111">
        <f ca="1"/>
        <v>30.42</v>
      </c>
      <c r="J75" vm="1112">
        <f ca="1"/>
        <v>12.36</v>
      </c>
      <c r="K75" vm="1113">
        <f ca="1"/>
        <v>220.35</v>
      </c>
      <c r="L75" vm="1114">
        <f ca="1"/>
        <v>165.04</v>
      </c>
      <c r="M75" vm="1115">
        <f ca="1"/>
        <v>226.2</v>
      </c>
      <c r="N75" vm="1116">
        <f ca="1"/>
        <v>492.14</v>
      </c>
      <c r="O75" vm="1117">
        <f ca="1"/>
        <v>107.43</v>
      </c>
      <c r="P75" vm="1118">
        <f ca="1"/>
        <v>289.83999999999997</v>
      </c>
    </row>
    <row r="76" spans="1:16" x14ac:dyDescent="0.25">
      <c r="A76" vm="1119">
        <f ca="1"/>
        <v>45030</v>
      </c>
      <c r="B76" vm="1120">
        <f ca="1"/>
        <v>319.11</v>
      </c>
      <c r="C76" vm="1121">
        <f ca="1"/>
        <v>210.88</v>
      </c>
      <c r="D76" vm="1122">
        <f ca="1"/>
        <v>63.05</v>
      </c>
      <c r="E76" vm="390">
        <f ca="1"/>
        <v>186.53</v>
      </c>
      <c r="F76" vm="1123">
        <f ca="1"/>
        <v>151</v>
      </c>
      <c r="G76" vm="1065">
        <f ca="1"/>
        <v>39.1</v>
      </c>
      <c r="H76" vm="1124">
        <f ca="1"/>
        <v>87.2</v>
      </c>
      <c r="I76" vm="1125">
        <f ca="1"/>
        <v>30.46</v>
      </c>
      <c r="J76" vm="1112">
        <f ca="1"/>
        <v>12.36</v>
      </c>
      <c r="K76" vm="1126">
        <f ca="1"/>
        <v>221.49</v>
      </c>
      <c r="L76" vm="1127">
        <f ca="1"/>
        <v>166.02</v>
      </c>
      <c r="M76" vm="1128">
        <f ca="1"/>
        <v>228.23</v>
      </c>
      <c r="N76" vm="1129">
        <f ca="1"/>
        <v>487.99</v>
      </c>
      <c r="O76" vm="1130">
        <f ca="1"/>
        <v>108.87</v>
      </c>
      <c r="P76" vm="1131">
        <f ca="1"/>
        <v>286.14</v>
      </c>
    </row>
    <row r="77" spans="1:16" x14ac:dyDescent="0.25">
      <c r="A77" vm="1132">
        <f ca="1"/>
        <v>45033</v>
      </c>
      <c r="B77" vm="1133">
        <f ca="1"/>
        <v>325.41000000000003</v>
      </c>
      <c r="C77" vm="1134">
        <f ca="1"/>
        <v>216.87</v>
      </c>
      <c r="D77" vm="1135">
        <f ca="1"/>
        <v>63.46</v>
      </c>
      <c r="E77" vm="1136">
        <f ca="1"/>
        <v>188.14</v>
      </c>
      <c r="F77" vm="1137">
        <f ca="1"/>
        <v>151.05000000000001</v>
      </c>
      <c r="G77" vm="417">
        <f ca="1"/>
        <v>39.54</v>
      </c>
      <c r="H77" vm="1138">
        <f ca="1"/>
        <v>87.99</v>
      </c>
      <c r="I77" vm="1139">
        <f ca="1"/>
        <v>30.45</v>
      </c>
      <c r="J77" vm="1140">
        <f ca="1"/>
        <v>12.8</v>
      </c>
      <c r="K77" vm="1141">
        <f ca="1"/>
        <v>218.86</v>
      </c>
      <c r="L77" vm="1142">
        <f ca="1"/>
        <v>166.85</v>
      </c>
      <c r="M77" vm="1143">
        <f ca="1"/>
        <v>229.68</v>
      </c>
      <c r="N77" vm="1144">
        <f ca="1"/>
        <v>489.64</v>
      </c>
      <c r="O77" vm="1145">
        <f ca="1"/>
        <v>105.97</v>
      </c>
      <c r="P77" vm="1146">
        <f ca="1"/>
        <v>288.8</v>
      </c>
    </row>
    <row r="78" spans="1:16" x14ac:dyDescent="0.25">
      <c r="A78" vm="1147">
        <f ca="1"/>
        <v>45034</v>
      </c>
      <c r="B78" vm="1148">
        <f ca="1"/>
        <v>324.7</v>
      </c>
      <c r="C78" vm="1149">
        <f ca="1"/>
        <v>217.56</v>
      </c>
      <c r="D78" vm="1150">
        <f ca="1"/>
        <v>63.56</v>
      </c>
      <c r="E78" vm="1151">
        <f ca="1"/>
        <v>183.77</v>
      </c>
      <c r="F78" vm="1152">
        <f ca="1"/>
        <v>151.21</v>
      </c>
      <c r="G78" vm="1153">
        <f ca="1"/>
        <v>39.46</v>
      </c>
      <c r="H78" vm="1154">
        <f ca="1"/>
        <v>88.14</v>
      </c>
      <c r="I78" vm="1155">
        <f ca="1"/>
        <v>30.41</v>
      </c>
      <c r="J78" vm="72">
        <f ca="1"/>
        <v>12.58</v>
      </c>
      <c r="K78" vm="1156">
        <f ca="1"/>
        <v>217.89</v>
      </c>
      <c r="L78" vm="1157">
        <f ca="1"/>
        <v>167.79</v>
      </c>
      <c r="M78" vm="1158">
        <f ca="1"/>
        <v>227.35</v>
      </c>
      <c r="N78" vm="1159">
        <f ca="1"/>
        <v>501.41</v>
      </c>
      <c r="O78" vm="1160">
        <f ca="1"/>
        <v>104.5</v>
      </c>
      <c r="P78" vm="1161">
        <f ca="1"/>
        <v>288.37</v>
      </c>
    </row>
    <row r="79" spans="1:16" x14ac:dyDescent="0.25">
      <c r="A79" vm="1162">
        <f ca="1"/>
        <v>45035</v>
      </c>
      <c r="B79" vm="1163">
        <f ca="1"/>
        <v>323.43</v>
      </c>
      <c r="C79" vm="1164">
        <f ca="1"/>
        <v>220.77</v>
      </c>
      <c r="D79" vm="1165">
        <f ca="1"/>
        <v>63.68</v>
      </c>
      <c r="E79" vm="1166">
        <f ca="1"/>
        <v>186.75</v>
      </c>
      <c r="F79" vm="1167">
        <f ca="1"/>
        <v>151.24</v>
      </c>
      <c r="G79" vm="1168">
        <f ca="1"/>
        <v>39.47</v>
      </c>
      <c r="H79" vm="1169">
        <f ca="1"/>
        <v>87.23</v>
      </c>
      <c r="I79" vm="1170">
        <f ca="1"/>
        <v>30.56</v>
      </c>
      <c r="J79" vm="1171">
        <f ca="1"/>
        <v>12.775</v>
      </c>
      <c r="K79" vm="1172">
        <f ca="1"/>
        <v>215.7</v>
      </c>
      <c r="L79" vm="1173">
        <f ca="1"/>
        <v>166.01</v>
      </c>
      <c r="M79" vm="1174">
        <f ca="1"/>
        <v>227.87</v>
      </c>
      <c r="N79" vm="1175">
        <f ca="1"/>
        <v>495.16</v>
      </c>
      <c r="O79" vm="1176">
        <f ca="1"/>
        <v>104.18</v>
      </c>
      <c r="P79" vm="1177">
        <f ca="1"/>
        <v>288.45</v>
      </c>
    </row>
    <row r="80" spans="1:16" x14ac:dyDescent="0.25">
      <c r="A80" vm="1178">
        <f ca="1"/>
        <v>45036</v>
      </c>
      <c r="B80" vm="1179">
        <f ca="1"/>
        <v>319.33</v>
      </c>
      <c r="C80" vm="1180">
        <f ca="1"/>
        <v>220.14</v>
      </c>
      <c r="D80" vm="1181">
        <f ca="1"/>
        <v>63.96</v>
      </c>
      <c r="E80" vm="1182">
        <f ca="1"/>
        <v>185.44</v>
      </c>
      <c r="F80" vm="1183">
        <f ca="1"/>
        <v>150.85</v>
      </c>
      <c r="G80" vm="1184">
        <f ca="1"/>
        <v>39.409999999999997</v>
      </c>
      <c r="H80" vm="789">
        <f ca="1"/>
        <v>89.29</v>
      </c>
      <c r="I80" vm="1185">
        <f ca="1"/>
        <v>30.81</v>
      </c>
      <c r="J80" vm="1186">
        <f ca="1"/>
        <v>12.51</v>
      </c>
      <c r="K80" vm="1005">
        <f ca="1"/>
        <v>213.07</v>
      </c>
      <c r="L80" vm="1187">
        <f ca="1"/>
        <v>167.29</v>
      </c>
      <c r="M80" vm="1188">
        <f ca="1"/>
        <v>226.95</v>
      </c>
      <c r="N80" vm="1189">
        <f ca="1"/>
        <v>490.6</v>
      </c>
      <c r="O80" vm="1190">
        <f ca="1"/>
        <v>105.29</v>
      </c>
      <c r="P80" vm="1191">
        <f ca="1"/>
        <v>286.11</v>
      </c>
    </row>
    <row r="81" spans="1:16" x14ac:dyDescent="0.25">
      <c r="A81" vm="1192">
        <f ca="1"/>
        <v>45037</v>
      </c>
      <c r="B81" vm="1193">
        <f ca="1"/>
        <v>320.8</v>
      </c>
      <c r="C81" vm="1194">
        <f ca="1"/>
        <v>218.85</v>
      </c>
      <c r="D81" vm="1195">
        <f ca="1"/>
        <v>64.05</v>
      </c>
      <c r="E81" vm="1196">
        <f ca="1"/>
        <v>187.07</v>
      </c>
      <c r="F81" vm="1197">
        <f ca="1"/>
        <v>156.07</v>
      </c>
      <c r="G81" vm="1198">
        <f ca="1"/>
        <v>39.22</v>
      </c>
      <c r="H81" vm="1199">
        <f ca="1"/>
        <v>85.37</v>
      </c>
      <c r="I81" vm="1200">
        <f ca="1"/>
        <v>31.82</v>
      </c>
      <c r="J81" vm="1201">
        <f ca="1"/>
        <v>12.45</v>
      </c>
      <c r="K81" vm="1202">
        <f ca="1"/>
        <v>212.89</v>
      </c>
      <c r="L81" vm="1203">
        <f ca="1"/>
        <v>165.8</v>
      </c>
      <c r="M81" vm="1204">
        <f ca="1"/>
        <v>226.44</v>
      </c>
      <c r="N81" vm="1205">
        <f ca="1"/>
        <v>482.55</v>
      </c>
      <c r="O81" vm="1206">
        <f ca="1"/>
        <v>105.41</v>
      </c>
      <c r="P81" vm="1207">
        <f ca="1"/>
        <v>285.76</v>
      </c>
    </row>
    <row r="82" spans="1:16" x14ac:dyDescent="0.25">
      <c r="A82" vm="1208">
        <f ca="1"/>
        <v>45040</v>
      </c>
      <c r="B82" vm="1209">
        <f ca="1"/>
        <v>322.95999999999998</v>
      </c>
      <c r="C82" vm="1210">
        <f ca="1"/>
        <v>217.76</v>
      </c>
      <c r="D82" vm="1211">
        <f ca="1"/>
        <v>63.95</v>
      </c>
      <c r="E82" vm="1212">
        <f ca="1"/>
        <v>187.5</v>
      </c>
      <c r="F82" vm="1213">
        <f ca="1"/>
        <v>156.35</v>
      </c>
      <c r="G82" vm="1214">
        <f ca="1"/>
        <v>39.18</v>
      </c>
      <c r="H82" vm="1215">
        <f ca="1"/>
        <v>84.64</v>
      </c>
      <c r="I82" vm="1216">
        <f ca="1"/>
        <v>31.38</v>
      </c>
      <c r="J82" vm="1217">
        <f ca="1"/>
        <v>12.62</v>
      </c>
      <c r="K82" vm="1218">
        <f ca="1"/>
        <v>212.79</v>
      </c>
      <c r="L82" vm="1219">
        <f ca="1"/>
        <v>168.27</v>
      </c>
      <c r="M82" vm="1220">
        <f ca="1"/>
        <v>224.38</v>
      </c>
      <c r="N82" vm="1221">
        <f ca="1"/>
        <v>480.92</v>
      </c>
      <c r="O82" vm="1145">
        <f ca="1"/>
        <v>105.97</v>
      </c>
      <c r="P82" vm="1222">
        <f ca="1"/>
        <v>281.77</v>
      </c>
    </row>
    <row r="83" spans="1:16" x14ac:dyDescent="0.25">
      <c r="A83" vm="1223">
        <f ca="1"/>
        <v>45041</v>
      </c>
      <c r="B83" vm="1224">
        <f ca="1"/>
        <v>317.11</v>
      </c>
      <c r="C83" vm="1225">
        <f ca="1"/>
        <v>213.59</v>
      </c>
      <c r="D83" vm="1226">
        <f ca="1"/>
        <v>63.85</v>
      </c>
      <c r="E83" vm="1227">
        <f ca="1"/>
        <v>181.84</v>
      </c>
      <c r="F83" vm="1228">
        <f ca="1"/>
        <v>156.38999999999999</v>
      </c>
      <c r="G83" vm="1229">
        <f ca="1"/>
        <v>39.44</v>
      </c>
      <c r="H83" vm="1230">
        <f ca="1"/>
        <v>82.29</v>
      </c>
      <c r="I83" vm="1231">
        <f ca="1"/>
        <v>30.9</v>
      </c>
      <c r="J83" vm="1232">
        <f ca="1"/>
        <v>12.35</v>
      </c>
      <c r="K83" vm="1233">
        <f ca="1"/>
        <v>207.55</v>
      </c>
      <c r="L83" vm="1234">
        <f ca="1"/>
        <v>167.22</v>
      </c>
      <c r="M83" vm="1235">
        <f ca="1"/>
        <v>226.53</v>
      </c>
      <c r="N83" vm="1236">
        <f ca="1"/>
        <v>475.58</v>
      </c>
      <c r="O83" vm="1237">
        <f ca="1"/>
        <v>103.85</v>
      </c>
      <c r="P83" vm="1238">
        <f ca="1"/>
        <v>275.42</v>
      </c>
    </row>
    <row r="84" spans="1:16" x14ac:dyDescent="0.25">
      <c r="A84" vm="1239">
        <f ca="1"/>
        <v>45042</v>
      </c>
      <c r="B84" vm="1240">
        <f ca="1"/>
        <v>311.64999999999998</v>
      </c>
      <c r="C84" vm="1241">
        <f ca="1"/>
        <v>212.57</v>
      </c>
      <c r="D84" vm="1242">
        <f ca="1"/>
        <v>63.55</v>
      </c>
      <c r="E84" vm="1243">
        <f ca="1"/>
        <v>182.85</v>
      </c>
      <c r="F84" vm="1244">
        <f ca="1"/>
        <v>154.58000000000001</v>
      </c>
      <c r="G84" vm="1245">
        <f ca="1"/>
        <v>39.36</v>
      </c>
      <c r="H84" vm="1246">
        <f ca="1"/>
        <v>82.25</v>
      </c>
      <c r="I84" vm="1247">
        <f ca="1"/>
        <v>30.14</v>
      </c>
      <c r="J84" vm="88">
        <f ca="1"/>
        <v>12.3</v>
      </c>
      <c r="K84" vm="1248">
        <f ca="1"/>
        <v>209.4</v>
      </c>
      <c r="L84" vm="1249">
        <f ca="1"/>
        <v>164.07</v>
      </c>
      <c r="M84" vm="1250">
        <f ca="1"/>
        <v>225.44</v>
      </c>
      <c r="N84" vm="1251">
        <f ca="1"/>
        <v>461.62</v>
      </c>
      <c r="O84" vm="1252">
        <f ca="1"/>
        <v>103.71</v>
      </c>
      <c r="P84" vm="1253">
        <f ca="1"/>
        <v>295.37</v>
      </c>
    </row>
    <row r="85" spans="1:16" x14ac:dyDescent="0.25">
      <c r="A85" vm="1254">
        <f ca="1"/>
        <v>45043</v>
      </c>
      <c r="B85" vm="1255">
        <f ca="1"/>
        <v>323.3</v>
      </c>
      <c r="C85" vm="1256">
        <f ca="1"/>
        <v>217.65</v>
      </c>
      <c r="D85" vm="1165">
        <f ca="1"/>
        <v>63.68</v>
      </c>
      <c r="E85" vm="1257">
        <f ca="1"/>
        <v>185.85</v>
      </c>
      <c r="F85" vm="1258">
        <f ca="1"/>
        <v>156.47</v>
      </c>
      <c r="G85" vm="1259">
        <f ca="1"/>
        <v>39.68</v>
      </c>
      <c r="H85" vm="1260">
        <f ca="1"/>
        <v>83.67</v>
      </c>
      <c r="I85" vm="1261">
        <f ca="1"/>
        <v>30.39</v>
      </c>
      <c r="J85" vm="231">
        <f ca="1"/>
        <v>12.64</v>
      </c>
      <c r="K85" vm="1262">
        <f ca="1"/>
        <v>238.56</v>
      </c>
      <c r="L85" vm="1263">
        <f ca="1"/>
        <v>168.97</v>
      </c>
      <c r="M85" vm="1264">
        <f ca="1"/>
        <v>228.56</v>
      </c>
      <c r="N85" vm="1265">
        <f ca="1"/>
        <v>465</v>
      </c>
      <c r="O85" vm="1266">
        <f ca="1"/>
        <v>107.59</v>
      </c>
      <c r="P85" vm="1267">
        <f ca="1"/>
        <v>304.83</v>
      </c>
    </row>
    <row r="86" spans="1:16" x14ac:dyDescent="0.25">
      <c r="A86" vm="1268">
        <f ca="1"/>
        <v>45044</v>
      </c>
      <c r="B86" vm="1269">
        <f ca="1"/>
        <v>324.88</v>
      </c>
      <c r="C86" vm="430">
        <f ca="1"/>
        <v>215.85</v>
      </c>
      <c r="D86" vm="1270">
        <f ca="1"/>
        <v>64.150000000000006</v>
      </c>
      <c r="E86" vm="1271">
        <f ca="1"/>
        <v>188.55</v>
      </c>
      <c r="F86" vm="1272">
        <f ca="1"/>
        <v>156.38</v>
      </c>
      <c r="G86" vm="1273">
        <f ca="1"/>
        <v>39.270000000000003</v>
      </c>
      <c r="H86" vm="1274">
        <f ca="1"/>
        <v>84.3</v>
      </c>
      <c r="I86" vm="1275">
        <f ca="1"/>
        <v>30.64</v>
      </c>
      <c r="J86" vm="215">
        <f ca="1"/>
        <v>12.97</v>
      </c>
      <c r="K86" vm="256">
        <f ca="1"/>
        <v>240.32</v>
      </c>
      <c r="L86" vm="1276">
        <f ca="1"/>
        <v>169.64</v>
      </c>
      <c r="M86" vm="1277">
        <f ca="1"/>
        <v>229.47</v>
      </c>
      <c r="N86" vm="1278">
        <f ca="1"/>
        <v>464.45</v>
      </c>
      <c r="O86" vm="1279">
        <f ca="1"/>
        <v>107.34</v>
      </c>
      <c r="P86" vm="1280">
        <f ca="1"/>
        <v>307.26</v>
      </c>
    </row>
    <row r="87" spans="1:16" x14ac:dyDescent="0.25">
      <c r="A87" vm="1281">
        <f ca="1"/>
        <v>45047</v>
      </c>
      <c r="B87" vm="1282">
        <f ca="1"/>
        <v>327.37</v>
      </c>
      <c r="C87" vm="1283">
        <f ca="1"/>
        <v>216.44</v>
      </c>
      <c r="D87" vm="1284">
        <f ca="1"/>
        <v>64.3</v>
      </c>
      <c r="E87" vm="1285">
        <f ca="1"/>
        <v>192.11</v>
      </c>
      <c r="F87" vm="1286">
        <f ca="1"/>
        <v>156.57</v>
      </c>
      <c r="G87" vm="1287">
        <f ca="1"/>
        <v>39.76</v>
      </c>
      <c r="H87" vm="1288">
        <f ca="1"/>
        <v>83.98</v>
      </c>
      <c r="I87" vm="1289">
        <f ca="1"/>
        <v>31.3</v>
      </c>
      <c r="J87" vm="1217">
        <f ca="1"/>
        <v>12.62</v>
      </c>
      <c r="K87" vm="1290">
        <f ca="1"/>
        <v>243.18</v>
      </c>
      <c r="L87" vm="1291">
        <f ca="1"/>
        <v>169.21</v>
      </c>
      <c r="M87" vm="1292">
        <f ca="1"/>
        <v>230.23</v>
      </c>
      <c r="N87" vm="1293">
        <f ca="1"/>
        <v>469.43</v>
      </c>
      <c r="O87" vm="1294">
        <f ca="1"/>
        <v>107.2</v>
      </c>
      <c r="P87" vm="1295">
        <f ca="1"/>
        <v>305.56</v>
      </c>
    </row>
    <row r="88" spans="1:16" x14ac:dyDescent="0.25">
      <c r="A88" vm="1296">
        <f ca="1"/>
        <v>45048</v>
      </c>
      <c r="B88" vm="1297">
        <f ca="1"/>
        <v>325.02</v>
      </c>
      <c r="C88" vm="1298">
        <f ca="1"/>
        <v>211.93</v>
      </c>
      <c r="D88" vm="1299">
        <f ca="1"/>
        <v>64.010000000000005</v>
      </c>
      <c r="E88" vm="1300">
        <f ca="1"/>
        <v>190.05</v>
      </c>
      <c r="F88" vm="1301">
        <f ca="1"/>
        <v>156.43</v>
      </c>
      <c r="G88" vm="1302">
        <f ca="1"/>
        <v>39.450000000000003</v>
      </c>
      <c r="H88" vm="1303">
        <f ca="1"/>
        <v>82.96</v>
      </c>
      <c r="I88" vm="1304">
        <f ca="1"/>
        <v>31.07</v>
      </c>
      <c r="J88" vm="1305">
        <f ca="1"/>
        <v>13</v>
      </c>
      <c r="K88" vm="1306">
        <f ca="1"/>
        <v>239.24</v>
      </c>
      <c r="L88" vm="1307">
        <f ca="1"/>
        <v>168.12</v>
      </c>
      <c r="M88" vm="1264">
        <f ca="1"/>
        <v>228.56</v>
      </c>
      <c r="N88" vm="1308">
        <f ca="1"/>
        <v>458.89</v>
      </c>
      <c r="O88" vm="1309">
        <f ca="1"/>
        <v>105.32</v>
      </c>
      <c r="P88" vm="1310">
        <f ca="1"/>
        <v>305.41000000000003</v>
      </c>
    </row>
    <row r="89" spans="1:16" x14ac:dyDescent="0.25">
      <c r="A89" vm="1311">
        <f ca="1"/>
        <v>45049</v>
      </c>
      <c r="B89" vm="1312">
        <f ca="1"/>
        <v>323.22000000000003</v>
      </c>
      <c r="C89" vm="1313">
        <f ca="1"/>
        <v>213.12</v>
      </c>
      <c r="D89" vm="1314">
        <f ca="1"/>
        <v>63.65</v>
      </c>
      <c r="E89" vm="1315">
        <f ca="1"/>
        <v>187.68</v>
      </c>
      <c r="F89" vm="1316">
        <f ca="1"/>
        <v>156.22999999999999</v>
      </c>
      <c r="G89" vm="1317">
        <f ca="1"/>
        <v>40.25</v>
      </c>
      <c r="H89" vm="1318">
        <f ca="1"/>
        <v>82.7</v>
      </c>
      <c r="I89" vm="1319">
        <f ca="1"/>
        <v>30.93</v>
      </c>
      <c r="J89" vm="1320">
        <f ca="1"/>
        <v>13.19</v>
      </c>
      <c r="K89" vm="1321">
        <f ca="1"/>
        <v>237.03</v>
      </c>
      <c r="L89" vm="1322">
        <f ca="1"/>
        <v>168.22</v>
      </c>
      <c r="M89" vm="1323">
        <f ca="1"/>
        <v>225.5</v>
      </c>
      <c r="N89" vm="1324">
        <f ca="1"/>
        <v>453.07</v>
      </c>
      <c r="O89" vm="1206">
        <f ca="1"/>
        <v>105.41</v>
      </c>
      <c r="P89" vm="1325">
        <f ca="1"/>
        <v>304.39999999999998</v>
      </c>
    </row>
    <row r="90" spans="1:16" x14ac:dyDescent="0.25">
      <c r="A90" vm="1326">
        <f ca="1"/>
        <v>45050</v>
      </c>
      <c r="B90" vm="1327">
        <f ca="1"/>
        <v>322.29000000000002</v>
      </c>
      <c r="C90" vm="1328">
        <f ca="1"/>
        <v>209.75</v>
      </c>
      <c r="D90" vm="1329">
        <f ca="1"/>
        <v>63.72</v>
      </c>
      <c r="E90" vm="1330">
        <f ca="1"/>
        <v>188.88</v>
      </c>
      <c r="F90" vm="1331">
        <f ca="1"/>
        <v>155.51</v>
      </c>
      <c r="G90" vm="1332">
        <f ca="1"/>
        <v>40.840000000000003</v>
      </c>
      <c r="H90" vm="1333">
        <f ca="1"/>
        <v>83.49</v>
      </c>
      <c r="I90" vm="1334">
        <f ca="1"/>
        <v>31.31</v>
      </c>
      <c r="J90" vm="1335">
        <f ca="1"/>
        <v>14.95</v>
      </c>
      <c r="K90" vm="1336">
        <f ca="1"/>
        <v>233.52</v>
      </c>
      <c r="L90" vm="1337">
        <f ca="1"/>
        <v>165.35</v>
      </c>
      <c r="M90" vm="1338">
        <f ca="1"/>
        <v>222.41</v>
      </c>
      <c r="N90" vm="1339">
        <f ca="1"/>
        <v>451.93</v>
      </c>
      <c r="O90" vm="1340">
        <f ca="1"/>
        <v>104.69</v>
      </c>
      <c r="P90" vm="1310">
        <f ca="1"/>
        <v>305.41000000000003</v>
      </c>
    </row>
    <row r="91" spans="1:16" x14ac:dyDescent="0.25">
      <c r="A91" vm="1341">
        <f ca="1"/>
        <v>45051</v>
      </c>
      <c r="B91" vm="1342">
        <f ca="1"/>
        <v>333.3</v>
      </c>
      <c r="C91" vm="1343">
        <f ca="1"/>
        <v>213.58</v>
      </c>
      <c r="D91" vm="1344">
        <f ca="1"/>
        <v>64.02</v>
      </c>
      <c r="E91" vm="1345">
        <f ca="1"/>
        <v>189.18</v>
      </c>
      <c r="F91" vm="1346">
        <f ca="1"/>
        <v>156.03</v>
      </c>
      <c r="G91" vm="1347">
        <f ca="1"/>
        <v>41.32</v>
      </c>
      <c r="H91" vm="1348">
        <f ca="1"/>
        <v>84.97</v>
      </c>
      <c r="I91" vm="262">
        <f ca="1"/>
        <v>31.86</v>
      </c>
      <c r="J91" vm="1349">
        <f ca="1"/>
        <v>15.215</v>
      </c>
      <c r="K91" vm="1350">
        <f ca="1"/>
        <v>232.78</v>
      </c>
      <c r="L91" vm="1351">
        <f ca="1"/>
        <v>171.07</v>
      </c>
      <c r="M91" vm="1352">
        <f ca="1"/>
        <v>223.44</v>
      </c>
      <c r="N91" vm="1353">
        <f ca="1"/>
        <v>455.54</v>
      </c>
      <c r="O91" vm="1354">
        <f ca="1"/>
        <v>105.57</v>
      </c>
      <c r="P91" vm="1355">
        <f ca="1"/>
        <v>310.64999999999998</v>
      </c>
    </row>
    <row r="92" spans="1:16" x14ac:dyDescent="0.25">
      <c r="A92" vm="1356">
        <f ca="1"/>
        <v>45054</v>
      </c>
      <c r="B92" vm="1357">
        <f ca="1"/>
        <v>334.84</v>
      </c>
      <c r="C92" vm="1358">
        <f ca="1"/>
        <v>211.92</v>
      </c>
      <c r="D92" vm="1359">
        <f ca="1"/>
        <v>63.92</v>
      </c>
      <c r="E92" vm="1360">
        <f ca="1"/>
        <v>188.98</v>
      </c>
      <c r="F92" vm="1361">
        <f ca="1"/>
        <v>155.30000000000001</v>
      </c>
      <c r="G92" vm="1362">
        <f ca="1"/>
        <v>41.08</v>
      </c>
      <c r="H92" vm="1363">
        <f ca="1"/>
        <v>85.54</v>
      </c>
      <c r="I92" vm="1364">
        <f ca="1"/>
        <v>31.88</v>
      </c>
      <c r="J92" vm="1365">
        <f ca="1"/>
        <v>15.58</v>
      </c>
      <c r="K92" vm="1366">
        <f ca="1"/>
        <v>233.27</v>
      </c>
      <c r="L92" vm="1367">
        <f ca="1"/>
        <v>168.88</v>
      </c>
      <c r="M92" vm="1368">
        <f ca="1"/>
        <v>228.2</v>
      </c>
      <c r="N92" vm="1369">
        <f ca="1"/>
        <v>450.96</v>
      </c>
      <c r="O92" vm="1370">
        <f ca="1"/>
        <v>107.77</v>
      </c>
      <c r="P92" vm="1371">
        <f ca="1"/>
        <v>308.64999999999998</v>
      </c>
    </row>
    <row r="93" spans="1:16" x14ac:dyDescent="0.25">
      <c r="A93" vm="1372">
        <f ca="1"/>
        <v>45055</v>
      </c>
      <c r="B93" vm="1373">
        <f ca="1"/>
        <v>339.11</v>
      </c>
      <c r="C93" vm="1374">
        <f ca="1"/>
        <v>210.81</v>
      </c>
      <c r="D93" vm="1375">
        <f ca="1"/>
        <v>63.39</v>
      </c>
      <c r="E93" vm="1376">
        <f ca="1"/>
        <v>187.12</v>
      </c>
      <c r="F93" vm="1377">
        <f ca="1"/>
        <v>153.71</v>
      </c>
      <c r="G93" vm="1378">
        <f ca="1"/>
        <v>40.880000000000003</v>
      </c>
      <c r="H93" vm="1379">
        <f ca="1"/>
        <v>85.06</v>
      </c>
      <c r="I93" vm="1380">
        <f ca="1"/>
        <v>32.020000000000003</v>
      </c>
      <c r="J93" vm="1381">
        <f ca="1"/>
        <v>15.56</v>
      </c>
      <c r="K93" vm="1382">
        <f ca="1"/>
        <v>233.37</v>
      </c>
      <c r="L93" vm="1383">
        <f ca="1"/>
        <v>171</v>
      </c>
      <c r="M93" vm="1384">
        <f ca="1"/>
        <v>225.46</v>
      </c>
      <c r="N93" vm="1385">
        <f ca="1"/>
        <v>452.04</v>
      </c>
      <c r="O93" vm="1386">
        <f ca="1"/>
        <v>107.35</v>
      </c>
      <c r="P93" vm="1387">
        <f ca="1"/>
        <v>307</v>
      </c>
    </row>
    <row r="94" spans="1:16" x14ac:dyDescent="0.25">
      <c r="A94" vm="1388">
        <f ca="1"/>
        <v>45056</v>
      </c>
      <c r="B94" vm="1389">
        <f ca="1"/>
        <v>326.88</v>
      </c>
      <c r="C94" vm="1390">
        <f ca="1"/>
        <v>208.39</v>
      </c>
      <c r="D94" vm="1391">
        <f ca="1"/>
        <v>63.5</v>
      </c>
      <c r="E94" vm="1392">
        <f ca="1"/>
        <v>189.39</v>
      </c>
      <c r="F94" vm="1393">
        <f ca="1"/>
        <v>154.03</v>
      </c>
      <c r="G94" vm="1394">
        <f ca="1"/>
        <v>40.68</v>
      </c>
      <c r="H94" vm="1395">
        <f ca="1"/>
        <v>84.9</v>
      </c>
      <c r="I94" vm="1396">
        <f ca="1"/>
        <v>31.81</v>
      </c>
      <c r="J94" vm="1397">
        <f ca="1"/>
        <v>15.42</v>
      </c>
      <c r="K94" vm="1398">
        <f ca="1"/>
        <v>233.08</v>
      </c>
      <c r="L94" vm="1399">
        <f ca="1"/>
        <v>171.43</v>
      </c>
      <c r="M94" vm="1400">
        <f ca="1"/>
        <v>226.19</v>
      </c>
      <c r="N94" vm="1401">
        <f ca="1"/>
        <v>453.15</v>
      </c>
      <c r="O94" vm="1402">
        <f ca="1"/>
        <v>111.75</v>
      </c>
      <c r="P94" vm="1403">
        <f ca="1"/>
        <v>312.31</v>
      </c>
    </row>
    <row r="95" spans="1:16" x14ac:dyDescent="0.25">
      <c r="A95" vm="1404">
        <f ca="1"/>
        <v>45057</v>
      </c>
      <c r="B95" vm="1405">
        <f ca="1"/>
        <v>324.58999999999997</v>
      </c>
      <c r="C95" vm="1406">
        <f ca="1"/>
        <v>207.64</v>
      </c>
      <c r="D95" vm="1407">
        <f ca="1"/>
        <v>63.86</v>
      </c>
      <c r="E95" vm="1408">
        <f ca="1"/>
        <v>208</v>
      </c>
      <c r="F95" vm="1409">
        <f ca="1"/>
        <v>154.38999999999999</v>
      </c>
      <c r="G95" vm="1410">
        <f ca="1"/>
        <v>40.65</v>
      </c>
      <c r="H95" vm="1411">
        <f ca="1"/>
        <v>83.43</v>
      </c>
      <c r="I95" vm="1412">
        <f ca="1"/>
        <v>31.79</v>
      </c>
      <c r="J95" vm="1413">
        <f ca="1"/>
        <v>16.16</v>
      </c>
      <c r="K95" vm="1414">
        <f ca="1"/>
        <v>235.79</v>
      </c>
      <c r="L95" vm="1415">
        <f ca="1"/>
        <v>171.59</v>
      </c>
      <c r="M95" vm="1416">
        <f ca="1"/>
        <v>224.87</v>
      </c>
      <c r="N95" vm="1417">
        <f ca="1"/>
        <v>450.69</v>
      </c>
      <c r="O95" vm="1418">
        <f ca="1"/>
        <v>116.57</v>
      </c>
      <c r="P95" vm="1419">
        <f ca="1"/>
        <v>310.11</v>
      </c>
    </row>
    <row r="96" spans="1:16" x14ac:dyDescent="0.25">
      <c r="A96" vm="1420">
        <f ca="1"/>
        <v>45058</v>
      </c>
      <c r="B96" vm="1421">
        <f ca="1"/>
        <v>323.99</v>
      </c>
      <c r="C96" vm="1422">
        <f ca="1"/>
        <v>210.07</v>
      </c>
      <c r="D96" vm="1423">
        <f ca="1"/>
        <v>64.11</v>
      </c>
      <c r="E96" vm="1424">
        <f ca="1"/>
        <v>210.85</v>
      </c>
      <c r="F96" vm="1425">
        <f ca="1"/>
        <v>155.96</v>
      </c>
      <c r="G96" vm="1426">
        <f ca="1"/>
        <v>40.659999999999997</v>
      </c>
      <c r="H96" vm="1411">
        <f ca="1"/>
        <v>83.43</v>
      </c>
      <c r="I96" vm="1200">
        <f ca="1"/>
        <v>31.82</v>
      </c>
      <c r="J96" vm="1427">
        <f ca="1"/>
        <v>16.02</v>
      </c>
      <c r="K96" vm="1428">
        <f ca="1"/>
        <v>233.81</v>
      </c>
      <c r="L96" vm="1429">
        <f ca="1"/>
        <v>173.85</v>
      </c>
      <c r="M96" vm="1430">
        <f ca="1"/>
        <v>227.75</v>
      </c>
      <c r="N96" vm="1431">
        <f ca="1"/>
        <v>450.79</v>
      </c>
      <c r="O96" vm="1432">
        <f ca="1"/>
        <v>117.51</v>
      </c>
      <c r="P96" vm="1433">
        <f ca="1"/>
        <v>308.97000000000003</v>
      </c>
    </row>
    <row r="97" spans="1:16" x14ac:dyDescent="0.25">
      <c r="A97" vm="1434">
        <f ca="1"/>
        <v>45061</v>
      </c>
      <c r="B97" vm="1435">
        <f ca="1"/>
        <v>327.7</v>
      </c>
      <c r="C97" vm="1436">
        <f ca="1"/>
        <v>213.45</v>
      </c>
      <c r="D97" vm="1437">
        <f ca="1"/>
        <v>63.94</v>
      </c>
      <c r="E97" vm="1438">
        <f ca="1"/>
        <v>210.83</v>
      </c>
      <c r="F97" vm="1439">
        <f ca="1"/>
        <v>156.01</v>
      </c>
      <c r="G97" vm="1440">
        <f ca="1"/>
        <v>40.17</v>
      </c>
      <c r="H97" vm="1441">
        <f ca="1"/>
        <v>85.66</v>
      </c>
      <c r="I97" vm="230">
        <f ca="1"/>
        <v>32.01</v>
      </c>
      <c r="J97" vm="1442">
        <f ca="1"/>
        <v>16.09</v>
      </c>
      <c r="K97" vm="1443">
        <f ca="1"/>
        <v>238.86</v>
      </c>
      <c r="L97" vm="1444">
        <f ca="1"/>
        <v>174.81</v>
      </c>
      <c r="M97" vm="1445">
        <f ca="1"/>
        <v>230.33</v>
      </c>
      <c r="N97" vm="1446">
        <f ca="1"/>
        <v>451.92</v>
      </c>
      <c r="O97" vm="1447">
        <f ca="1"/>
        <v>116.51</v>
      </c>
      <c r="P97" vm="1448">
        <f ca="1"/>
        <v>309.45999999999998</v>
      </c>
    </row>
    <row r="98" spans="1:16" x14ac:dyDescent="0.25">
      <c r="A98" vm="1449">
        <f ca="1"/>
        <v>45062</v>
      </c>
      <c r="B98" vm="1450">
        <f ca="1"/>
        <v>321.54000000000002</v>
      </c>
      <c r="C98" vm="1451">
        <f ca="1"/>
        <v>205.75</v>
      </c>
      <c r="D98" vm="1452">
        <f ca="1"/>
        <v>63.22</v>
      </c>
      <c r="E98" vm="1453">
        <f ca="1"/>
        <v>207.93</v>
      </c>
      <c r="F98" vm="1454">
        <f ca="1"/>
        <v>155.74</v>
      </c>
      <c r="G98" vm="1455">
        <f ca="1"/>
        <v>39</v>
      </c>
      <c r="H98" vm="1456">
        <f ca="1"/>
        <v>85.88</v>
      </c>
      <c r="I98" vm="1457">
        <f ca="1"/>
        <v>31.68</v>
      </c>
      <c r="J98" vm="1458">
        <f ca="1"/>
        <v>15.89</v>
      </c>
      <c r="K98" vm="1459">
        <f ca="1"/>
        <v>238.82</v>
      </c>
      <c r="L98" vm="1460">
        <f ca="1"/>
        <v>169.69</v>
      </c>
      <c r="M98" vm="1461">
        <f ca="1"/>
        <v>226.69</v>
      </c>
      <c r="N98" vm="1462">
        <f ca="1"/>
        <v>447.73</v>
      </c>
      <c r="O98" vm="1463">
        <f ca="1"/>
        <v>119.51</v>
      </c>
      <c r="P98" vm="1464">
        <f ca="1"/>
        <v>311.74</v>
      </c>
    </row>
    <row r="99" spans="1:16" x14ac:dyDescent="0.25">
      <c r="A99" vm="1465">
        <f ca="1"/>
        <v>45063</v>
      </c>
      <c r="B99" vm="1466">
        <f ca="1"/>
        <v>330.92</v>
      </c>
      <c r="C99" vm="1467">
        <f ca="1"/>
        <v>210.31</v>
      </c>
      <c r="D99" vm="1106">
        <f ca="1"/>
        <v>63.15</v>
      </c>
      <c r="E99" vm="1468">
        <f ca="1"/>
        <v>205.82</v>
      </c>
      <c r="F99" vm="1469">
        <f ca="1"/>
        <v>155.08000000000001</v>
      </c>
      <c r="G99" vm="1470">
        <f ca="1"/>
        <v>38.909999999999997</v>
      </c>
      <c r="H99" vm="1471">
        <f ca="1"/>
        <v>90.88</v>
      </c>
      <c r="I99" vm="434">
        <f ca="1"/>
        <v>31.95</v>
      </c>
      <c r="J99" vm="1472">
        <f ca="1"/>
        <v>15.81</v>
      </c>
      <c r="K99" vm="1473">
        <f ca="1"/>
        <v>242.48500000000001</v>
      </c>
      <c r="L99" vm="1474">
        <f ca="1"/>
        <v>169.76</v>
      </c>
      <c r="M99" vm="1475">
        <f ca="1"/>
        <v>230.72</v>
      </c>
      <c r="N99" vm="1476">
        <f ca="1"/>
        <v>457.3</v>
      </c>
      <c r="O99" vm="1477">
        <f ca="1"/>
        <v>120.84</v>
      </c>
      <c r="P99" vm="812">
        <f ca="1"/>
        <v>314</v>
      </c>
    </row>
    <row r="100" spans="1:16" x14ac:dyDescent="0.25">
      <c r="A100" vm="1478">
        <f ca="1"/>
        <v>45064</v>
      </c>
      <c r="B100" vm="1479">
        <f ca="1"/>
        <v>335.15</v>
      </c>
      <c r="C100" vm="1480">
        <f ca="1"/>
        <v>215.03</v>
      </c>
      <c r="D100" vm="1030">
        <f ca="1"/>
        <v>62.8</v>
      </c>
      <c r="E100" vm="1481">
        <f ca="1"/>
        <v>206.77</v>
      </c>
      <c r="F100" vm="1482">
        <f ca="1"/>
        <v>152.53</v>
      </c>
      <c r="G100" vm="1470">
        <f ca="1"/>
        <v>38.909999999999997</v>
      </c>
      <c r="H100" vm="1483">
        <f ca="1"/>
        <v>92.65</v>
      </c>
      <c r="I100" vm="1484">
        <f ca="1"/>
        <v>32.39</v>
      </c>
      <c r="J100" vm="1485">
        <f ca="1"/>
        <v>16.11</v>
      </c>
      <c r="K100" vm="1486">
        <f ca="1"/>
        <v>246.85</v>
      </c>
      <c r="L100" vm="1487">
        <f ca="1"/>
        <v>171.89</v>
      </c>
      <c r="M100" vm="1488">
        <f ca="1"/>
        <v>232.15</v>
      </c>
      <c r="N100" vm="1489">
        <f ca="1"/>
        <v>455.75</v>
      </c>
      <c r="O100" vm="1490">
        <f ca="1"/>
        <v>122.83</v>
      </c>
      <c r="P100" vm="1491">
        <f ca="1"/>
        <v>318.52</v>
      </c>
    </row>
    <row r="101" spans="1:16" x14ac:dyDescent="0.25">
      <c r="A101" vm="1492">
        <f ca="1"/>
        <v>45065</v>
      </c>
      <c r="B101" vm="1493">
        <f ca="1"/>
        <v>332.84</v>
      </c>
      <c r="C101" vm="1494">
        <f ca="1"/>
        <v>212.31</v>
      </c>
      <c r="D101" vm="1495">
        <f ca="1"/>
        <v>62.83</v>
      </c>
      <c r="E101" vm="1496">
        <f ca="1"/>
        <v>205.7</v>
      </c>
      <c r="F101" vm="1497">
        <f ca="1"/>
        <v>153.16999999999999</v>
      </c>
      <c r="G101" vm="432">
        <f ca="1"/>
        <v>39.07</v>
      </c>
      <c r="H101" vm="1498">
        <f ca="1"/>
        <v>92.58</v>
      </c>
      <c r="I101" vm="1499">
        <f ca="1"/>
        <v>32.31</v>
      </c>
      <c r="J101" vm="1500">
        <f ca="1"/>
        <v>15.57</v>
      </c>
      <c r="K101" vm="1501">
        <f ca="1"/>
        <v>245.64</v>
      </c>
      <c r="L101" vm="1502">
        <f ca="1"/>
        <v>171.71</v>
      </c>
      <c r="M101" vm="1503">
        <f ca="1"/>
        <v>235.29</v>
      </c>
      <c r="N101" vm="1504">
        <f ca="1"/>
        <v>454.49</v>
      </c>
      <c r="O101" vm="1505">
        <f ca="1"/>
        <v>122.76</v>
      </c>
      <c r="P101" vm="1506">
        <f ca="1"/>
        <v>318.33999999999997</v>
      </c>
    </row>
    <row r="102" spans="1:16" x14ac:dyDescent="0.25">
      <c r="A102" vm="1507">
        <f ca="1"/>
        <v>45068</v>
      </c>
      <c r="B102" vm="1508">
        <f ca="1"/>
        <v>334.14</v>
      </c>
      <c r="C102" vm="1509">
        <f ca="1"/>
        <v>213.39</v>
      </c>
      <c r="D102" vm="1510">
        <f ca="1"/>
        <v>61.51</v>
      </c>
      <c r="E102" vm="1511">
        <f ca="1"/>
        <v>206.92</v>
      </c>
      <c r="F102" vm="1512">
        <f ca="1"/>
        <v>149.16</v>
      </c>
      <c r="G102" vm="1513">
        <f ca="1"/>
        <v>38.74</v>
      </c>
      <c r="H102" vm="1514">
        <f ca="1"/>
        <v>91.72</v>
      </c>
      <c r="I102" vm="1515">
        <f ca="1"/>
        <v>31.9</v>
      </c>
      <c r="J102" vm="1516">
        <f ca="1"/>
        <v>15.45</v>
      </c>
      <c r="K102" vm="1517">
        <f ca="1"/>
        <v>248.32</v>
      </c>
      <c r="L102" vm="1518">
        <f ca="1"/>
        <v>170.99</v>
      </c>
      <c r="M102" vm="1519">
        <f ca="1"/>
        <v>235.46</v>
      </c>
      <c r="N102" vm="1520">
        <f ca="1"/>
        <v>454.72</v>
      </c>
      <c r="O102" vm="1521">
        <f ca="1"/>
        <v>125.05</v>
      </c>
      <c r="P102" vm="1522">
        <f ca="1"/>
        <v>321.18</v>
      </c>
    </row>
    <row r="103" spans="1:16" x14ac:dyDescent="0.25">
      <c r="A103" vm="1523">
        <f ca="1"/>
        <v>45069</v>
      </c>
      <c r="B103" vm="1524">
        <f ca="1"/>
        <v>328.78</v>
      </c>
      <c r="C103" vm="1525">
        <f ca="1"/>
        <v>211.47</v>
      </c>
      <c r="D103" vm="1526">
        <f ca="1"/>
        <v>61.4</v>
      </c>
      <c r="E103" vm="1527">
        <f ca="1"/>
        <v>201.88</v>
      </c>
      <c r="F103" vm="1528">
        <f ca="1"/>
        <v>147.55000000000001</v>
      </c>
      <c r="G103" vm="1529">
        <f ca="1"/>
        <v>38.69</v>
      </c>
      <c r="H103" vm="1530">
        <f ca="1"/>
        <v>90.44</v>
      </c>
      <c r="I103" vm="1531">
        <f ca="1"/>
        <v>31.61</v>
      </c>
      <c r="J103" vm="1532">
        <f ca="1"/>
        <v>15.74</v>
      </c>
      <c r="K103" vm="1533">
        <f ca="1"/>
        <v>246.74</v>
      </c>
      <c r="L103" vm="1534">
        <f ca="1"/>
        <v>166.61</v>
      </c>
      <c r="M103" vm="1535">
        <f ca="1"/>
        <v>235.91</v>
      </c>
      <c r="N103" vm="1536">
        <f ca="1"/>
        <v>452.63</v>
      </c>
      <c r="O103" vm="1537">
        <f ca="1"/>
        <v>122.56</v>
      </c>
      <c r="P103" vm="1538">
        <f ca="1"/>
        <v>315.26</v>
      </c>
    </row>
    <row r="104" spans="1:16" x14ac:dyDescent="0.25">
      <c r="A104" vm="1539">
        <f ca="1"/>
        <v>45070</v>
      </c>
      <c r="B104" vm="1540">
        <f ca="1"/>
        <v>322.01</v>
      </c>
      <c r="C104" vm="1541">
        <f ca="1"/>
        <v>211.07</v>
      </c>
      <c r="D104" vm="1542">
        <f ca="1"/>
        <v>60.88</v>
      </c>
      <c r="E104" vm="1543">
        <f ca="1"/>
        <v>200.84</v>
      </c>
      <c r="F104" vm="1544">
        <f ca="1"/>
        <v>146.33000000000001</v>
      </c>
      <c r="G104" vm="1545">
        <f ca="1"/>
        <v>38.72</v>
      </c>
      <c r="H104" vm="1546">
        <f ca="1"/>
        <v>90.13</v>
      </c>
      <c r="I104" vm="1547">
        <f ca="1"/>
        <v>30.89</v>
      </c>
      <c r="J104" vm="1548">
        <f ca="1"/>
        <v>15.36</v>
      </c>
      <c r="K104" vm="1549">
        <f ca="1"/>
        <v>249.21</v>
      </c>
      <c r="L104" vm="1550">
        <f ca="1"/>
        <v>166.56</v>
      </c>
      <c r="M104" vm="1551">
        <f ca="1"/>
        <v>232.3</v>
      </c>
      <c r="N104" vm="1552">
        <f ca="1"/>
        <v>452.72</v>
      </c>
      <c r="O104" vm="1553">
        <f ca="1"/>
        <v>120.9</v>
      </c>
      <c r="P104" vm="1554">
        <f ca="1"/>
        <v>313.85000000000002</v>
      </c>
    </row>
    <row r="105" spans="1:16" x14ac:dyDescent="0.25">
      <c r="A105" vm="1555">
        <f ca="1"/>
        <v>45071</v>
      </c>
      <c r="B105" vm="1556">
        <f ca="1"/>
        <v>327.13</v>
      </c>
      <c r="C105" vm="1557">
        <f ca="1"/>
        <v>215.3</v>
      </c>
      <c r="D105" vm="1558">
        <f ca="1"/>
        <v>60.41</v>
      </c>
      <c r="E105" vm="1559">
        <f ca="1"/>
        <v>201.21</v>
      </c>
      <c r="F105" vm="1560">
        <f ca="1"/>
        <v>145.38999999999999</v>
      </c>
      <c r="G105" vm="1561">
        <f ca="1"/>
        <v>38.26</v>
      </c>
      <c r="H105" vm="1562">
        <f ca="1"/>
        <v>100.95</v>
      </c>
      <c r="I105" vm="341">
        <f ca="1"/>
        <v>30.92</v>
      </c>
      <c r="J105" vm="465">
        <f ca="1"/>
        <v>14.9</v>
      </c>
      <c r="K105" vm="1563">
        <f ca="1"/>
        <v>252.69</v>
      </c>
      <c r="L105" vm="1564">
        <f ca="1"/>
        <v>172.85</v>
      </c>
      <c r="M105" vm="1565">
        <f ca="1"/>
        <v>232.14</v>
      </c>
      <c r="N105" vm="1566">
        <f ca="1"/>
        <v>442.83</v>
      </c>
      <c r="O105" vm="1567">
        <f ca="1"/>
        <v>123.48</v>
      </c>
      <c r="P105" vm="1568">
        <f ca="1"/>
        <v>325.92</v>
      </c>
    </row>
    <row r="106" spans="1:16" x14ac:dyDescent="0.25">
      <c r="A106" vm="1569">
        <f ca="1"/>
        <v>45072</v>
      </c>
      <c r="B106" vm="1570">
        <f ca="1"/>
        <v>332.88</v>
      </c>
      <c r="C106" vm="1571">
        <f ca="1"/>
        <v>216.83</v>
      </c>
      <c r="D106" vm="1572">
        <f ca="1"/>
        <v>60.26</v>
      </c>
      <c r="E106" vm="1573">
        <f ca="1"/>
        <v>200.44</v>
      </c>
      <c r="F106" vm="1574">
        <f ca="1"/>
        <v>145.4</v>
      </c>
      <c r="G106" vm="1575">
        <f ca="1"/>
        <v>38.340000000000003</v>
      </c>
      <c r="H106" vm="1576">
        <f ca="1"/>
        <v>103.21</v>
      </c>
      <c r="I106" vm="1185">
        <f ca="1"/>
        <v>30.81</v>
      </c>
      <c r="J106" vm="1577">
        <f ca="1"/>
        <v>15.55</v>
      </c>
      <c r="K106" vm="1578">
        <f ca="1"/>
        <v>262.04000000000002</v>
      </c>
      <c r="L106" vm="1579">
        <f ca="1"/>
        <v>174</v>
      </c>
      <c r="M106" vm="1580">
        <f ca="1"/>
        <v>232.88</v>
      </c>
      <c r="N106" vm="1581">
        <f ca="1"/>
        <v>448.45</v>
      </c>
      <c r="O106" vm="1582">
        <f ca="1"/>
        <v>124.61</v>
      </c>
      <c r="P106" vm="1583">
        <f ca="1"/>
        <v>332.89</v>
      </c>
    </row>
    <row r="107" spans="1:16" x14ac:dyDescent="0.25">
      <c r="A107" vm="1584">
        <f ca="1"/>
        <v>45076</v>
      </c>
      <c r="B107" vm="1585">
        <f ca="1"/>
        <v>330.25</v>
      </c>
      <c r="C107" vm="1586">
        <f ca="1"/>
        <v>215.87</v>
      </c>
      <c r="D107" vm="1587">
        <f ca="1"/>
        <v>59.78</v>
      </c>
      <c r="E107" vm="1588">
        <f ca="1"/>
        <v>199.55</v>
      </c>
      <c r="F107" vm="1589">
        <f ca="1"/>
        <v>143.18</v>
      </c>
      <c r="G107" vm="1590">
        <f ca="1"/>
        <v>37.85</v>
      </c>
      <c r="H107" vm="1591">
        <f ca="1"/>
        <v>101.98</v>
      </c>
      <c r="I107" vm="1592">
        <f ca="1"/>
        <v>30.97</v>
      </c>
      <c r="J107" vm="1593">
        <f ca="1"/>
        <v>15.13</v>
      </c>
      <c r="K107" vm="1594">
        <f ca="1"/>
        <v>262.52</v>
      </c>
      <c r="L107" vm="1595">
        <f ca="1"/>
        <v>181.17</v>
      </c>
      <c r="M107" vm="1596">
        <f ca="1"/>
        <v>237.06</v>
      </c>
      <c r="N107" vm="1597">
        <f ca="1"/>
        <v>447.97</v>
      </c>
      <c r="O107" vm="1598">
        <f ca="1"/>
        <v>123.67</v>
      </c>
      <c r="P107" vm="1599">
        <f ca="1"/>
        <v>331.21</v>
      </c>
    </row>
    <row r="108" spans="1:16" x14ac:dyDescent="0.25">
      <c r="A108" vm="1600">
        <f ca="1"/>
        <v>45077</v>
      </c>
      <c r="B108" vm="1601">
        <f ca="1"/>
        <v>320.44</v>
      </c>
      <c r="C108" vm="1602">
        <f ca="1"/>
        <v>212.44</v>
      </c>
      <c r="D108" vm="1603">
        <f ca="1"/>
        <v>59.66</v>
      </c>
      <c r="E108" vm="1604">
        <f ca="1"/>
        <v>199.97</v>
      </c>
      <c r="F108" vm="1605">
        <f ca="1"/>
        <v>142.5</v>
      </c>
      <c r="G108" vm="1606">
        <f ca="1"/>
        <v>38.22</v>
      </c>
      <c r="H108" vm="1607">
        <f ca="1"/>
        <v>98.59</v>
      </c>
      <c r="I108" vm="1608">
        <f ca="1"/>
        <v>30.67</v>
      </c>
      <c r="J108" vm="1609">
        <f ca="1"/>
        <v>15.77</v>
      </c>
      <c r="K108" vm="1610">
        <f ca="1"/>
        <v>264.72000000000003</v>
      </c>
      <c r="L108" vm="1611">
        <f ca="1"/>
        <v>177.58</v>
      </c>
      <c r="M108" vm="1612">
        <f ca="1"/>
        <v>242.97</v>
      </c>
      <c r="N108" vm="1613">
        <f ca="1"/>
        <v>444.01</v>
      </c>
      <c r="O108" vm="1614">
        <f ca="1"/>
        <v>122.87</v>
      </c>
      <c r="P108" vm="1615">
        <f ca="1"/>
        <v>328.39</v>
      </c>
    </row>
    <row r="109" spans="1:16" x14ac:dyDescent="0.25">
      <c r="A109" vm="1616">
        <f ca="1"/>
        <v>45078</v>
      </c>
      <c r="B109" vm="1617">
        <f ca="1"/>
        <v>325.99</v>
      </c>
      <c r="C109" vm="1618">
        <f ca="1"/>
        <v>216.5</v>
      </c>
      <c r="D109" vm="1619">
        <f ca="1"/>
        <v>60</v>
      </c>
      <c r="E109" vm="1620">
        <f ca="1"/>
        <v>202.42</v>
      </c>
      <c r="F109" vm="1621">
        <f ca="1"/>
        <v>143.96</v>
      </c>
      <c r="G109" vm="1622">
        <f ca="1"/>
        <v>38.19</v>
      </c>
      <c r="H109" vm="347">
        <f ca="1"/>
        <v>98.84</v>
      </c>
      <c r="I109" vm="1216">
        <f ca="1"/>
        <v>31.38</v>
      </c>
      <c r="J109" vm="1623">
        <f ca="1"/>
        <v>16.420000000000002</v>
      </c>
      <c r="K109" vm="1624">
        <f ca="1"/>
        <v>272.61</v>
      </c>
      <c r="L109" vm="1625">
        <f ca="1"/>
        <v>176.05</v>
      </c>
      <c r="M109" vm="1626">
        <f ca="1"/>
        <v>242.7</v>
      </c>
      <c r="N109" vm="1627">
        <f ca="1"/>
        <v>449.67</v>
      </c>
      <c r="O109" vm="1628">
        <f ca="1"/>
        <v>123.72</v>
      </c>
      <c r="P109" vm="1629">
        <f ca="1"/>
        <v>332.58</v>
      </c>
    </row>
    <row r="110" spans="1:16" x14ac:dyDescent="0.25">
      <c r="A110" vm="1630">
        <f ca="1"/>
        <v>45079</v>
      </c>
      <c r="B110" vm="1631">
        <f ca="1"/>
        <v>340.73</v>
      </c>
      <c r="C110" vm="1632">
        <f ca="1"/>
        <v>225.93</v>
      </c>
      <c r="D110" vm="1633">
        <f ca="1"/>
        <v>61.16</v>
      </c>
      <c r="E110" vm="1634">
        <f ca="1"/>
        <v>205.47</v>
      </c>
      <c r="F110" vm="1635">
        <f ca="1"/>
        <v>146.52000000000001</v>
      </c>
      <c r="G110" vm="1636">
        <f ca="1"/>
        <v>38.51</v>
      </c>
      <c r="H110" vm="1637">
        <f ca="1"/>
        <v>98.94</v>
      </c>
      <c r="I110" vm="1638">
        <f ca="1"/>
        <v>31.92</v>
      </c>
      <c r="J110" vm="1639">
        <f ca="1"/>
        <v>17.14</v>
      </c>
      <c r="K110" vm="1624">
        <f ca="1"/>
        <v>272.61</v>
      </c>
      <c r="L110" vm="1640">
        <f ca="1"/>
        <v>180.08</v>
      </c>
      <c r="M110" vm="1641">
        <f ca="1"/>
        <v>245.42</v>
      </c>
      <c r="N110" vm="1504">
        <f ca="1"/>
        <v>454.49</v>
      </c>
      <c r="O110" vm="1642">
        <f ca="1"/>
        <v>124.67</v>
      </c>
      <c r="P110" vm="1643">
        <f ca="1"/>
        <v>335.4</v>
      </c>
    </row>
    <row r="111" spans="1:16" x14ac:dyDescent="0.25">
      <c r="A111" vm="1644">
        <f ca="1"/>
        <v>45082</v>
      </c>
      <c r="B111" vm="1645">
        <f ca="1"/>
        <v>337.38</v>
      </c>
      <c r="C111" vm="1646">
        <f ca="1"/>
        <v>224.53</v>
      </c>
      <c r="D111" vm="1647">
        <f ca="1"/>
        <v>60.75</v>
      </c>
      <c r="E111" vm="1648">
        <f ca="1"/>
        <v>206.05</v>
      </c>
      <c r="F111" vm="1649">
        <f ca="1"/>
        <v>145.94</v>
      </c>
      <c r="G111" vm="1650">
        <f ca="1"/>
        <v>38.06</v>
      </c>
      <c r="H111" vm="1651">
        <f ca="1"/>
        <v>98.05</v>
      </c>
      <c r="I111" vm="1652">
        <f ca="1"/>
        <v>32.130000000000003</v>
      </c>
      <c r="J111" vm="1653">
        <f ca="1"/>
        <v>16.53</v>
      </c>
      <c r="K111" vm="1654">
        <f ca="1"/>
        <v>271.39</v>
      </c>
      <c r="L111" vm="1655">
        <f ca="1"/>
        <v>179.23</v>
      </c>
      <c r="M111" vm="1656">
        <f ca="1"/>
        <v>244.17</v>
      </c>
      <c r="N111" vm="1657">
        <f ca="1"/>
        <v>454.69</v>
      </c>
      <c r="O111" vm="1658">
        <f ca="1"/>
        <v>126.01</v>
      </c>
      <c r="P111" vm="1659">
        <f ca="1"/>
        <v>335.94</v>
      </c>
    </row>
    <row r="112" spans="1:16" x14ac:dyDescent="0.25">
      <c r="A112" vm="1660">
        <f ca="1"/>
        <v>45083</v>
      </c>
      <c r="B112" vm="1661">
        <f ca="1"/>
        <v>346.58</v>
      </c>
      <c r="C112" vm="1662">
        <f ca="1"/>
        <v>226.45</v>
      </c>
      <c r="D112" vm="1663">
        <f ca="1"/>
        <v>60.31</v>
      </c>
      <c r="E112" vm="1664">
        <f ca="1"/>
        <v>207.3</v>
      </c>
      <c r="F112" vm="1665">
        <f ca="1"/>
        <v>144.49</v>
      </c>
      <c r="G112" vm="742">
        <f ca="1"/>
        <v>37.79</v>
      </c>
      <c r="H112" vm="1666">
        <f ca="1"/>
        <v>99.82</v>
      </c>
      <c r="I112" vm="1667">
        <f ca="1"/>
        <v>31.94</v>
      </c>
      <c r="J112" vm="1639">
        <f ca="1"/>
        <v>17.14</v>
      </c>
      <c r="K112" vm="1668">
        <f ca="1"/>
        <v>271.12</v>
      </c>
      <c r="L112" vm="1669">
        <f ca="1"/>
        <v>181.62</v>
      </c>
      <c r="M112" vm="1670">
        <f ca="1"/>
        <v>242.5</v>
      </c>
      <c r="N112" vm="1671">
        <f ca="1"/>
        <v>458.63</v>
      </c>
      <c r="O112" vm="1672">
        <f ca="1"/>
        <v>127.31</v>
      </c>
      <c r="P112" vm="1673">
        <f ca="1"/>
        <v>333.68</v>
      </c>
    </row>
    <row r="113" spans="1:16" x14ac:dyDescent="0.25">
      <c r="A113" vm="1674">
        <f ca="1"/>
        <v>45084</v>
      </c>
      <c r="B113" vm="1675">
        <f ca="1"/>
        <v>358.94</v>
      </c>
      <c r="C113" vm="1676">
        <f ca="1"/>
        <v>231.6</v>
      </c>
      <c r="D113" vm="1677">
        <f ca="1"/>
        <v>60.22</v>
      </c>
      <c r="E113" vm="1453">
        <f ca="1"/>
        <v>207.93</v>
      </c>
      <c r="F113" vm="1678">
        <f ca="1"/>
        <v>144.80000000000001</v>
      </c>
      <c r="G113" vm="1679">
        <f ca="1"/>
        <v>36.950000000000003</v>
      </c>
      <c r="H113" vm="1680">
        <f ca="1"/>
        <v>100.29</v>
      </c>
      <c r="I113" vm="1681">
        <f ca="1"/>
        <v>32.58</v>
      </c>
      <c r="J113" vm="1682">
        <f ca="1"/>
        <v>17.364999999999998</v>
      </c>
      <c r="K113" vm="1683">
        <f ca="1"/>
        <v>263.60000000000002</v>
      </c>
      <c r="L113" vm="1684">
        <f ca="1"/>
        <v>183.93</v>
      </c>
      <c r="M113" vm="1685">
        <f ca="1"/>
        <v>243.32</v>
      </c>
      <c r="N113" vm="1686">
        <f ca="1"/>
        <v>461.75</v>
      </c>
      <c r="O113" vm="1687">
        <f ca="1"/>
        <v>122.5</v>
      </c>
      <c r="P113" vm="1688">
        <f ca="1"/>
        <v>323.38</v>
      </c>
    </row>
    <row r="114" spans="1:16" x14ac:dyDescent="0.25">
      <c r="A114" vm="1689">
        <f ca="1"/>
        <v>45085</v>
      </c>
      <c r="B114" vm="1690">
        <f ca="1"/>
        <v>355.83</v>
      </c>
      <c r="C114" vm="1691">
        <f ca="1"/>
        <v>233.58</v>
      </c>
      <c r="D114" vm="1692">
        <f ca="1"/>
        <v>60.37</v>
      </c>
      <c r="E114" vm="1693">
        <f ca="1"/>
        <v>206.21</v>
      </c>
      <c r="F114" vm="1694">
        <f ca="1"/>
        <v>146.44</v>
      </c>
      <c r="G114" vm="1695">
        <f ca="1"/>
        <v>37.19</v>
      </c>
      <c r="H114" vm="1696">
        <f ca="1"/>
        <v>99.94</v>
      </c>
      <c r="I114" vm="1697">
        <f ca="1"/>
        <v>32.56</v>
      </c>
      <c r="J114" vm="1698">
        <f ca="1"/>
        <v>17.54</v>
      </c>
      <c r="K114" vm="1699">
        <f ca="1"/>
        <v>264.58</v>
      </c>
      <c r="L114" vm="1700">
        <f ca="1"/>
        <v>183.37</v>
      </c>
      <c r="M114" vm="1701">
        <f ca="1"/>
        <v>244.41</v>
      </c>
      <c r="N114" vm="1702">
        <f ca="1"/>
        <v>464.17</v>
      </c>
      <c r="O114" vm="1703">
        <f ca="1"/>
        <v>122.14</v>
      </c>
      <c r="P114" vm="1704">
        <f ca="1"/>
        <v>325.26</v>
      </c>
    </row>
    <row r="115" spans="1:16" x14ac:dyDescent="0.25">
      <c r="A115" vm="1705">
        <f ca="1"/>
        <v>45086</v>
      </c>
      <c r="B115" vm="1706">
        <f ca="1"/>
        <v>356.13</v>
      </c>
      <c r="C115" vm="1707">
        <f ca="1"/>
        <v>232.66</v>
      </c>
      <c r="D115" vm="1708">
        <f ca="1"/>
        <v>60.47</v>
      </c>
      <c r="E115" vm="1709">
        <f ca="1"/>
        <v>206.98</v>
      </c>
      <c r="F115" vm="1710">
        <f ca="1"/>
        <v>146.56</v>
      </c>
      <c r="G115" vm="1711">
        <f ca="1"/>
        <v>36.880000000000003</v>
      </c>
      <c r="H115" vm="1712">
        <f ca="1"/>
        <v>102.8</v>
      </c>
      <c r="I115" vm="1499">
        <f ca="1"/>
        <v>32.31</v>
      </c>
      <c r="J115" vm="1713">
        <f ca="1"/>
        <v>17.25</v>
      </c>
      <c r="K115" vm="1714">
        <f ca="1"/>
        <v>264.95</v>
      </c>
      <c r="L115" vm="1715">
        <f ca="1"/>
        <v>182.83</v>
      </c>
      <c r="M115" vm="1716">
        <f ca="1"/>
        <v>241.61</v>
      </c>
      <c r="N115" vm="1717">
        <f ca="1"/>
        <v>462.69</v>
      </c>
      <c r="O115" vm="1718">
        <f ca="1"/>
        <v>122.23</v>
      </c>
      <c r="P115" vm="1719">
        <f ca="1"/>
        <v>326.79000000000002</v>
      </c>
    </row>
    <row r="116" spans="1:16" x14ac:dyDescent="0.25">
      <c r="A116" vm="1720">
        <f ca="1"/>
        <v>45089</v>
      </c>
      <c r="B116" vm="1721">
        <f ca="1"/>
        <v>358.59</v>
      </c>
      <c r="C116" vm="142">
        <f ca="1"/>
        <v>235.77</v>
      </c>
      <c r="D116" vm="1722">
        <f ca="1"/>
        <v>60.21</v>
      </c>
      <c r="E116" vm="1723">
        <f ca="1"/>
        <v>207.89</v>
      </c>
      <c r="F116" vm="1724">
        <f ca="1"/>
        <v>145.41</v>
      </c>
      <c r="G116" vm="1725">
        <f ca="1"/>
        <v>36.58</v>
      </c>
      <c r="H116" vm="1726">
        <f ca="1"/>
        <v>107.06</v>
      </c>
      <c r="I116" vm="119">
        <f ca="1"/>
        <v>32.4</v>
      </c>
      <c r="J116" vm="1727">
        <f ca="1"/>
        <v>17.34</v>
      </c>
      <c r="K116" vm="1728">
        <f ca="1"/>
        <v>271.05</v>
      </c>
      <c r="L116" vm="1729">
        <f ca="1"/>
        <v>185.38</v>
      </c>
      <c r="M116" vm="1730">
        <f ca="1"/>
        <v>244.44</v>
      </c>
      <c r="N116" vm="1731">
        <f ca="1"/>
        <v>459.87</v>
      </c>
      <c r="O116" vm="1732">
        <f ca="1"/>
        <v>123.64</v>
      </c>
      <c r="P116" vm="1733">
        <f ca="1"/>
        <v>331.85</v>
      </c>
    </row>
    <row r="117" spans="1:16" x14ac:dyDescent="0.25">
      <c r="A117" vm="1734">
        <f ca="1"/>
        <v>45090</v>
      </c>
      <c r="B117" vm="1735">
        <f ca="1"/>
        <v>368.23</v>
      </c>
      <c r="C117" vm="1736">
        <f ca="1"/>
        <v>237.57</v>
      </c>
      <c r="D117" vm="1737">
        <f ca="1"/>
        <v>60.45</v>
      </c>
      <c r="E117" vm="1738">
        <f ca="1"/>
        <v>207.59</v>
      </c>
      <c r="F117" vm="1739">
        <f ca="1"/>
        <v>145.06</v>
      </c>
      <c r="G117" vm="1740">
        <f ca="1"/>
        <v>36.799999999999997</v>
      </c>
      <c r="H117" vm="1741">
        <f ca="1"/>
        <v>106.8</v>
      </c>
      <c r="I117" vm="1742">
        <f ca="1"/>
        <v>32.659999999999997</v>
      </c>
      <c r="J117" vm="1743">
        <f ca="1"/>
        <v>17.62</v>
      </c>
      <c r="K117" vm="487">
        <f ca="1"/>
        <v>271.32</v>
      </c>
      <c r="L117" vm="1744">
        <f ca="1"/>
        <v>185</v>
      </c>
      <c r="M117" vm="1745">
        <f ca="1"/>
        <v>247.41</v>
      </c>
      <c r="N117" vm="1746">
        <f ca="1"/>
        <v>452.37</v>
      </c>
      <c r="O117" vm="1747">
        <f ca="1"/>
        <v>123.83</v>
      </c>
      <c r="P117" vm="1748">
        <f ca="1"/>
        <v>334.29</v>
      </c>
    </row>
    <row r="118" spans="1:16" x14ac:dyDescent="0.25">
      <c r="A118" vm="1749">
        <f ca="1"/>
        <v>45091</v>
      </c>
      <c r="B118" vm="1750">
        <f ca="1"/>
        <v>367.55</v>
      </c>
      <c r="C118" vm="1751">
        <f ca="1"/>
        <v>236.1</v>
      </c>
      <c r="D118" vm="1752">
        <f ca="1"/>
        <v>60.86</v>
      </c>
      <c r="E118" vm="1313">
        <f ca="1"/>
        <v>213.12</v>
      </c>
      <c r="F118" vm="1753">
        <f ca="1"/>
        <v>146.41999999999999</v>
      </c>
      <c r="G118" vm="1754">
        <f ca="1"/>
        <v>36.67</v>
      </c>
      <c r="H118" vm="1755">
        <f ca="1"/>
        <v>107.41</v>
      </c>
      <c r="I118" vm="1756">
        <f ca="1"/>
        <v>33.090000000000003</v>
      </c>
      <c r="J118" vm="1757">
        <f ca="1"/>
        <v>17.670000000000002</v>
      </c>
      <c r="K118" vm="1758">
        <f ca="1"/>
        <v>273.35000000000002</v>
      </c>
      <c r="L118" vm="1759">
        <f ca="1"/>
        <v>185.09</v>
      </c>
      <c r="M118" vm="1760">
        <f ca="1"/>
        <v>247.01</v>
      </c>
      <c r="N118" vm="1761">
        <f ca="1"/>
        <v>452.55</v>
      </c>
      <c r="O118" vm="1598">
        <f ca="1"/>
        <v>123.67</v>
      </c>
      <c r="P118" vm="1762">
        <f ca="1"/>
        <v>337.34</v>
      </c>
    </row>
    <row r="119" spans="1:16" x14ac:dyDescent="0.25">
      <c r="A119" vm="1763">
        <f ca="1"/>
        <v>45092</v>
      </c>
      <c r="B119" vm="1764">
        <f ca="1"/>
        <v>374.04</v>
      </c>
      <c r="C119" vm="1765">
        <f ca="1"/>
        <v>240.48</v>
      </c>
      <c r="D119" vm="1766">
        <f ca="1"/>
        <v>61.23</v>
      </c>
      <c r="E119" vm="1767">
        <f ca="1"/>
        <v>213.53</v>
      </c>
      <c r="F119" vm="1768">
        <f ca="1"/>
        <v>148.44999999999999</v>
      </c>
      <c r="G119" vm="1769">
        <f ca="1"/>
        <v>36.869999999999997</v>
      </c>
      <c r="H119" vm="1770">
        <f ca="1"/>
        <v>105.18</v>
      </c>
      <c r="I119" vm="1771">
        <f ca="1"/>
        <v>33.56</v>
      </c>
      <c r="J119" vm="1772">
        <f ca="1"/>
        <v>17.68</v>
      </c>
      <c r="K119" vm="1773">
        <f ca="1"/>
        <v>281.83</v>
      </c>
      <c r="L119" vm="1774">
        <f ca="1"/>
        <v>185.8</v>
      </c>
      <c r="M119" vm="1775">
        <f ca="1"/>
        <v>249.19</v>
      </c>
      <c r="N119" vm="1776">
        <f ca="1"/>
        <v>455.95</v>
      </c>
      <c r="O119" vm="1777">
        <f ca="1"/>
        <v>125.09</v>
      </c>
      <c r="P119" vm="1778">
        <f ca="1"/>
        <v>348.1</v>
      </c>
    </row>
    <row r="120" spans="1:16" x14ac:dyDescent="0.25">
      <c r="A120" vm="1779">
        <f ca="1"/>
        <v>45093</v>
      </c>
      <c r="B120" vm="1780">
        <f ca="1"/>
        <v>369.1</v>
      </c>
      <c r="C120" vm="47">
        <f ca="1"/>
        <v>239.58</v>
      </c>
      <c r="D120" vm="1781">
        <f ca="1"/>
        <v>61.67</v>
      </c>
      <c r="E120" vm="1782">
        <f ca="1"/>
        <v>213.61</v>
      </c>
      <c r="F120" vm="1783">
        <f ca="1"/>
        <v>149.54</v>
      </c>
      <c r="G120" vm="1784">
        <f ca="1"/>
        <v>36.99</v>
      </c>
      <c r="H120" vm="1785">
        <f ca="1"/>
        <v>104.57</v>
      </c>
      <c r="I120" vm="1786">
        <f ca="1"/>
        <v>33.21</v>
      </c>
      <c r="J120" vm="1743">
        <f ca="1"/>
        <v>17.62</v>
      </c>
      <c r="K120" vm="1787">
        <f ca="1"/>
        <v>281</v>
      </c>
      <c r="L120" vm="1788">
        <f ca="1"/>
        <v>185.95</v>
      </c>
      <c r="M120" vm="1789">
        <f ca="1"/>
        <v>246.03</v>
      </c>
      <c r="N120" vm="1790">
        <f ca="1"/>
        <v>459.17</v>
      </c>
      <c r="O120" vm="1791">
        <f ca="1"/>
        <v>123.53</v>
      </c>
      <c r="P120" vm="1792">
        <f ca="1"/>
        <v>342.33</v>
      </c>
    </row>
    <row r="121" spans="1:16" x14ac:dyDescent="0.25">
      <c r="A121" vm="1793">
        <f ca="1"/>
        <v>45097</v>
      </c>
      <c r="B121" vm="1794">
        <f ca="1"/>
        <v>371.85</v>
      </c>
      <c r="C121" vm="1795">
        <f ca="1"/>
        <v>239.56</v>
      </c>
      <c r="D121" vm="1796">
        <f ca="1"/>
        <v>61.26</v>
      </c>
      <c r="E121" vm="1225">
        <f ca="1"/>
        <v>213.59</v>
      </c>
      <c r="F121" vm="1797">
        <f ca="1"/>
        <v>148.16</v>
      </c>
      <c r="G121" vm="1798">
        <f ca="1"/>
        <v>36.619999999999997</v>
      </c>
      <c r="H121" vm="1799">
        <f ca="1"/>
        <v>103.98</v>
      </c>
      <c r="I121" vm="1800">
        <f ca="1"/>
        <v>32.909999999999997</v>
      </c>
      <c r="J121" vm="1801">
        <f ca="1"/>
        <v>18.079999999999998</v>
      </c>
      <c r="K121" vm="1802">
        <f ca="1"/>
        <v>284.33</v>
      </c>
      <c r="L121" vm="1803">
        <f ca="1"/>
        <v>185.75</v>
      </c>
      <c r="M121" vm="1804">
        <f ca="1"/>
        <v>243.74</v>
      </c>
      <c r="N121" vm="1805">
        <f ca="1"/>
        <v>458.38</v>
      </c>
      <c r="O121" vm="1806">
        <f ca="1"/>
        <v>123.1</v>
      </c>
      <c r="P121" vm="1807">
        <f ca="1"/>
        <v>338.05</v>
      </c>
    </row>
    <row r="122" spans="1:16" x14ac:dyDescent="0.25">
      <c r="A122" vm="1808">
        <f ca="1"/>
        <v>45098</v>
      </c>
      <c r="B122" vm="1809">
        <f ca="1"/>
        <v>374.25</v>
      </c>
      <c r="C122" vm="1810">
        <f ca="1"/>
        <v>241.7</v>
      </c>
      <c r="D122" vm="162">
        <f ca="1"/>
        <v>61.43</v>
      </c>
      <c r="E122" vm="1811">
        <f ca="1"/>
        <v>212.07</v>
      </c>
      <c r="F122" vm="1812">
        <f ca="1"/>
        <v>149.44</v>
      </c>
      <c r="G122" vm="1813">
        <f ca="1"/>
        <v>36.07</v>
      </c>
      <c r="H122" vm="1814">
        <f ca="1"/>
        <v>101.64</v>
      </c>
      <c r="I122" vm="1815">
        <f ca="1"/>
        <v>33.130000000000003</v>
      </c>
      <c r="J122" vm="1816">
        <f ca="1"/>
        <v>18.399999999999999</v>
      </c>
      <c r="K122" vm="1817">
        <f ca="1"/>
        <v>281.64</v>
      </c>
      <c r="L122" vm="1818">
        <f ca="1"/>
        <v>190.94</v>
      </c>
      <c r="M122" vm="1819">
        <f ca="1"/>
        <v>246.28</v>
      </c>
      <c r="N122" vm="1820">
        <f ca="1"/>
        <v>466.04</v>
      </c>
      <c r="O122" vm="1821">
        <f ca="1"/>
        <v>120.55</v>
      </c>
      <c r="P122" vm="1822">
        <f ca="1"/>
        <v>333.56</v>
      </c>
    </row>
    <row r="123" spans="1:16" x14ac:dyDescent="0.25">
      <c r="A123" vm="1823">
        <f ca="1"/>
        <v>45099</v>
      </c>
      <c r="B123" vm="1824">
        <f ca="1"/>
        <v>371.01</v>
      </c>
      <c r="C123" vm="1825">
        <f ca="1"/>
        <v>240.83</v>
      </c>
      <c r="D123" vm="967">
        <f ca="1"/>
        <v>61.85</v>
      </c>
      <c r="E123" vm="1013">
        <f ca="1"/>
        <v>212.23</v>
      </c>
      <c r="F123" vm="1826">
        <f ca="1"/>
        <v>149.94999999999999</v>
      </c>
      <c r="G123" vm="1813">
        <f ca="1"/>
        <v>36.07</v>
      </c>
      <c r="H123" vm="1827">
        <f ca="1"/>
        <v>103.13</v>
      </c>
      <c r="I123" vm="1828">
        <f ca="1"/>
        <v>33.11</v>
      </c>
      <c r="J123" vm="1829">
        <f ca="1"/>
        <v>18.78</v>
      </c>
      <c r="K123" vm="1830">
        <f ca="1"/>
        <v>284.88</v>
      </c>
      <c r="L123" vm="1831">
        <f ca="1"/>
        <v>189.31</v>
      </c>
      <c r="M123" vm="1832">
        <f ca="1"/>
        <v>245.27</v>
      </c>
      <c r="N123" vm="1833">
        <f ca="1"/>
        <v>463.43</v>
      </c>
      <c r="O123" vm="1834">
        <f ca="1"/>
        <v>123.15</v>
      </c>
      <c r="P123" vm="1835">
        <f ca="1"/>
        <v>339.71</v>
      </c>
    </row>
    <row r="124" spans="1:16" x14ac:dyDescent="0.25">
      <c r="A124" vm="1836">
        <f ca="1"/>
        <v>45100</v>
      </c>
      <c r="B124" vm="1837">
        <f ca="1"/>
        <v>370.12</v>
      </c>
      <c r="C124" vm="1838">
        <f ca="1"/>
        <v>241.66</v>
      </c>
      <c r="D124" vm="1839">
        <f ca="1"/>
        <v>61.2</v>
      </c>
      <c r="E124" vm="1374">
        <f ca="1"/>
        <v>210.81</v>
      </c>
      <c r="F124" vm="1840">
        <f ca="1"/>
        <v>148.46</v>
      </c>
      <c r="G124" vm="1841">
        <f ca="1"/>
        <v>35.909999999999997</v>
      </c>
      <c r="H124" vm="1842">
        <f ca="1"/>
        <v>101.91</v>
      </c>
      <c r="I124" vm="1843">
        <f ca="1"/>
        <v>32.74</v>
      </c>
      <c r="J124" vm="1844">
        <f ca="1"/>
        <v>17.63</v>
      </c>
      <c r="K124" vm="1845">
        <f ca="1"/>
        <v>288.73</v>
      </c>
      <c r="L124" vm="1846">
        <f ca="1"/>
        <v>186.61</v>
      </c>
      <c r="M124" vm="1847">
        <f ca="1"/>
        <v>242.38</v>
      </c>
      <c r="N124" vm="1848">
        <f ca="1"/>
        <v>459.36</v>
      </c>
      <c r="O124" vm="1849">
        <f ca="1"/>
        <v>122.34</v>
      </c>
      <c r="P124" vm="1850">
        <f ca="1"/>
        <v>335.02</v>
      </c>
    </row>
    <row r="125" spans="1:16" x14ac:dyDescent="0.25">
      <c r="A125" vm="1851">
        <f ca="1"/>
        <v>45103</v>
      </c>
      <c r="B125" vm="1852">
        <f ca="1"/>
        <v>375.47</v>
      </c>
      <c r="C125" vm="1853">
        <f ca="1"/>
        <v>241.07</v>
      </c>
      <c r="D125" vm="1854">
        <f ca="1"/>
        <v>61.22</v>
      </c>
      <c r="E125" vm="763">
        <f ca="1"/>
        <v>212</v>
      </c>
      <c r="F125" vm="1855">
        <f ca="1"/>
        <v>148.61000000000001</v>
      </c>
      <c r="G125" vm="1856">
        <f ca="1"/>
        <v>35.549999999999997</v>
      </c>
      <c r="H125" vm="1857">
        <f ca="1"/>
        <v>100.11</v>
      </c>
      <c r="I125" vm="1828">
        <f ca="1"/>
        <v>33.11</v>
      </c>
      <c r="J125" vm="1858">
        <f ca="1"/>
        <v>17.88</v>
      </c>
      <c r="K125" vm="1859">
        <f ca="1"/>
        <v>278.47000000000003</v>
      </c>
      <c r="L125" vm="1860">
        <f ca="1"/>
        <v>190.51</v>
      </c>
      <c r="M125" vm="1861">
        <f ca="1"/>
        <v>242.42</v>
      </c>
      <c r="N125" vm="1862">
        <f ca="1"/>
        <v>452.8</v>
      </c>
      <c r="O125" vm="1863">
        <f ca="1"/>
        <v>118.34</v>
      </c>
      <c r="P125" vm="1864">
        <f ca="1"/>
        <v>328.6</v>
      </c>
    </row>
    <row r="126" spans="1:16" x14ac:dyDescent="0.25">
      <c r="A126" vm="1865">
        <f ca="1"/>
        <v>45104</v>
      </c>
      <c r="B126" vm="1866">
        <f ca="1"/>
        <v>380.19</v>
      </c>
      <c r="C126" vm="1867">
        <f ca="1"/>
        <v>247.8</v>
      </c>
      <c r="D126" vm="1868">
        <f ca="1"/>
        <v>61.09</v>
      </c>
      <c r="E126" vm="1869">
        <f ca="1"/>
        <v>216.82</v>
      </c>
      <c r="F126" vm="1870">
        <f ca="1"/>
        <v>150.02000000000001</v>
      </c>
      <c r="G126" vm="1871">
        <f ca="1"/>
        <v>35.58</v>
      </c>
      <c r="H126" vm="1872">
        <f ca="1"/>
        <v>102.08</v>
      </c>
      <c r="I126" vm="1873">
        <f ca="1"/>
        <v>33.47</v>
      </c>
      <c r="J126" vm="1874">
        <f ca="1"/>
        <v>19.04</v>
      </c>
      <c r="K126" vm="1875">
        <f ca="1"/>
        <v>287.05</v>
      </c>
      <c r="L126" vm="1876">
        <f ca="1"/>
        <v>194.66</v>
      </c>
      <c r="M126" vm="1877">
        <f ca="1"/>
        <v>246.99</v>
      </c>
      <c r="N126" vm="1401">
        <f ca="1"/>
        <v>453.15</v>
      </c>
      <c r="O126" vm="1878">
        <f ca="1"/>
        <v>118.33</v>
      </c>
      <c r="P126" vm="1879">
        <f ca="1"/>
        <v>334.57</v>
      </c>
    </row>
    <row r="127" spans="1:16" x14ac:dyDescent="0.25">
      <c r="A127" vm="1880">
        <f ca="1"/>
        <v>45105</v>
      </c>
      <c r="B127" vm="1881">
        <f ca="1"/>
        <v>382.45</v>
      </c>
      <c r="C127" vm="1882">
        <f ca="1"/>
        <v>248.33</v>
      </c>
      <c r="D127" vm="1883">
        <f ca="1"/>
        <v>60.52</v>
      </c>
      <c r="E127" vm="1884">
        <f ca="1"/>
        <v>216.89</v>
      </c>
      <c r="F127" vm="1885">
        <f ca="1"/>
        <v>149.99</v>
      </c>
      <c r="G127" vm="1886">
        <f ca="1"/>
        <v>35.020000000000003</v>
      </c>
      <c r="H127" vm="1887">
        <f ca="1"/>
        <v>100.92</v>
      </c>
      <c r="I127" vm="1888">
        <f ca="1"/>
        <v>33.590000000000003</v>
      </c>
      <c r="J127" vm="1889">
        <f ca="1"/>
        <v>18.670000000000002</v>
      </c>
      <c r="K127" vm="1890">
        <f ca="1"/>
        <v>285.29000000000002</v>
      </c>
      <c r="L127" vm="1891">
        <f ca="1"/>
        <v>193.72</v>
      </c>
      <c r="M127" vm="1892">
        <f ca="1"/>
        <v>246.78</v>
      </c>
      <c r="N127" vm="1893">
        <f ca="1"/>
        <v>449.66</v>
      </c>
      <c r="O127" vm="1894">
        <f ca="1"/>
        <v>120.18</v>
      </c>
      <c r="P127" vm="1895">
        <f ca="1"/>
        <v>335.85</v>
      </c>
    </row>
    <row r="128" spans="1:16" x14ac:dyDescent="0.25">
      <c r="A128" vm="1896">
        <f ca="1"/>
        <v>45106</v>
      </c>
      <c r="B128" vm="1897">
        <f ca="1"/>
        <v>386.75</v>
      </c>
      <c r="C128" vm="1898">
        <f ca="1"/>
        <v>255.65</v>
      </c>
      <c r="D128" vm="829">
        <f ca="1"/>
        <v>60.02</v>
      </c>
      <c r="E128" vm="1899">
        <f ca="1"/>
        <v>220.99</v>
      </c>
      <c r="F128" vm="1900">
        <f ca="1"/>
        <v>149.38</v>
      </c>
      <c r="G128" vm="1886">
        <f ca="1"/>
        <v>35.020000000000003</v>
      </c>
      <c r="H128" vm="1901">
        <f ca="1"/>
        <v>100.64</v>
      </c>
      <c r="I128" vm="1902">
        <f ca="1"/>
        <v>33.869999999999997</v>
      </c>
      <c r="J128" vm="1903">
        <f ca="1"/>
        <v>18.93</v>
      </c>
      <c r="K128" vm="1904">
        <f ca="1"/>
        <v>281.52999999999997</v>
      </c>
      <c r="L128" vm="1905">
        <f ca="1"/>
        <v>194.85</v>
      </c>
      <c r="M128" vm="1486">
        <f ca="1"/>
        <v>246.85</v>
      </c>
      <c r="N128" vm="1906">
        <f ca="1"/>
        <v>457.44</v>
      </c>
      <c r="O128" vm="1907">
        <f ca="1"/>
        <v>119.1</v>
      </c>
      <c r="P128" vm="1908">
        <f ca="1"/>
        <v>335.05</v>
      </c>
    </row>
    <row r="129" spans="1:16" x14ac:dyDescent="0.25">
      <c r="A129" vm="1909">
        <f ca="1"/>
        <v>45107</v>
      </c>
      <c r="B129" vm="1910">
        <f ca="1"/>
        <v>390.04</v>
      </c>
      <c r="C129" vm="1911">
        <f ca="1"/>
        <v>256.52999999999997</v>
      </c>
      <c r="D129" vm="1677">
        <f ca="1"/>
        <v>60.22</v>
      </c>
      <c r="E129" vm="1912">
        <f ca="1"/>
        <v>224.98</v>
      </c>
      <c r="F129" vm="311">
        <f ca="1"/>
        <v>151.74</v>
      </c>
      <c r="G129" vm="1913">
        <f ca="1"/>
        <v>35.5</v>
      </c>
      <c r="H129" vm="1887">
        <f ca="1"/>
        <v>100.92</v>
      </c>
      <c r="I129" vm="1914">
        <f ca="1"/>
        <v>34.1</v>
      </c>
      <c r="J129" vm="1915">
        <f ca="1"/>
        <v>19</v>
      </c>
      <c r="K129" vm="1916">
        <f ca="1"/>
        <v>286.98</v>
      </c>
      <c r="L129" vm="1917">
        <f ca="1"/>
        <v>196.45</v>
      </c>
      <c r="M129" vm="1918">
        <f ca="1"/>
        <v>246.13</v>
      </c>
      <c r="N129" vm="1919">
        <f ca="1"/>
        <v>460.38</v>
      </c>
      <c r="O129" vm="1920">
        <f ca="1"/>
        <v>119.7</v>
      </c>
      <c r="P129" vm="1921">
        <f ca="1"/>
        <v>340.54</v>
      </c>
    </row>
    <row r="130" spans="1:16" x14ac:dyDescent="0.25">
      <c r="A130" vm="1922">
        <f ca="1"/>
        <v>45110</v>
      </c>
      <c r="B130" vm="1923">
        <f ca="1"/>
        <v>391.01</v>
      </c>
      <c r="C130" vm="1924">
        <f ca="1"/>
        <v>257.89999999999998</v>
      </c>
      <c r="D130" vm="1925">
        <f ca="1"/>
        <v>60.58</v>
      </c>
      <c r="E130" vm="1926">
        <f ca="1"/>
        <v>219.14</v>
      </c>
      <c r="F130" vm="1927">
        <f ca="1"/>
        <v>152.5</v>
      </c>
      <c r="G130" vm="1928">
        <f ca="1"/>
        <v>35.81</v>
      </c>
      <c r="H130" vm="1929">
        <f ca="1"/>
        <v>103.15</v>
      </c>
      <c r="I130" vm="1930">
        <f ca="1"/>
        <v>34.340000000000003</v>
      </c>
      <c r="J130" vm="1931">
        <f ca="1"/>
        <v>19.11</v>
      </c>
      <c r="K130" vm="1932">
        <f ca="1"/>
        <v>286.02</v>
      </c>
      <c r="L130" vm="1933">
        <f ca="1"/>
        <v>195.71</v>
      </c>
      <c r="M130" vm="1934">
        <f ca="1"/>
        <v>247.47</v>
      </c>
      <c r="N130" vm="1935">
        <f ca="1"/>
        <v>462.58</v>
      </c>
      <c r="O130" vm="1936">
        <f ca="1"/>
        <v>119.9</v>
      </c>
      <c r="P130" vm="1937">
        <f ca="1"/>
        <v>337.99</v>
      </c>
    </row>
    <row r="131" spans="1:16" x14ac:dyDescent="0.25">
      <c r="A131" vm="1938">
        <f ca="1"/>
        <v>45112</v>
      </c>
      <c r="B131" vm="1939">
        <f ca="1"/>
        <v>382.85</v>
      </c>
      <c r="C131" vm="1940">
        <f ca="1"/>
        <v>256.06</v>
      </c>
      <c r="D131" vm="1941">
        <f ca="1"/>
        <v>61.03</v>
      </c>
      <c r="E131" vm="1942">
        <f ca="1"/>
        <v>218.92</v>
      </c>
      <c r="F131" vm="1943">
        <f ca="1"/>
        <v>152.24</v>
      </c>
      <c r="G131" vm="1944">
        <f ca="1"/>
        <v>35.85</v>
      </c>
      <c r="H131" vm="1945">
        <f ca="1"/>
        <v>100.99</v>
      </c>
      <c r="I131" vm="1902">
        <f ca="1"/>
        <v>33.869999999999997</v>
      </c>
      <c r="J131" vm="1946">
        <f ca="1"/>
        <v>18.559999999999999</v>
      </c>
      <c r="K131" vm="1947">
        <f ca="1"/>
        <v>294.37</v>
      </c>
      <c r="L131" vm="1948">
        <f ca="1"/>
        <v>195.15</v>
      </c>
      <c r="M131" vm="1949">
        <f ca="1"/>
        <v>251</v>
      </c>
      <c r="N131" vm="1950">
        <f ca="1"/>
        <v>462.76</v>
      </c>
      <c r="O131" vm="1951">
        <f ca="1"/>
        <v>121.75</v>
      </c>
      <c r="P131" vm="1952">
        <f ca="1"/>
        <v>338.15</v>
      </c>
    </row>
    <row r="132" spans="1:16" x14ac:dyDescent="0.25">
      <c r="A132" vm="1953">
        <f ca="1"/>
        <v>45113</v>
      </c>
      <c r="B132" vm="1954">
        <f ca="1"/>
        <v>378.96</v>
      </c>
      <c r="C132" vm="1955">
        <f ca="1"/>
        <v>252.15</v>
      </c>
      <c r="D132" vm="1956">
        <f ca="1"/>
        <v>60.56</v>
      </c>
      <c r="E132" vm="1957">
        <f ca="1"/>
        <v>218.45</v>
      </c>
      <c r="F132" vm="1958">
        <f ca="1"/>
        <v>151.99</v>
      </c>
      <c r="G132" vm="1959">
        <f ca="1"/>
        <v>35.659999999999997</v>
      </c>
      <c r="H132" vm="1960">
        <f ca="1"/>
        <v>99.41</v>
      </c>
      <c r="I132" vm="1961">
        <f ca="1"/>
        <v>33.46</v>
      </c>
      <c r="J132" vm="1962">
        <f ca="1"/>
        <v>18.13</v>
      </c>
      <c r="K132" vm="1963">
        <f ca="1"/>
        <v>291.99</v>
      </c>
      <c r="L132" vm="1964">
        <f ca="1"/>
        <v>192.53</v>
      </c>
      <c r="M132" vm="1965">
        <f ca="1"/>
        <v>252.59</v>
      </c>
      <c r="N132" vm="1966">
        <f ca="1"/>
        <v>461.64</v>
      </c>
      <c r="O132" vm="1967">
        <f ca="1"/>
        <v>120.11</v>
      </c>
      <c r="P132" vm="1968">
        <f ca="1"/>
        <v>341.27</v>
      </c>
    </row>
    <row r="133" spans="1:16" x14ac:dyDescent="0.25">
      <c r="A133" vm="1969">
        <f ca="1"/>
        <v>45114</v>
      </c>
      <c r="B133" vm="1970">
        <f ca="1"/>
        <v>384.17</v>
      </c>
      <c r="C133" vm="1971">
        <f ca="1"/>
        <v>257.22000000000003</v>
      </c>
      <c r="D133" vm="1972">
        <f ca="1"/>
        <v>59.76</v>
      </c>
      <c r="E133" vm="1973">
        <f ca="1"/>
        <v>217.85</v>
      </c>
      <c r="F133" vm="1974">
        <f ca="1"/>
        <v>148.80000000000001</v>
      </c>
      <c r="G133" vm="1975">
        <f ca="1"/>
        <v>35.46</v>
      </c>
      <c r="H133" vm="1976">
        <f ca="1"/>
        <v>100.23</v>
      </c>
      <c r="I133" vm="1977">
        <f ca="1"/>
        <v>33.299999999999997</v>
      </c>
      <c r="J133" vm="1978">
        <f ca="1"/>
        <v>18.63</v>
      </c>
      <c r="K133" vm="1979">
        <f ca="1"/>
        <v>290.52999999999997</v>
      </c>
      <c r="L133" vm="1980">
        <f ca="1"/>
        <v>193.6</v>
      </c>
      <c r="M133" vm="1981">
        <f ca="1"/>
        <v>253.49</v>
      </c>
      <c r="N133" vm="1982">
        <f ca="1"/>
        <v>458.71</v>
      </c>
      <c r="O133" vm="1983">
        <f ca="1"/>
        <v>119.48</v>
      </c>
      <c r="P133" vm="1984">
        <f ca="1"/>
        <v>337.22</v>
      </c>
    </row>
    <row r="134" spans="1:16" x14ac:dyDescent="0.25">
      <c r="A134" vm="1985">
        <f ca="1"/>
        <v>45117</v>
      </c>
      <c r="B134" vm="1986">
        <f ca="1"/>
        <v>392.64</v>
      </c>
      <c r="C134" vm="1987">
        <f ca="1"/>
        <v>260.41000000000003</v>
      </c>
      <c r="D134" vm="1988">
        <f ca="1"/>
        <v>59.31</v>
      </c>
      <c r="E134" vm="1989">
        <f ca="1"/>
        <v>223.05</v>
      </c>
      <c r="F134" vm="1990">
        <f ca="1"/>
        <v>148.86000000000001</v>
      </c>
      <c r="G134" vm="1991">
        <f ca="1"/>
        <v>35.4</v>
      </c>
      <c r="H134" vm="1992">
        <f ca="1"/>
        <v>99.77</v>
      </c>
      <c r="I134" vm="1993">
        <f ca="1"/>
        <v>33.61</v>
      </c>
      <c r="J134" vm="1994">
        <f ca="1"/>
        <v>18.440000000000001</v>
      </c>
      <c r="K134" vm="1995">
        <f ca="1"/>
        <v>294.10000000000002</v>
      </c>
      <c r="L134" vm="1996">
        <f ca="1"/>
        <v>199.79</v>
      </c>
      <c r="M134" vm="1997">
        <f ca="1"/>
        <v>251.72</v>
      </c>
      <c r="N134" vm="1919">
        <f ca="1"/>
        <v>460.38</v>
      </c>
      <c r="O134" vm="1998">
        <f ca="1"/>
        <v>116.45</v>
      </c>
      <c r="P134" vm="1999">
        <f ca="1"/>
        <v>331.83</v>
      </c>
    </row>
    <row r="135" spans="1:16" x14ac:dyDescent="0.25">
      <c r="A135" vm="2000">
        <f ca="1"/>
        <v>45118</v>
      </c>
      <c r="B135" vm="2001">
        <f ca="1"/>
        <v>398.7</v>
      </c>
      <c r="C135" vm="2002">
        <f ca="1"/>
        <v>262.27999999999997</v>
      </c>
      <c r="D135" vm="2003">
        <f ca="1"/>
        <v>59.52</v>
      </c>
      <c r="E135" vm="250">
        <f ca="1"/>
        <v>224</v>
      </c>
      <c r="F135" vm="2004">
        <f ca="1"/>
        <v>148.08000000000001</v>
      </c>
      <c r="G135" vm="2005">
        <f ca="1"/>
        <v>35.630000000000003</v>
      </c>
      <c r="H135" vm="2006">
        <f ca="1"/>
        <v>101.26</v>
      </c>
      <c r="I135" vm="2007">
        <f ca="1"/>
        <v>33.770000000000003</v>
      </c>
      <c r="J135" vm="2008">
        <f ca="1"/>
        <v>18.47</v>
      </c>
      <c r="K135" vm="2009">
        <f ca="1"/>
        <v>298.29000000000002</v>
      </c>
      <c r="L135" vm="2010">
        <f ca="1"/>
        <v>199.95</v>
      </c>
      <c r="M135" vm="2011">
        <f ca="1"/>
        <v>252.47</v>
      </c>
      <c r="N135" vm="2012">
        <f ca="1"/>
        <v>466.29</v>
      </c>
      <c r="O135" vm="2013">
        <f ca="1"/>
        <v>117.14</v>
      </c>
      <c r="P135" vm="2014">
        <f ca="1"/>
        <v>332.47</v>
      </c>
    </row>
    <row r="136" spans="1:16" x14ac:dyDescent="0.25">
      <c r="A136" vm="2015">
        <f ca="1"/>
        <v>45119</v>
      </c>
      <c r="B136" vm="2016">
        <f ca="1"/>
        <v>397.09</v>
      </c>
      <c r="C136" vm="2017">
        <f ca="1"/>
        <v>263.99</v>
      </c>
      <c r="D136" vm="600">
        <f ca="1"/>
        <v>59.84</v>
      </c>
      <c r="E136" vm="2018">
        <f ca="1"/>
        <v>226.7</v>
      </c>
      <c r="F136" vm="2019">
        <f ca="1"/>
        <v>148.85</v>
      </c>
      <c r="G136" vm="2020">
        <f ca="1"/>
        <v>35.76</v>
      </c>
      <c r="H136" vm="2021">
        <f ca="1"/>
        <v>103.9</v>
      </c>
      <c r="I136" vm="2022">
        <f ca="1"/>
        <v>33.53</v>
      </c>
      <c r="J136" vm="2023">
        <f ca="1"/>
        <v>18.989999999999998</v>
      </c>
      <c r="K136" vm="2024">
        <f ca="1"/>
        <v>309.33999999999997</v>
      </c>
      <c r="L136" vm="2025">
        <f ca="1"/>
        <v>198.43</v>
      </c>
      <c r="M136" vm="2026">
        <f ca="1"/>
        <v>250.9</v>
      </c>
      <c r="N136" vm="2027">
        <f ca="1"/>
        <v>461.96</v>
      </c>
      <c r="O136" vm="2028">
        <f ca="1"/>
        <v>118.93</v>
      </c>
      <c r="P136" vm="2029">
        <f ca="1"/>
        <v>337.2</v>
      </c>
    </row>
    <row r="137" spans="1:16" x14ac:dyDescent="0.25">
      <c r="A137" vm="2030">
        <f ca="1"/>
        <v>45120</v>
      </c>
      <c r="B137" vm="2031">
        <f ca="1"/>
        <v>398.66</v>
      </c>
      <c r="C137" vm="2032">
        <f ca="1"/>
        <v>268.39999999999998</v>
      </c>
      <c r="D137" vm="2033">
        <f ca="1"/>
        <v>60.35</v>
      </c>
      <c r="E137" vm="2034">
        <f ca="1"/>
        <v>228.74</v>
      </c>
      <c r="F137" vm="2035">
        <f ca="1"/>
        <v>148.94999999999999</v>
      </c>
      <c r="G137" vm="2036">
        <f ca="1"/>
        <v>35.64</v>
      </c>
      <c r="H137" vm="1354">
        <f ca="1"/>
        <v>105.57</v>
      </c>
      <c r="I137" vm="2037">
        <f ca="1"/>
        <v>33.72</v>
      </c>
      <c r="J137" vm="2038">
        <f ca="1"/>
        <v>18.98</v>
      </c>
      <c r="K137" vm="2039">
        <f ca="1"/>
        <v>313.41000000000003</v>
      </c>
      <c r="L137" vm="2040">
        <f ca="1"/>
        <v>198.27</v>
      </c>
      <c r="M137" vm="364">
        <f ca="1"/>
        <v>252.75</v>
      </c>
      <c r="N137" vm="2041">
        <f ca="1"/>
        <v>466.38</v>
      </c>
      <c r="O137" vm="2042">
        <f ca="1"/>
        <v>124.54</v>
      </c>
      <c r="P137" vm="2043">
        <f ca="1"/>
        <v>342.66</v>
      </c>
    </row>
    <row r="138" spans="1:16" x14ac:dyDescent="0.25">
      <c r="A138" vm="2044">
        <f ca="1"/>
        <v>45121</v>
      </c>
      <c r="B138" vm="2045">
        <f ca="1"/>
        <v>396.2</v>
      </c>
      <c r="C138" vm="2046">
        <f ca="1"/>
        <v>266.97000000000003</v>
      </c>
      <c r="D138" vm="905">
        <f ca="1"/>
        <v>60.9</v>
      </c>
      <c r="E138" vm="2047">
        <f ca="1"/>
        <v>229.08</v>
      </c>
      <c r="F138" vm="2048">
        <f ca="1"/>
        <v>150.05000000000001</v>
      </c>
      <c r="G138" vm="1944">
        <f ca="1"/>
        <v>35.85</v>
      </c>
      <c r="H138" vm="2049">
        <f ca="1"/>
        <v>105.14</v>
      </c>
      <c r="I138" vm="2050">
        <f ca="1"/>
        <v>33.630000000000003</v>
      </c>
      <c r="J138" vm="2051">
        <f ca="1"/>
        <v>18.09</v>
      </c>
      <c r="K138" vm="2052">
        <f ca="1"/>
        <v>308.87</v>
      </c>
      <c r="L138" vm="2053">
        <f ca="1"/>
        <v>196.13</v>
      </c>
      <c r="M138" vm="2054">
        <f ca="1"/>
        <v>255.47</v>
      </c>
      <c r="N138" vm="2055">
        <f ca="1"/>
        <v>464.31</v>
      </c>
      <c r="O138" vm="2056">
        <f ca="1"/>
        <v>125.42</v>
      </c>
      <c r="P138" vm="2057">
        <f ca="1"/>
        <v>345.24</v>
      </c>
    </row>
    <row r="139" spans="1:16" x14ac:dyDescent="0.25">
      <c r="A139" vm="2058">
        <f ca="1"/>
        <v>45124</v>
      </c>
      <c r="B139" vm="2059">
        <f ca="1"/>
        <v>400.95</v>
      </c>
      <c r="C139" vm="2060">
        <f ca="1"/>
        <v>268.74</v>
      </c>
      <c r="D139" vm="289">
        <f ca="1"/>
        <v>60.81</v>
      </c>
      <c r="E139" vm="2061">
        <f ca="1"/>
        <v>228.35</v>
      </c>
      <c r="F139" vm="2062">
        <f ca="1"/>
        <v>148.99</v>
      </c>
      <c r="G139" vm="2063">
        <f ca="1"/>
        <v>35.51</v>
      </c>
      <c r="H139" vm="2064">
        <f ca="1"/>
        <v>104.79</v>
      </c>
      <c r="I139" vm="2065">
        <f ca="1"/>
        <v>33.22</v>
      </c>
      <c r="J139" vm="1829">
        <f ca="1"/>
        <v>18.78</v>
      </c>
      <c r="K139" vm="2066">
        <f ca="1"/>
        <v>310.62</v>
      </c>
      <c r="L139" vm="2067">
        <f ca="1"/>
        <v>199.31</v>
      </c>
      <c r="M139" vm="2068">
        <f ca="1"/>
        <v>254.56</v>
      </c>
      <c r="N139" vm="2069">
        <f ca="1"/>
        <v>469.97</v>
      </c>
      <c r="O139" vm="2070">
        <f ca="1"/>
        <v>124.65</v>
      </c>
      <c r="P139" vm="2071">
        <f ca="1"/>
        <v>345.73</v>
      </c>
    </row>
    <row r="140" spans="1:16" x14ac:dyDescent="0.25">
      <c r="A140" vm="2072">
        <f ca="1"/>
        <v>45125</v>
      </c>
      <c r="B140" vm="2073">
        <f ca="1"/>
        <v>408.56</v>
      </c>
      <c r="C140" vm="2074">
        <f ca="1"/>
        <v>269.27</v>
      </c>
      <c r="D140" vm="2075">
        <f ca="1"/>
        <v>60.57</v>
      </c>
      <c r="E140" vm="1188">
        <f ca="1"/>
        <v>226.95</v>
      </c>
      <c r="F140" vm="2076">
        <f ca="1"/>
        <v>149.27000000000001</v>
      </c>
      <c r="G140" vm="2063">
        <f ca="1"/>
        <v>35.51</v>
      </c>
      <c r="H140" vm="1929">
        <f ca="1"/>
        <v>103.15</v>
      </c>
      <c r="I140" vm="2077">
        <f ca="1"/>
        <v>33.75</v>
      </c>
      <c r="J140" vm="2078">
        <f ca="1"/>
        <v>19.02</v>
      </c>
      <c r="K140" vm="2079">
        <f ca="1"/>
        <v>312.05</v>
      </c>
      <c r="L140" vm="2080">
        <f ca="1"/>
        <v>199.61</v>
      </c>
      <c r="M140" vm="2081">
        <f ca="1"/>
        <v>254.33</v>
      </c>
      <c r="N140" vm="2082">
        <f ca="1"/>
        <v>455.7</v>
      </c>
      <c r="O140" vm="2083">
        <f ca="1"/>
        <v>123.76</v>
      </c>
      <c r="P140" vm="2084">
        <f ca="1"/>
        <v>359.49</v>
      </c>
    </row>
    <row r="141" spans="1:16" x14ac:dyDescent="0.25">
      <c r="A141" vm="2085">
        <f ca="1"/>
        <v>45126</v>
      </c>
      <c r="B141" vm="2086">
        <f ca="1"/>
        <v>403.68</v>
      </c>
      <c r="C141" vm="2087">
        <f ca="1"/>
        <v>268.86</v>
      </c>
      <c r="D141" vm="2088">
        <f ca="1"/>
        <v>61.64</v>
      </c>
      <c r="E141" vm="2089">
        <f ca="1"/>
        <v>227.44</v>
      </c>
      <c r="F141" vm="2090">
        <f ca="1"/>
        <v>150.29</v>
      </c>
      <c r="G141" vm="2091">
        <f ca="1"/>
        <v>36.14</v>
      </c>
      <c r="H141" vm="2092">
        <f ca="1"/>
        <v>103.06</v>
      </c>
      <c r="I141" vm="2093">
        <f ca="1"/>
        <v>33.799999999999997</v>
      </c>
      <c r="J141" vm="2094">
        <f ca="1"/>
        <v>18.8</v>
      </c>
      <c r="K141" vm="2095">
        <f ca="1"/>
        <v>316.01</v>
      </c>
      <c r="L141" vm="2010">
        <f ca="1"/>
        <v>199.95</v>
      </c>
      <c r="M141" vm="2096">
        <f ca="1"/>
        <v>267.93</v>
      </c>
      <c r="N141" vm="2097">
        <f ca="1"/>
        <v>451.51</v>
      </c>
      <c r="O141" vm="2098">
        <f ca="1"/>
        <v>122.03</v>
      </c>
      <c r="P141" vm="2099">
        <f ca="1"/>
        <v>355.08</v>
      </c>
    </row>
    <row r="142" spans="1:16" x14ac:dyDescent="0.25">
      <c r="A142" vm="2100">
        <f ca="1"/>
        <v>45127</v>
      </c>
      <c r="B142" vm="2101">
        <f ca="1"/>
        <v>402.81</v>
      </c>
      <c r="C142" vm="2102">
        <f ca="1"/>
        <v>268.75</v>
      </c>
      <c r="D142" vm="2103">
        <f ca="1"/>
        <v>62.39</v>
      </c>
      <c r="E142" vm="2104">
        <f ca="1"/>
        <v>230.15</v>
      </c>
      <c r="F142" vm="2105">
        <f ca="1"/>
        <v>150.56</v>
      </c>
      <c r="G142" vm="2106">
        <f ca="1"/>
        <v>36.4</v>
      </c>
      <c r="H142" vm="2107">
        <f ca="1"/>
        <v>97.86</v>
      </c>
      <c r="I142" vm="2108">
        <f ca="1"/>
        <v>33.71</v>
      </c>
      <c r="J142" vm="2109">
        <f ca="1"/>
        <v>19.27</v>
      </c>
      <c r="K142" vm="2110">
        <f ca="1"/>
        <v>302.52</v>
      </c>
      <c r="L142" vm="2111">
        <f ca="1"/>
        <v>199.98</v>
      </c>
      <c r="M142" vm="2112">
        <f ca="1"/>
        <v>269.2</v>
      </c>
      <c r="N142" vm="2113">
        <f ca="1"/>
        <v>456.01</v>
      </c>
      <c r="O142" vm="2114">
        <f ca="1"/>
        <v>119.2</v>
      </c>
      <c r="P142" vm="2115">
        <f ca="1"/>
        <v>346.87</v>
      </c>
    </row>
    <row r="143" spans="1:16" x14ac:dyDescent="0.25">
      <c r="A143" vm="2116">
        <f ca="1"/>
        <v>45128</v>
      </c>
      <c r="B143" vm="2117">
        <f ca="1"/>
        <v>397.65</v>
      </c>
      <c r="C143" vm="2118">
        <f ca="1"/>
        <v>269.58999999999997</v>
      </c>
      <c r="D143" vm="2119">
        <f ca="1"/>
        <v>62.44</v>
      </c>
      <c r="E143" vm="2120">
        <f ca="1"/>
        <v>232.09</v>
      </c>
      <c r="F143" vm="2121">
        <f ca="1"/>
        <v>152.93</v>
      </c>
      <c r="G143" vm="2122">
        <f ca="1"/>
        <v>36.32</v>
      </c>
      <c r="H143" vm="2123">
        <f ca="1"/>
        <v>97.25</v>
      </c>
      <c r="I143" vm="2124">
        <f ca="1"/>
        <v>32.46</v>
      </c>
      <c r="J143" vm="2125">
        <f ca="1"/>
        <v>18.75</v>
      </c>
      <c r="K143" vm="2126">
        <f ca="1"/>
        <v>294.26</v>
      </c>
      <c r="L143" vm="2127">
        <f ca="1"/>
        <v>201.49</v>
      </c>
      <c r="M143" vm="2128">
        <f ca="1"/>
        <v>269.5</v>
      </c>
      <c r="N143" vm="2129">
        <f ca="1"/>
        <v>454.76</v>
      </c>
      <c r="O143" vm="2130">
        <f ca="1"/>
        <v>120.02</v>
      </c>
      <c r="P143" vm="2131">
        <f ca="1"/>
        <v>343.77</v>
      </c>
    </row>
    <row r="144" spans="1:16" x14ac:dyDescent="0.25">
      <c r="A144" vm="2132">
        <f ca="1"/>
        <v>45131</v>
      </c>
      <c r="B144" vm="2133">
        <f ca="1"/>
        <v>397.87</v>
      </c>
      <c r="C144" vm="2134">
        <f ca="1"/>
        <v>266.69</v>
      </c>
      <c r="D144" vm="2135">
        <f ca="1"/>
        <v>62.46</v>
      </c>
      <c r="E144" vm="2136">
        <f ca="1"/>
        <v>232.17</v>
      </c>
      <c r="F144" vm="2137">
        <f ca="1"/>
        <v>153.41999999999999</v>
      </c>
      <c r="G144" vm="2138">
        <f ca="1"/>
        <v>36.35</v>
      </c>
      <c r="H144" vm="2139">
        <f ca="1"/>
        <v>98.25</v>
      </c>
      <c r="I144" vm="2140">
        <f ca="1"/>
        <v>32.520000000000003</v>
      </c>
      <c r="J144" vm="2078">
        <f ca="1"/>
        <v>19.02</v>
      </c>
      <c r="K144" vm="2141">
        <f ca="1"/>
        <v>291.61</v>
      </c>
      <c r="L144" vm="2142">
        <f ca="1"/>
        <v>203.81</v>
      </c>
      <c r="M144" vm="2143">
        <f ca="1"/>
        <v>271.26</v>
      </c>
      <c r="N144" vm="2144">
        <f ca="1"/>
        <v>456.8</v>
      </c>
      <c r="O144" vm="2145">
        <f ca="1"/>
        <v>121.53</v>
      </c>
      <c r="P144" vm="2146">
        <f ca="1"/>
        <v>345.11</v>
      </c>
    </row>
    <row r="145" spans="1:16" x14ac:dyDescent="0.25">
      <c r="A145" vm="2147">
        <f ca="1"/>
        <v>45132</v>
      </c>
      <c r="B145" vm="2148">
        <f ca="1"/>
        <v>398.09</v>
      </c>
      <c r="C145" vm="2149">
        <f ca="1"/>
        <v>268.79000000000002</v>
      </c>
      <c r="D145" vm="2150">
        <f ca="1"/>
        <v>62.25</v>
      </c>
      <c r="E145" vm="2151">
        <f ca="1"/>
        <v>233.02</v>
      </c>
      <c r="F145" vm="2152">
        <f ca="1"/>
        <v>153.78</v>
      </c>
      <c r="G145" vm="2153">
        <f ca="1"/>
        <v>36.549999999999997</v>
      </c>
      <c r="H145" vm="824">
        <f ca="1"/>
        <v>100.32</v>
      </c>
      <c r="I145" vm="2154">
        <f ca="1"/>
        <v>33.17</v>
      </c>
      <c r="J145" vm="2155">
        <f ca="1"/>
        <v>18.64</v>
      </c>
      <c r="K145" vm="2156">
        <f ca="1"/>
        <v>294.47000000000003</v>
      </c>
      <c r="L145" vm="2157">
        <f ca="1"/>
        <v>205.4</v>
      </c>
      <c r="M145" vm="2158">
        <f ca="1"/>
        <v>271.38</v>
      </c>
      <c r="N145" vm="2159">
        <f ca="1"/>
        <v>454.15</v>
      </c>
      <c r="O145" vm="2160">
        <f ca="1"/>
        <v>122.21</v>
      </c>
      <c r="P145" vm="2161">
        <f ca="1"/>
        <v>350.98</v>
      </c>
    </row>
    <row r="146" spans="1:16" x14ac:dyDescent="0.25">
      <c r="A146" vm="2162">
        <f ca="1"/>
        <v>45133</v>
      </c>
      <c r="B146" vm="2163">
        <f ca="1"/>
        <v>393.76</v>
      </c>
      <c r="C146" vm="2164">
        <f ca="1"/>
        <v>273.39999999999998</v>
      </c>
      <c r="D146" vm="1122">
        <f ca="1"/>
        <v>63.05</v>
      </c>
      <c r="E146" vm="2165">
        <f ca="1"/>
        <v>231.86</v>
      </c>
      <c r="F146" vm="2166">
        <f ca="1"/>
        <v>153.94</v>
      </c>
      <c r="G146" vm="2167">
        <f ca="1"/>
        <v>36.36</v>
      </c>
      <c r="H146" vm="1960">
        <f ca="1"/>
        <v>99.41</v>
      </c>
      <c r="I146" vm="2168">
        <f ca="1"/>
        <v>32.950000000000003</v>
      </c>
      <c r="J146" vm="2169">
        <f ca="1"/>
        <v>19.13</v>
      </c>
      <c r="K146" vm="2170">
        <f ca="1"/>
        <v>298.57</v>
      </c>
      <c r="L146" vm="2171">
        <f ca="1"/>
        <v>202.65</v>
      </c>
      <c r="M146" vm="2172">
        <f ca="1"/>
        <v>272.2</v>
      </c>
      <c r="N146" vm="2173">
        <f ca="1"/>
        <v>452.81</v>
      </c>
      <c r="O146" vm="2174">
        <f ca="1"/>
        <v>129.27000000000001</v>
      </c>
      <c r="P146" vm="2175">
        <f ca="1"/>
        <v>337.77</v>
      </c>
    </row>
    <row r="147" spans="1:16" x14ac:dyDescent="0.25">
      <c r="A147" vm="2176">
        <f ca="1"/>
        <v>45134</v>
      </c>
      <c r="B147" vm="2177">
        <f ca="1"/>
        <v>397.31</v>
      </c>
      <c r="C147" vm="2178">
        <f ca="1"/>
        <v>276.79000000000002</v>
      </c>
      <c r="D147" vm="2119">
        <f ca="1"/>
        <v>62.44</v>
      </c>
      <c r="E147" vm="2179">
        <f ca="1"/>
        <v>229.78</v>
      </c>
      <c r="F147" vm="2180">
        <f ca="1"/>
        <v>152.11000000000001</v>
      </c>
      <c r="G147" vm="2181">
        <f ca="1"/>
        <v>36.200000000000003</v>
      </c>
      <c r="H147" vm="2182">
        <f ca="1"/>
        <v>99.35</v>
      </c>
      <c r="I147" vm="2183">
        <f ca="1"/>
        <v>33.03</v>
      </c>
      <c r="J147" vm="2184">
        <f ca="1"/>
        <v>18.66</v>
      </c>
      <c r="K147" vm="239">
        <f ca="1"/>
        <v>311.70999999999998</v>
      </c>
      <c r="L147" vm="2185">
        <f ca="1"/>
        <v>201.63</v>
      </c>
      <c r="M147" vm="2186">
        <f ca="1"/>
        <v>270.57</v>
      </c>
      <c r="N147" vm="2187">
        <f ca="1"/>
        <v>448.64</v>
      </c>
      <c r="O147" vm="2188">
        <f ca="1"/>
        <v>129.4</v>
      </c>
      <c r="P147" vm="2189">
        <f ca="1"/>
        <v>330.72</v>
      </c>
    </row>
    <row r="148" spans="1:16" x14ac:dyDescent="0.25">
      <c r="A148" vm="2190">
        <f ca="1"/>
        <v>45135</v>
      </c>
      <c r="B148" vm="2191">
        <f ca="1"/>
        <v>399.57</v>
      </c>
      <c r="C148" vm="2192">
        <f ca="1"/>
        <v>277.42</v>
      </c>
      <c r="D148" vm="2193">
        <f ca="1"/>
        <v>62.48</v>
      </c>
      <c r="E148" vm="2194">
        <f ca="1"/>
        <v>230.04</v>
      </c>
      <c r="F148" vm="2195">
        <f ca="1"/>
        <v>156.41</v>
      </c>
      <c r="G148" vm="2196">
        <f ca="1"/>
        <v>36.159999999999997</v>
      </c>
      <c r="H148" vm="2197">
        <f ca="1"/>
        <v>100.86</v>
      </c>
      <c r="I148" vm="2093">
        <f ca="1"/>
        <v>33.799999999999997</v>
      </c>
      <c r="J148" vm="2198">
        <f ca="1"/>
        <v>19.3</v>
      </c>
      <c r="K148" vm="2199">
        <f ca="1"/>
        <v>325.48</v>
      </c>
      <c r="L148" vm="2200">
        <f ca="1"/>
        <v>200.48</v>
      </c>
      <c r="M148" vm="2201">
        <f ca="1"/>
        <v>272.5</v>
      </c>
      <c r="N148" vm="2202">
        <f ca="1"/>
        <v>449</v>
      </c>
      <c r="O148" vm="2203">
        <f ca="1"/>
        <v>132.58000000000001</v>
      </c>
      <c r="P148" vm="2204">
        <f ca="1"/>
        <v>338.37</v>
      </c>
    </row>
    <row r="149" spans="1:16" x14ac:dyDescent="0.25">
      <c r="A149" vm="2205">
        <f ca="1"/>
        <v>45138</v>
      </c>
      <c r="B149" vm="2206">
        <f ca="1"/>
        <v>410.01</v>
      </c>
      <c r="C149" vm="2207">
        <f ca="1"/>
        <v>277.2</v>
      </c>
      <c r="D149" vm="2208">
        <f ca="1"/>
        <v>61.93</v>
      </c>
      <c r="E149" vm="2209">
        <f ca="1"/>
        <v>225.55</v>
      </c>
      <c r="F149" vm="2210">
        <f ca="1"/>
        <v>156.30000000000001</v>
      </c>
      <c r="G149" vm="2211">
        <f ca="1"/>
        <v>36.18</v>
      </c>
      <c r="H149" vm="2212">
        <f ca="1"/>
        <v>99.15</v>
      </c>
      <c r="I149" vm="2213">
        <f ca="1"/>
        <v>33.32</v>
      </c>
      <c r="J149" vm="2109">
        <f ca="1"/>
        <v>19.27</v>
      </c>
      <c r="K149" vm="2214">
        <f ca="1"/>
        <v>318.60000000000002</v>
      </c>
      <c r="L149" vm="2215">
        <f ca="1"/>
        <v>201.62</v>
      </c>
      <c r="M149" vm="2216">
        <f ca="1"/>
        <v>272.8</v>
      </c>
      <c r="N149" vm="2217">
        <f ca="1"/>
        <v>446.37</v>
      </c>
      <c r="O149" vm="2218">
        <f ca="1"/>
        <v>132.72</v>
      </c>
      <c r="P149" vm="2219">
        <f ca="1"/>
        <v>335.92</v>
      </c>
    </row>
    <row r="150" spans="1:16" x14ac:dyDescent="0.25">
      <c r="A150" vm="2220">
        <f ca="1"/>
        <v>45139</v>
      </c>
      <c r="B150" vm="2221">
        <f ca="1"/>
        <v>414.17</v>
      </c>
      <c r="C150" vm="2222">
        <f ca="1"/>
        <v>278.32</v>
      </c>
      <c r="D150" vm="2223">
        <f ca="1"/>
        <v>61.77</v>
      </c>
      <c r="E150" vm="2224">
        <f ca="1"/>
        <v>224.01</v>
      </c>
      <c r="F150" vm="2225">
        <f ca="1"/>
        <v>156.25</v>
      </c>
      <c r="G150" vm="2226">
        <f ca="1"/>
        <v>35.880000000000003</v>
      </c>
      <c r="H150" vm="2227">
        <f ca="1"/>
        <v>98.4</v>
      </c>
      <c r="I150" vm="2228">
        <f ca="1"/>
        <v>33.31</v>
      </c>
      <c r="J150" vm="2229">
        <f ca="1"/>
        <v>19.61</v>
      </c>
      <c r="K150" vm="2230">
        <f ca="1"/>
        <v>322.70999999999998</v>
      </c>
      <c r="L150" vm="2231">
        <f ca="1"/>
        <v>201.89</v>
      </c>
      <c r="M150" vm="2232">
        <f ca="1"/>
        <v>270.02999999999997</v>
      </c>
      <c r="N150" vm="2233">
        <f ca="1"/>
        <v>451.28</v>
      </c>
      <c r="O150" vm="2234">
        <f ca="1"/>
        <v>131.55000000000001</v>
      </c>
      <c r="P150" vm="2235">
        <f ca="1"/>
        <v>336.34</v>
      </c>
    </row>
    <row r="151" spans="1:16" x14ac:dyDescent="0.25">
      <c r="A151" vm="2236">
        <f ca="1"/>
        <v>45140</v>
      </c>
      <c r="B151" vm="2237">
        <f ca="1"/>
        <v>405.87</v>
      </c>
      <c r="C151" vm="2238">
        <f ca="1"/>
        <v>278.31</v>
      </c>
      <c r="D151" vm="2239">
        <f ca="1"/>
        <v>61.96</v>
      </c>
      <c r="E151" vm="2240">
        <f ca="1"/>
        <v>227.8</v>
      </c>
      <c r="F151" vm="2241">
        <f ca="1"/>
        <v>156.59</v>
      </c>
      <c r="G151" vm="2122">
        <f ca="1"/>
        <v>36.32</v>
      </c>
      <c r="H151" vm="2242">
        <f ca="1"/>
        <v>95.7</v>
      </c>
      <c r="I151" vm="2243">
        <f ca="1"/>
        <v>32.96</v>
      </c>
      <c r="J151" vm="2244">
        <f ca="1"/>
        <v>19.670000000000002</v>
      </c>
      <c r="K151" vm="2245">
        <f ca="1"/>
        <v>314.31</v>
      </c>
      <c r="L151" vm="2246">
        <f ca="1"/>
        <v>202.32</v>
      </c>
      <c r="M151" vm="2247">
        <f ca="1"/>
        <v>269.52999999999997</v>
      </c>
      <c r="N151" vm="2248">
        <f ca="1"/>
        <v>448.56</v>
      </c>
      <c r="O151" vm="2249">
        <f ca="1"/>
        <v>128.38</v>
      </c>
      <c r="P151" vm="2250">
        <f ca="1"/>
        <v>327.5</v>
      </c>
    </row>
    <row r="152" spans="1:16" x14ac:dyDescent="0.25">
      <c r="A152" vm="2251">
        <f ca="1"/>
        <v>45141</v>
      </c>
      <c r="B152" vm="2252">
        <f ca="1"/>
        <v>418.18</v>
      </c>
      <c r="C152" vm="2253">
        <f ca="1"/>
        <v>278.41000000000003</v>
      </c>
      <c r="D152" vm="2088">
        <f ca="1"/>
        <v>61.64</v>
      </c>
      <c r="E152" vm="1323">
        <f ca="1"/>
        <v>225.5</v>
      </c>
      <c r="F152" vm="2254">
        <f ca="1"/>
        <v>157</v>
      </c>
      <c r="G152" vm="2255">
        <f ca="1"/>
        <v>35.57</v>
      </c>
      <c r="H152" vm="2256">
        <f ca="1"/>
        <v>94.98</v>
      </c>
      <c r="I152" vm="1800">
        <f ca="1"/>
        <v>32.909999999999997</v>
      </c>
      <c r="J152" vm="2257">
        <f ca="1"/>
        <v>19.420000000000002</v>
      </c>
      <c r="K152" vm="2258">
        <f ca="1"/>
        <v>313.19</v>
      </c>
      <c r="L152" vm="2259">
        <f ca="1"/>
        <v>203.34</v>
      </c>
      <c r="M152" vm="2260">
        <f ca="1"/>
        <v>268.73</v>
      </c>
      <c r="N152" vm="2261">
        <f ca="1"/>
        <v>447.92</v>
      </c>
      <c r="O152" vm="2262">
        <f ca="1"/>
        <v>128.44999999999999</v>
      </c>
      <c r="P152" vm="2263">
        <f ca="1"/>
        <v>326.66000000000003</v>
      </c>
    </row>
    <row r="153" spans="1:16" x14ac:dyDescent="0.25">
      <c r="A153" vm="2264">
        <f ca="1"/>
        <v>45142</v>
      </c>
      <c r="B153" vm="2265">
        <f ca="1"/>
        <v>414.15</v>
      </c>
      <c r="C153" vm="2266">
        <f ca="1"/>
        <v>283.66000000000003</v>
      </c>
      <c r="D153" vm="2267">
        <f ca="1"/>
        <v>60.71</v>
      </c>
      <c r="E153" vm="2268">
        <f ca="1"/>
        <v>226.01</v>
      </c>
      <c r="F153" vm="2269">
        <f ca="1"/>
        <v>155.28</v>
      </c>
      <c r="G153" vm="2270">
        <f ca="1"/>
        <v>35.28</v>
      </c>
      <c r="H153" vm="2271">
        <f ca="1"/>
        <v>96.16</v>
      </c>
      <c r="I153" vm="2272">
        <f ca="1"/>
        <v>31.52</v>
      </c>
      <c r="J153" vm="2273">
        <f ca="1"/>
        <v>18.53</v>
      </c>
      <c r="K153" vm="2274">
        <f ca="1"/>
        <v>310.73</v>
      </c>
      <c r="L153" vm="2275">
        <f ca="1"/>
        <v>200.28</v>
      </c>
      <c r="M153" vm="2276">
        <f ca="1"/>
        <v>268.02</v>
      </c>
      <c r="N153" vm="2277">
        <f ca="1"/>
        <v>445.72</v>
      </c>
      <c r="O153" vm="2278">
        <f ca="1"/>
        <v>128.11000000000001</v>
      </c>
      <c r="P153" vm="2279">
        <f ca="1"/>
        <v>327.78</v>
      </c>
    </row>
    <row r="154" spans="1:16" x14ac:dyDescent="0.25">
      <c r="A154" vm="2280">
        <f ca="1"/>
        <v>45145</v>
      </c>
      <c r="B154" vm="2281">
        <f ca="1"/>
        <v>424.95</v>
      </c>
      <c r="C154" vm="2282">
        <f ca="1"/>
        <v>285.70999999999998</v>
      </c>
      <c r="D154" vm="2283">
        <f ca="1"/>
        <v>61.19</v>
      </c>
      <c r="E154" vm="1400">
        <f ca="1"/>
        <v>226.19</v>
      </c>
      <c r="F154" vm="2284">
        <f ca="1"/>
        <v>156.91999999999999</v>
      </c>
      <c r="G154" vm="2285">
        <f ca="1"/>
        <v>35</v>
      </c>
      <c r="H154" vm="2286">
        <f ca="1"/>
        <v>96.35</v>
      </c>
      <c r="I154" vm="2287">
        <f ca="1"/>
        <v>31.78</v>
      </c>
      <c r="J154" vm="2288">
        <f ca="1"/>
        <v>18.21</v>
      </c>
      <c r="K154" vm="2289">
        <f ca="1"/>
        <v>316.56</v>
      </c>
      <c r="L154" vm="2290">
        <f ca="1"/>
        <v>202.12</v>
      </c>
      <c r="M154" vm="2291">
        <f ca="1"/>
        <v>270.63</v>
      </c>
      <c r="N154" vm="2292">
        <f ca="1"/>
        <v>449.78</v>
      </c>
      <c r="O154" vm="2293">
        <f ca="1"/>
        <v>131.53</v>
      </c>
      <c r="P154" vm="2294">
        <f ca="1"/>
        <v>330.11</v>
      </c>
    </row>
    <row r="155" spans="1:16" x14ac:dyDescent="0.25">
      <c r="A155" vm="2295">
        <f ca="1"/>
        <v>45146</v>
      </c>
      <c r="B155" vm="2296">
        <f ca="1"/>
        <v>425.12</v>
      </c>
      <c r="C155" vm="2297">
        <f ca="1"/>
        <v>285.11</v>
      </c>
      <c r="D155" vm="2298">
        <f ca="1"/>
        <v>60.92</v>
      </c>
      <c r="E155" vm="2299">
        <f ca="1"/>
        <v>225.24</v>
      </c>
      <c r="F155" vm="2300">
        <f ca="1"/>
        <v>157.09</v>
      </c>
      <c r="G155" vm="2301">
        <f ca="1"/>
        <v>34.46</v>
      </c>
      <c r="H155" vm="2302">
        <f ca="1"/>
        <v>94.49</v>
      </c>
      <c r="I155" vm="1334">
        <f ca="1"/>
        <v>31.31</v>
      </c>
      <c r="J155" vm="2023">
        <f ca="1"/>
        <v>18.989999999999998</v>
      </c>
      <c r="K155" vm="2303">
        <f ca="1"/>
        <v>312.64</v>
      </c>
      <c r="L155" vm="2304">
        <f ca="1"/>
        <v>202.7</v>
      </c>
      <c r="M155" vm="2305">
        <f ca="1"/>
        <v>270.99</v>
      </c>
      <c r="N155" vm="2306">
        <f ca="1"/>
        <v>449.47</v>
      </c>
      <c r="O155" vm="2307">
        <f ca="1"/>
        <v>131.4</v>
      </c>
      <c r="P155" vm="2308">
        <f ca="1"/>
        <v>326.05</v>
      </c>
    </row>
    <row r="156" spans="1:16" x14ac:dyDescent="0.25">
      <c r="A156" vm="2309">
        <f ca="1"/>
        <v>45147</v>
      </c>
      <c r="B156" vm="2310">
        <f ca="1"/>
        <v>422.26</v>
      </c>
      <c r="C156" vm="2311">
        <f ca="1"/>
        <v>285.22000000000003</v>
      </c>
      <c r="D156" vm="2312">
        <f ca="1"/>
        <v>61.06</v>
      </c>
      <c r="E156" vm="2313">
        <f ca="1"/>
        <v>226.97</v>
      </c>
      <c r="F156" vm="2314">
        <f ca="1"/>
        <v>156.88999999999999</v>
      </c>
      <c r="G156" vm="2315">
        <f ca="1"/>
        <v>34.520000000000003</v>
      </c>
      <c r="H156" vm="2316">
        <f ca="1"/>
        <v>93.98</v>
      </c>
      <c r="I156" vm="525">
        <f ca="1"/>
        <v>31.11</v>
      </c>
      <c r="J156" vm="2317">
        <f ca="1"/>
        <v>18.57</v>
      </c>
      <c r="K156" vm="2318">
        <f ca="1"/>
        <v>305.20999999999998</v>
      </c>
      <c r="L156" vm="2319">
        <f ca="1"/>
        <v>203.44</v>
      </c>
      <c r="M156" vm="2320">
        <f ca="1"/>
        <v>270.55</v>
      </c>
      <c r="N156" vm="2173">
        <f ca="1"/>
        <v>452.81</v>
      </c>
      <c r="O156" vm="2321">
        <f ca="1"/>
        <v>129.66</v>
      </c>
      <c r="P156" vm="2322">
        <f ca="1"/>
        <v>322.23</v>
      </c>
    </row>
    <row r="157" spans="1:16" x14ac:dyDescent="0.25">
      <c r="A157" vm="2323">
        <f ca="1"/>
        <v>45148</v>
      </c>
      <c r="B157" vm="2324">
        <f ca="1"/>
        <v>412.76</v>
      </c>
      <c r="C157" vm="2325">
        <f ca="1"/>
        <v>285.8</v>
      </c>
      <c r="D157" vm="2298">
        <f ca="1"/>
        <v>60.92</v>
      </c>
      <c r="E157" vm="2326">
        <f ca="1"/>
        <v>227.23</v>
      </c>
      <c r="F157" vm="2327">
        <f ca="1"/>
        <v>156.11000000000001</v>
      </c>
      <c r="G157" vm="2328">
        <f ca="1"/>
        <v>34.39</v>
      </c>
      <c r="H157" vm="2329">
        <f ca="1"/>
        <v>94.8</v>
      </c>
      <c r="I157" vm="341">
        <f ca="1"/>
        <v>30.92</v>
      </c>
      <c r="J157" vm="2330">
        <f ca="1"/>
        <v>18.41</v>
      </c>
      <c r="K157" vm="2331">
        <f ca="1"/>
        <v>305.74</v>
      </c>
      <c r="L157" vm="2332">
        <f ca="1"/>
        <v>200.43</v>
      </c>
      <c r="M157" vm="2333">
        <f ca="1"/>
        <v>268.61</v>
      </c>
      <c r="N157" vm="2334">
        <f ca="1"/>
        <v>450.05</v>
      </c>
      <c r="O157" vm="2335">
        <f ca="1"/>
        <v>129.69</v>
      </c>
      <c r="P157" vm="2336">
        <f ca="1"/>
        <v>322.93</v>
      </c>
    </row>
    <row r="158" spans="1:16" x14ac:dyDescent="0.25">
      <c r="A158" vm="2337">
        <f ca="1"/>
        <v>45149</v>
      </c>
      <c r="B158" vm="2338">
        <f ca="1"/>
        <v>416.51</v>
      </c>
      <c r="C158" vm="1161">
        <f ca="1"/>
        <v>288.37</v>
      </c>
      <c r="D158" vm="2339">
        <f ca="1"/>
        <v>61.17</v>
      </c>
      <c r="E158" vm="2340">
        <f ca="1"/>
        <v>228</v>
      </c>
      <c r="F158" vm="2341">
        <f ca="1"/>
        <v>157.02000000000001</v>
      </c>
      <c r="G158" vm="2342">
        <f ca="1"/>
        <v>34.549999999999997</v>
      </c>
      <c r="H158" vm="2343">
        <f ca="1"/>
        <v>91.99</v>
      </c>
      <c r="I158" vm="605">
        <f ca="1"/>
        <v>30.75</v>
      </c>
      <c r="J158" vm="2344">
        <f ca="1"/>
        <v>18.28</v>
      </c>
      <c r="K158" vm="2345">
        <f ca="1"/>
        <v>301.64</v>
      </c>
      <c r="L158" vm="2346">
        <f ca="1"/>
        <v>200.17</v>
      </c>
      <c r="M158" vm="2347">
        <f ca="1"/>
        <v>267.68</v>
      </c>
      <c r="N158" vm="2348">
        <f ca="1"/>
        <v>454.05</v>
      </c>
      <c r="O158" vm="2349">
        <f ca="1"/>
        <v>129.56</v>
      </c>
      <c r="P158" vm="2350">
        <f ca="1"/>
        <v>321.01</v>
      </c>
    </row>
    <row r="159" spans="1:16" x14ac:dyDescent="0.25">
      <c r="A159" vm="2351">
        <f ca="1"/>
        <v>45152</v>
      </c>
      <c r="B159" vm="2352">
        <f ca="1"/>
        <v>413.82</v>
      </c>
      <c r="C159" vm="2353">
        <f ca="1"/>
        <v>286.60000000000002</v>
      </c>
      <c r="D159" vm="1542">
        <f ca="1"/>
        <v>60.88</v>
      </c>
      <c r="E159" vm="2354">
        <f ca="1"/>
        <v>229.14</v>
      </c>
      <c r="F159" vm="2355">
        <f ca="1"/>
        <v>155.79</v>
      </c>
      <c r="G159" vm="2356">
        <f ca="1"/>
        <v>34.24</v>
      </c>
      <c r="H159" vm="2357">
        <f ca="1"/>
        <v>93.07</v>
      </c>
      <c r="I159" vm="2358">
        <f ca="1"/>
        <v>30.82</v>
      </c>
      <c r="J159" vm="2184">
        <f ca="1"/>
        <v>18.66</v>
      </c>
      <c r="K159" vm="2359">
        <f ca="1"/>
        <v>306.19</v>
      </c>
      <c r="L159" vm="2360">
        <f ca="1"/>
        <v>203.54</v>
      </c>
      <c r="M159" vm="2361">
        <f ca="1"/>
        <v>267.64999999999998</v>
      </c>
      <c r="N159" vm="2362">
        <f ca="1"/>
        <v>450.08</v>
      </c>
      <c r="O159" vm="2363">
        <f ca="1"/>
        <v>131.33000000000001</v>
      </c>
      <c r="P159" vm="2364">
        <f ca="1"/>
        <v>324.04000000000002</v>
      </c>
    </row>
    <row r="160" spans="1:16" x14ac:dyDescent="0.25">
      <c r="A160" vm="2365">
        <f ca="1"/>
        <v>45153</v>
      </c>
      <c r="B160" vm="2366">
        <f ca="1"/>
        <v>408.76</v>
      </c>
      <c r="C160" vm="2367">
        <f ca="1"/>
        <v>281.87</v>
      </c>
      <c r="D160" vm="1708">
        <f ca="1"/>
        <v>60.47</v>
      </c>
      <c r="E160" vm="2368">
        <f ca="1"/>
        <v>229.5</v>
      </c>
      <c r="F160" vm="2369">
        <f ca="1"/>
        <v>154.79</v>
      </c>
      <c r="G160" vm="2370">
        <f ca="1"/>
        <v>33.76</v>
      </c>
      <c r="H160" vm="2371">
        <f ca="1"/>
        <v>91.68</v>
      </c>
      <c r="I160" vm="2372">
        <f ca="1"/>
        <v>30.28</v>
      </c>
      <c r="J160" vm="1829">
        <f ca="1"/>
        <v>18.78</v>
      </c>
      <c r="K160" vm="2373">
        <f ca="1"/>
        <v>301.95</v>
      </c>
      <c r="L160" vm="2374">
        <f ca="1"/>
        <v>203.2</v>
      </c>
      <c r="M160" vm="2375">
        <f ca="1"/>
        <v>265.7</v>
      </c>
      <c r="N160" vm="2376">
        <f ca="1"/>
        <v>443.58</v>
      </c>
      <c r="O160" vm="2377">
        <f ca="1"/>
        <v>129.78</v>
      </c>
      <c r="P160" vm="2378">
        <f ca="1"/>
        <v>321.86</v>
      </c>
    </row>
    <row r="161" spans="1:16" x14ac:dyDescent="0.25">
      <c r="A161" vm="2379">
        <f ca="1"/>
        <v>45154</v>
      </c>
      <c r="B161" vm="2380">
        <f ca="1"/>
        <v>406.32</v>
      </c>
      <c r="C161" vm="2381">
        <f ca="1"/>
        <v>280.10000000000002</v>
      </c>
      <c r="D161" vm="2382">
        <f ca="1"/>
        <v>60.48</v>
      </c>
      <c r="E161" vm="2383">
        <f ca="1"/>
        <v>227.27</v>
      </c>
      <c r="F161" vm="2384">
        <f ca="1"/>
        <v>153.21</v>
      </c>
      <c r="G161" vm="1771">
        <f ca="1"/>
        <v>33.56</v>
      </c>
      <c r="H161" vm="2385">
        <f ca="1"/>
        <v>91.78</v>
      </c>
      <c r="I161" vm="2386">
        <f ca="1"/>
        <v>30.19</v>
      </c>
      <c r="J161" vm="2125">
        <f ca="1"/>
        <v>18.75</v>
      </c>
      <c r="K161" vm="2387">
        <f ca="1"/>
        <v>294.29000000000002</v>
      </c>
      <c r="L161" vm="2388">
        <f ca="1"/>
        <v>200.77</v>
      </c>
      <c r="M161" vm="2389">
        <f ca="1"/>
        <v>262.82</v>
      </c>
      <c r="N161" vm="2390">
        <f ca="1"/>
        <v>445.13</v>
      </c>
      <c r="O161" vm="2391">
        <f ca="1"/>
        <v>128.69999999999999</v>
      </c>
      <c r="P161" vm="2392">
        <f ca="1"/>
        <v>320.39999999999998</v>
      </c>
    </row>
    <row r="162" spans="1:16" x14ac:dyDescent="0.25">
      <c r="A162" vm="2393">
        <f ca="1"/>
        <v>45155</v>
      </c>
      <c r="B162" vm="2394">
        <f ca="1"/>
        <v>399.05</v>
      </c>
      <c r="C162" vm="2395">
        <f ca="1"/>
        <v>271.58</v>
      </c>
      <c r="D162" vm="2396">
        <f ca="1"/>
        <v>60.61</v>
      </c>
      <c r="E162" vm="2397">
        <f ca="1"/>
        <v>224.05</v>
      </c>
      <c r="F162" vm="2180">
        <f ca="1"/>
        <v>152.11000000000001</v>
      </c>
      <c r="G162" vm="2398">
        <f ca="1"/>
        <v>33.49</v>
      </c>
      <c r="H162" vm="2399">
        <f ca="1"/>
        <v>91.64</v>
      </c>
      <c r="I162" vm="728">
        <f ca="1"/>
        <v>30.27</v>
      </c>
      <c r="J162" vm="2400">
        <f ca="1"/>
        <v>18.86</v>
      </c>
      <c r="K162" vm="2401">
        <f ca="1"/>
        <v>285.08999999999997</v>
      </c>
      <c r="L162" vm="2402">
        <f ca="1"/>
        <v>200.41</v>
      </c>
      <c r="M162" vm="2403">
        <f ca="1"/>
        <v>257.36</v>
      </c>
      <c r="N162" vm="2404">
        <f ca="1"/>
        <v>446.68</v>
      </c>
      <c r="O162" vm="2405">
        <f ca="1"/>
        <v>129.91999999999999</v>
      </c>
      <c r="P162" vm="2406">
        <f ca="1"/>
        <v>316.88</v>
      </c>
    </row>
    <row r="163" spans="1:16" x14ac:dyDescent="0.25">
      <c r="A163" vm="2407">
        <f ca="1"/>
        <v>45156</v>
      </c>
      <c r="B163" vm="2408">
        <f ca="1"/>
        <v>397.76</v>
      </c>
      <c r="C163" vm="2409">
        <f ca="1"/>
        <v>266.58999999999997</v>
      </c>
      <c r="D163" vm="2410">
        <f ca="1"/>
        <v>60.95</v>
      </c>
      <c r="E163" vm="2411">
        <f ca="1"/>
        <v>223.87</v>
      </c>
      <c r="F163" vm="2412">
        <f ca="1"/>
        <v>152.54</v>
      </c>
      <c r="G163" vm="2413">
        <f ca="1"/>
        <v>33.659999999999997</v>
      </c>
      <c r="H163" vm="2414">
        <f ca="1"/>
        <v>91.1</v>
      </c>
      <c r="I163" vm="2415">
        <f ca="1"/>
        <v>30.87</v>
      </c>
      <c r="J163" vm="2416">
        <f ca="1"/>
        <v>19.2</v>
      </c>
      <c r="K163" vm="2417">
        <f ca="1"/>
        <v>283.25</v>
      </c>
      <c r="L163" vm="2418">
        <f ca="1"/>
        <v>203.07</v>
      </c>
      <c r="M163" vm="2419">
        <f ca="1"/>
        <v>257.07</v>
      </c>
      <c r="N163" vm="2420">
        <f ca="1"/>
        <v>450.06</v>
      </c>
      <c r="O163" vm="2421">
        <f ca="1"/>
        <v>127.46</v>
      </c>
      <c r="P163" vm="2422">
        <f ca="1"/>
        <v>316.48</v>
      </c>
    </row>
    <row r="164" spans="1:16" x14ac:dyDescent="0.25">
      <c r="A164" vm="2423">
        <f ca="1"/>
        <v>45159</v>
      </c>
      <c r="B164" vm="2424">
        <f ca="1"/>
        <v>397.47</v>
      </c>
      <c r="C164" vm="2425">
        <f ca="1"/>
        <v>265.95</v>
      </c>
      <c r="D164" vm="800">
        <f ca="1"/>
        <v>60.43</v>
      </c>
      <c r="E164" vm="2426">
        <f ca="1"/>
        <v>222.76</v>
      </c>
      <c r="F164" vm="1108">
        <f ca="1"/>
        <v>151.77000000000001</v>
      </c>
      <c r="G164" vm="2427">
        <f ca="1"/>
        <v>33.479999999999997</v>
      </c>
      <c r="H164" vm="2428">
        <f ca="1"/>
        <v>92.56</v>
      </c>
      <c r="I164" vm="21">
        <f ca="1"/>
        <v>30.71</v>
      </c>
      <c r="J164" vm="2429">
        <f ca="1"/>
        <v>18.54</v>
      </c>
      <c r="K164" vm="2430">
        <f ca="1"/>
        <v>289.89999999999998</v>
      </c>
      <c r="L164" vm="2431">
        <f ca="1"/>
        <v>203.57</v>
      </c>
      <c r="M164" vm="2432">
        <f ca="1"/>
        <v>258.99</v>
      </c>
      <c r="N164" vm="2433">
        <f ca="1"/>
        <v>451.49</v>
      </c>
      <c r="O164" vm="2434">
        <f ca="1"/>
        <v>128.37</v>
      </c>
      <c r="P164" vm="2435">
        <f ca="1"/>
        <v>321.88</v>
      </c>
    </row>
    <row r="165" spans="1:16" x14ac:dyDescent="0.25">
      <c r="A165" vm="2436">
        <f ca="1"/>
        <v>45160</v>
      </c>
      <c r="B165" vm="2437">
        <f ca="1"/>
        <v>398.1</v>
      </c>
      <c r="C165" vm="2438">
        <f ca="1"/>
        <v>259.52999999999997</v>
      </c>
      <c r="D165" vm="2439">
        <f ca="1"/>
        <v>60.06</v>
      </c>
      <c r="E165" vm="2440">
        <f ca="1"/>
        <v>223.33</v>
      </c>
      <c r="F165" vm="2441">
        <f ca="1"/>
        <v>151.83000000000001</v>
      </c>
      <c r="G165" vm="1977">
        <f ca="1"/>
        <v>33.299999999999997</v>
      </c>
      <c r="H165" vm="2442">
        <f ca="1"/>
        <v>92.24</v>
      </c>
      <c r="I165" vm="2443">
        <f ca="1"/>
        <v>30.51</v>
      </c>
      <c r="J165" vm="2444">
        <f ca="1"/>
        <v>18.87</v>
      </c>
      <c r="K165" vm="2445">
        <f ca="1"/>
        <v>287.60000000000002</v>
      </c>
      <c r="L165" vm="2446">
        <f ca="1"/>
        <v>206.63</v>
      </c>
      <c r="M165" vm="2447">
        <f ca="1"/>
        <v>257.32</v>
      </c>
      <c r="N165" vm="2448">
        <f ca="1"/>
        <v>452.94</v>
      </c>
      <c r="O165" vm="2449">
        <f ca="1"/>
        <v>129.08000000000001</v>
      </c>
      <c r="P165" vm="2450">
        <f ca="1"/>
        <v>322.45999999999998</v>
      </c>
    </row>
    <row r="166" spans="1:16" x14ac:dyDescent="0.25">
      <c r="A166" vm="2451">
        <f ca="1"/>
        <v>45161</v>
      </c>
      <c r="B166" vm="2452">
        <f ca="1"/>
        <v>404.15</v>
      </c>
      <c r="C166" vm="2453">
        <f ca="1"/>
        <v>261.24</v>
      </c>
      <c r="D166" vm="2454">
        <f ca="1"/>
        <v>60.27</v>
      </c>
      <c r="E166" vm="2455">
        <f ca="1"/>
        <v>225.52</v>
      </c>
      <c r="F166" vm="2456">
        <f ca="1"/>
        <v>153.25</v>
      </c>
      <c r="G166" vm="2398">
        <f ca="1"/>
        <v>33.49</v>
      </c>
      <c r="H166" vm="2457">
        <f ca="1"/>
        <v>94.22</v>
      </c>
      <c r="I166" vm="2458">
        <f ca="1"/>
        <v>31</v>
      </c>
      <c r="J166" vm="2444">
        <f ca="1"/>
        <v>18.87</v>
      </c>
      <c r="K166" vm="2459">
        <f ca="1"/>
        <v>294.24</v>
      </c>
      <c r="L166" vm="2460">
        <f ca="1"/>
        <v>208.25</v>
      </c>
      <c r="M166" vm="2461">
        <f ca="1"/>
        <v>262.05</v>
      </c>
      <c r="N166" vm="2462">
        <f ca="1"/>
        <v>454.57</v>
      </c>
      <c r="O166" vm="2463">
        <f ca="1"/>
        <v>132.37</v>
      </c>
      <c r="P166" vm="2464">
        <f ca="1"/>
        <v>327</v>
      </c>
    </row>
    <row r="167" spans="1:16" x14ac:dyDescent="0.25">
      <c r="A167" vm="2465">
        <f ca="1"/>
        <v>45162</v>
      </c>
      <c r="B167" vm="2466">
        <f ca="1"/>
        <v>398.33</v>
      </c>
      <c r="C167" vm="2467">
        <f ca="1"/>
        <v>259.76</v>
      </c>
      <c r="D167" vm="2468">
        <f ca="1"/>
        <v>60.11</v>
      </c>
      <c r="E167" vm="2469">
        <f ca="1"/>
        <v>224.57</v>
      </c>
      <c r="F167" vm="2412">
        <f ca="1"/>
        <v>152.54</v>
      </c>
      <c r="G167" vm="2470">
        <f ca="1"/>
        <v>33.520000000000003</v>
      </c>
      <c r="H167" vm="2471">
        <f ca="1"/>
        <v>92.53</v>
      </c>
      <c r="I167" vm="1170">
        <f ca="1"/>
        <v>30.56</v>
      </c>
      <c r="J167" vm="2472">
        <f ca="1"/>
        <v>18.59</v>
      </c>
      <c r="K167" vm="2473">
        <f ca="1"/>
        <v>286.75</v>
      </c>
      <c r="L167" vm="2474">
        <f ca="1"/>
        <v>201.56</v>
      </c>
      <c r="M167" vm="2475">
        <f ca="1"/>
        <v>258.27</v>
      </c>
      <c r="N167" vm="1761">
        <f ca="1"/>
        <v>452.55</v>
      </c>
      <c r="O167" vm="2377">
        <f ca="1"/>
        <v>129.78</v>
      </c>
      <c r="P167" vm="2476">
        <f ca="1"/>
        <v>319.97000000000003</v>
      </c>
    </row>
    <row r="168" spans="1:16" x14ac:dyDescent="0.25">
      <c r="A168" vm="2477">
        <f ca="1"/>
        <v>45163</v>
      </c>
      <c r="B168" vm="2478">
        <f ca="1"/>
        <v>403.21</v>
      </c>
      <c r="C168" vm="2479">
        <f ca="1"/>
        <v>259.27999999999997</v>
      </c>
      <c r="D168" vm="2480">
        <f ca="1"/>
        <v>60.39</v>
      </c>
      <c r="E168" vm="2481">
        <f ca="1"/>
        <v>226.4</v>
      </c>
      <c r="F168" vm="2482">
        <f ca="1"/>
        <v>153.54</v>
      </c>
      <c r="G168" vm="2483">
        <f ca="1"/>
        <v>33.85</v>
      </c>
      <c r="H168" vm="2484">
        <f ca="1"/>
        <v>93.1</v>
      </c>
      <c r="I168" vm="71">
        <f ca="1"/>
        <v>30.91</v>
      </c>
      <c r="J168" vm="1889">
        <f ca="1"/>
        <v>18.670000000000002</v>
      </c>
      <c r="K168" vm="2485">
        <f ca="1"/>
        <v>285.5</v>
      </c>
      <c r="L168" vm="2486">
        <f ca="1"/>
        <v>205.27</v>
      </c>
      <c r="M168" vm="2487">
        <f ca="1"/>
        <v>259.49</v>
      </c>
      <c r="N168" vm="2488">
        <f ca="1"/>
        <v>451.09</v>
      </c>
      <c r="O168" vm="2489">
        <f ca="1"/>
        <v>129.88</v>
      </c>
      <c r="P168" vm="2490">
        <f ca="1"/>
        <v>322.98</v>
      </c>
    </row>
    <row r="169" spans="1:16" x14ac:dyDescent="0.25">
      <c r="A169" vm="2491">
        <f ca="1"/>
        <v>45166</v>
      </c>
      <c r="B169" vm="2492">
        <f ca="1"/>
        <v>408.54</v>
      </c>
      <c r="C169" vm="2493">
        <f ca="1"/>
        <v>262.61</v>
      </c>
      <c r="D169" vm="1956">
        <f ca="1"/>
        <v>60.56</v>
      </c>
      <c r="E169" vm="2494">
        <f ca="1"/>
        <v>227.83</v>
      </c>
      <c r="F169" vm="2152">
        <f ca="1"/>
        <v>153.78</v>
      </c>
      <c r="G169" vm="2495">
        <f ca="1"/>
        <v>33.840000000000003</v>
      </c>
      <c r="H169" vm="2496">
        <f ca="1"/>
        <v>94</v>
      </c>
      <c r="I169" vm="651">
        <f ca="1"/>
        <v>30.86</v>
      </c>
      <c r="J169" vm="2400">
        <f ca="1"/>
        <v>18.86</v>
      </c>
      <c r="K169" vm="2497">
        <f ca="1"/>
        <v>290.26</v>
      </c>
      <c r="L169" vm="2498">
        <f ca="1"/>
        <v>207.68</v>
      </c>
      <c r="M169" vm="2499">
        <f ca="1"/>
        <v>261.89999999999998</v>
      </c>
      <c r="N169" vm="2500">
        <f ca="1"/>
        <v>452.32</v>
      </c>
      <c r="O169" vm="2501">
        <f ca="1"/>
        <v>131.01</v>
      </c>
      <c r="P169" vm="2502">
        <f ca="1"/>
        <v>323.7</v>
      </c>
    </row>
    <row r="170" spans="1:16" x14ac:dyDescent="0.25">
      <c r="A170" vm="2503">
        <f ca="1"/>
        <v>45167</v>
      </c>
      <c r="B170" vm="2504">
        <f ca="1"/>
        <v>416.5</v>
      </c>
      <c r="C170" vm="2505">
        <f ca="1"/>
        <v>266.27</v>
      </c>
      <c r="D170" vm="2506">
        <f ca="1"/>
        <v>60.5</v>
      </c>
      <c r="E170" vm="2507">
        <f ca="1"/>
        <v>231.38</v>
      </c>
      <c r="F170" vm="2508">
        <f ca="1"/>
        <v>153.87</v>
      </c>
      <c r="G170" vm="2370">
        <f ca="1"/>
        <v>33.76</v>
      </c>
      <c r="H170" vm="2509">
        <f ca="1"/>
        <v>95.08</v>
      </c>
      <c r="I170" vm="605">
        <f ca="1"/>
        <v>30.75</v>
      </c>
      <c r="J170" vm="2510">
        <f ca="1"/>
        <v>18.23</v>
      </c>
      <c r="K170" vm="2511">
        <f ca="1"/>
        <v>297.99</v>
      </c>
      <c r="L170" vm="2512">
        <f ca="1"/>
        <v>208.6</v>
      </c>
      <c r="M170" vm="2513">
        <f ca="1"/>
        <v>261.27</v>
      </c>
      <c r="N170" vm="2514">
        <f ca="1"/>
        <v>448.4</v>
      </c>
      <c r="O170" vm="2515">
        <f ca="1"/>
        <v>134.57</v>
      </c>
      <c r="P170" vm="2516">
        <f ca="1"/>
        <v>328.41</v>
      </c>
    </row>
    <row r="171" spans="1:16" x14ac:dyDescent="0.25">
      <c r="A171" vm="2517">
        <f ca="1"/>
        <v>45168</v>
      </c>
      <c r="B171" vm="2518">
        <f ca="1"/>
        <v>418.83</v>
      </c>
      <c r="C171" vm="2519">
        <f ca="1"/>
        <v>264.11</v>
      </c>
      <c r="D171" vm="1708">
        <f ca="1"/>
        <v>60.47</v>
      </c>
      <c r="E171" vm="2520">
        <f ca="1"/>
        <v>232</v>
      </c>
      <c r="F171" vm="2521">
        <f ca="1"/>
        <v>154.04</v>
      </c>
      <c r="G171" vm="2522">
        <f ca="1"/>
        <v>33.67</v>
      </c>
      <c r="H171" vm="2523">
        <f ca="1"/>
        <v>94.78</v>
      </c>
      <c r="I171" vm="2524">
        <f ca="1"/>
        <v>30.73</v>
      </c>
      <c r="J171" vm="2525">
        <f ca="1"/>
        <v>18.96</v>
      </c>
      <c r="K171" vm="2526">
        <f ca="1"/>
        <v>295.10000000000002</v>
      </c>
      <c r="L171" vm="2527">
        <f ca="1"/>
        <v>209.64</v>
      </c>
      <c r="M171" vm="2528">
        <f ca="1"/>
        <v>260.86</v>
      </c>
      <c r="N171" vm="2529">
        <f ca="1"/>
        <v>452.41</v>
      </c>
      <c r="O171" vm="2530">
        <f ca="1"/>
        <v>135.88</v>
      </c>
      <c r="P171" vm="2531">
        <f ca="1"/>
        <v>328.79</v>
      </c>
    </row>
    <row r="172" spans="1:16" x14ac:dyDescent="0.25">
      <c r="A172" vm="2532">
        <f ca="1"/>
        <v>45169</v>
      </c>
      <c r="B172" vm="2533">
        <f ca="1"/>
        <v>416.9</v>
      </c>
      <c r="C172" vm="2534">
        <f ca="1"/>
        <v>263.02</v>
      </c>
      <c r="D172" vm="384">
        <f ca="1"/>
        <v>59.83</v>
      </c>
      <c r="E172" vm="2535">
        <f ca="1"/>
        <v>229.59</v>
      </c>
      <c r="F172" vm="2536">
        <f ca="1"/>
        <v>154.34</v>
      </c>
      <c r="G172" vm="1756">
        <f ca="1"/>
        <v>33.090000000000003</v>
      </c>
      <c r="H172" vm="2537">
        <f ca="1"/>
        <v>93.57</v>
      </c>
      <c r="I172" vm="2538">
        <f ca="1"/>
        <v>30.2</v>
      </c>
      <c r="J172" vm="2539">
        <f ca="1"/>
        <v>18.71</v>
      </c>
      <c r="K172" vm="2540">
        <f ca="1"/>
        <v>295.89</v>
      </c>
      <c r="L172" vm="2541">
        <f ca="1"/>
        <v>209.87</v>
      </c>
      <c r="M172" vm="2542">
        <f ca="1"/>
        <v>260.56</v>
      </c>
      <c r="N172" vm="2543">
        <f ca="1"/>
        <v>448.35</v>
      </c>
      <c r="O172" vm="2544">
        <f ca="1"/>
        <v>136.16999999999999</v>
      </c>
      <c r="P172" vm="2545">
        <f ca="1"/>
        <v>327.76</v>
      </c>
    </row>
    <row r="173" spans="1:16" x14ac:dyDescent="0.25">
      <c r="A173" vm="2546">
        <f ca="1"/>
        <v>45170</v>
      </c>
      <c r="B173" vm="2547">
        <f ca="1"/>
        <v>422.46</v>
      </c>
      <c r="C173" vm="2548">
        <f ca="1"/>
        <v>268.58999999999997</v>
      </c>
      <c r="D173" vm="1988">
        <f ca="1"/>
        <v>59.31</v>
      </c>
      <c r="E173" vm="2549">
        <f ca="1"/>
        <v>230.87</v>
      </c>
      <c r="F173" vm="2550">
        <f ca="1"/>
        <v>154.51</v>
      </c>
      <c r="G173" vm="1681">
        <f ca="1"/>
        <v>32.58</v>
      </c>
      <c r="H173" vm="2551">
        <f ca="1"/>
        <v>93.19</v>
      </c>
      <c r="I173" vm="2552">
        <f ca="1"/>
        <v>30.63</v>
      </c>
      <c r="J173" vm="1931">
        <f ca="1"/>
        <v>19.11</v>
      </c>
      <c r="K173" vm="2553">
        <f ca="1"/>
        <v>296.38</v>
      </c>
      <c r="L173" vm="2554">
        <f ca="1"/>
        <v>212.36</v>
      </c>
      <c r="M173" vm="2555">
        <f ca="1"/>
        <v>259.48</v>
      </c>
      <c r="N173" vm="2556">
        <f ca="1"/>
        <v>448.18</v>
      </c>
      <c r="O173" vm="2557">
        <f ca="1"/>
        <v>135.66</v>
      </c>
      <c r="P173" vm="2558">
        <f ca="1"/>
        <v>328.66</v>
      </c>
    </row>
    <row r="174" spans="1:16" x14ac:dyDescent="0.25">
      <c r="A174" vm="2559">
        <f ca="1"/>
        <v>45174</v>
      </c>
      <c r="B174" vm="2560">
        <f ca="1"/>
        <v>411.67</v>
      </c>
      <c r="C174" vm="2561">
        <f ca="1"/>
        <v>257.87</v>
      </c>
      <c r="D174" vm="2562">
        <f ca="1"/>
        <v>58.82</v>
      </c>
      <c r="E174" vm="2563">
        <f ca="1"/>
        <v>223.64</v>
      </c>
      <c r="F174" vm="2564">
        <f ca="1"/>
        <v>152.44</v>
      </c>
      <c r="G174" vm="2565">
        <f ca="1"/>
        <v>32.549999999999997</v>
      </c>
      <c r="H174" vm="2566">
        <f ca="1"/>
        <v>94.6</v>
      </c>
      <c r="I174" vm="2567">
        <f ca="1"/>
        <v>29.92</v>
      </c>
      <c r="J174" vm="2568">
        <f ca="1"/>
        <v>18.29</v>
      </c>
      <c r="K174" vm="2569">
        <f ca="1"/>
        <v>300.14999999999998</v>
      </c>
      <c r="L174" vm="2570">
        <f ca="1"/>
        <v>208.81</v>
      </c>
      <c r="M174" vm="2571">
        <f ca="1"/>
        <v>257.5</v>
      </c>
      <c r="N174" vm="2572">
        <f ca="1"/>
        <v>445.19</v>
      </c>
      <c r="O174" vm="2573">
        <f ca="1"/>
        <v>135.77000000000001</v>
      </c>
      <c r="P174" vm="2574">
        <f ca="1"/>
        <v>333.55</v>
      </c>
    </row>
    <row r="175" spans="1:16" x14ac:dyDescent="0.25">
      <c r="A175" vm="2575">
        <f ca="1"/>
        <v>45175</v>
      </c>
      <c r="B175" vm="2576">
        <f ca="1"/>
        <v>411.86</v>
      </c>
      <c r="C175" vm="2577">
        <f ca="1"/>
        <v>253.65</v>
      </c>
      <c r="D175" vm="2578">
        <f ca="1"/>
        <v>58.78</v>
      </c>
      <c r="E175" vm="2579">
        <f ca="1"/>
        <v>223.79</v>
      </c>
      <c r="F175" vm="2580">
        <f ca="1"/>
        <v>152.13999999999999</v>
      </c>
      <c r="G175" vm="2581">
        <f ca="1"/>
        <v>32.57</v>
      </c>
      <c r="H175" vm="2582">
        <f ca="1"/>
        <v>92.26</v>
      </c>
      <c r="I175" vm="2583">
        <f ca="1"/>
        <v>29.73</v>
      </c>
      <c r="J175" vm="2584">
        <f ca="1"/>
        <v>18.11</v>
      </c>
      <c r="K175" vm="2585">
        <f ca="1"/>
        <v>299.17</v>
      </c>
      <c r="L175" vm="2586">
        <f ca="1"/>
        <v>209.09</v>
      </c>
      <c r="M175" vm="2587">
        <f ca="1"/>
        <v>258.81</v>
      </c>
      <c r="N175" vm="2588">
        <f ca="1"/>
        <v>423.94</v>
      </c>
      <c r="O175" vm="2589">
        <f ca="1"/>
        <v>134.46</v>
      </c>
      <c r="P175" vm="1570">
        <f ca="1"/>
        <v>332.88</v>
      </c>
    </row>
    <row r="176" spans="1:16" x14ac:dyDescent="0.25">
      <c r="A176" vm="2590">
        <f ca="1"/>
        <v>45176</v>
      </c>
      <c r="B176" vm="2591">
        <f ca="1"/>
        <v>409.11</v>
      </c>
      <c r="C176" vm="2592">
        <f ca="1"/>
        <v>248.26</v>
      </c>
      <c r="D176" vm="2593">
        <f ca="1"/>
        <v>58.33</v>
      </c>
      <c r="E176" vm="2594">
        <f ca="1"/>
        <v>224.46</v>
      </c>
      <c r="F176" vm="2595">
        <f ca="1"/>
        <v>153.59</v>
      </c>
      <c r="G176" vm="2596">
        <f ca="1"/>
        <v>32.68</v>
      </c>
      <c r="H176" vm="2597">
        <f ca="1"/>
        <v>90.05</v>
      </c>
      <c r="I176" vm="759">
        <f ca="1"/>
        <v>29.49</v>
      </c>
      <c r="J176" vm="2598">
        <f ca="1"/>
        <v>18.309999999999999</v>
      </c>
      <c r="K176" vm="2599">
        <f ca="1"/>
        <v>298.67</v>
      </c>
      <c r="L176" vm="2600">
        <f ca="1"/>
        <v>208.7</v>
      </c>
      <c r="M176" vm="2601">
        <f ca="1"/>
        <v>259.56</v>
      </c>
      <c r="N176" vm="2602">
        <f ca="1"/>
        <v>425.94</v>
      </c>
      <c r="O176" vm="2603">
        <f ca="1"/>
        <v>135.26</v>
      </c>
      <c r="P176" vm="2604">
        <f ca="1"/>
        <v>329.91</v>
      </c>
    </row>
    <row r="177" spans="1:16" x14ac:dyDescent="0.25">
      <c r="A177" vm="2605">
        <f ca="1"/>
        <v>45177</v>
      </c>
      <c r="B177" vm="2606">
        <f ca="1"/>
        <v>409.2</v>
      </c>
      <c r="C177" vm="2607">
        <f ca="1"/>
        <v>251.36</v>
      </c>
      <c r="D177" vm="2593">
        <f ca="1"/>
        <v>58.33</v>
      </c>
      <c r="E177" vm="951">
        <f ca="1"/>
        <v>222.75</v>
      </c>
      <c r="F177" vm="2121">
        <f ca="1"/>
        <v>152.93</v>
      </c>
      <c r="G177" vm="2243">
        <f ca="1"/>
        <v>32.96</v>
      </c>
      <c r="H177" vm="2608">
        <f ca="1"/>
        <v>89.64</v>
      </c>
      <c r="I177" vm="2609">
        <f ca="1"/>
        <v>29.95</v>
      </c>
      <c r="J177" vm="2610">
        <f ca="1"/>
        <v>18.350000000000001</v>
      </c>
      <c r="K177" vm="2611">
        <f ca="1"/>
        <v>297.89</v>
      </c>
      <c r="L177" vm="2612">
        <f ca="1"/>
        <v>206.5</v>
      </c>
      <c r="M177" vm="2613">
        <f ca="1"/>
        <v>259.2</v>
      </c>
      <c r="N177" vm="2614">
        <f ca="1"/>
        <v>423.09</v>
      </c>
      <c r="O177" vm="2615">
        <f ca="1"/>
        <v>136.38</v>
      </c>
      <c r="P177" vm="2616">
        <f ca="1"/>
        <v>334.27</v>
      </c>
    </row>
    <row r="178" spans="1:16" x14ac:dyDescent="0.25">
      <c r="A178" vm="2617">
        <f ca="1"/>
        <v>45180</v>
      </c>
      <c r="B178" vm="2618">
        <f ca="1"/>
        <v>406.17</v>
      </c>
      <c r="C178" vm="2619">
        <f ca="1"/>
        <v>278.37</v>
      </c>
      <c r="D178" vm="2620">
        <f ca="1"/>
        <v>58.88</v>
      </c>
      <c r="E178" vm="2621">
        <f ca="1"/>
        <v>228.78</v>
      </c>
      <c r="F178" vm="2622">
        <f ca="1"/>
        <v>154.75</v>
      </c>
      <c r="G178" vm="2050">
        <f ca="1"/>
        <v>33.630000000000003</v>
      </c>
      <c r="H178" vm="2623">
        <f ca="1"/>
        <v>89.6</v>
      </c>
      <c r="I178" vm="2624">
        <f ca="1"/>
        <v>30.18</v>
      </c>
      <c r="J178" vm="2625">
        <f ca="1"/>
        <v>17.940000000000001</v>
      </c>
      <c r="K178" vm="2626">
        <f ca="1"/>
        <v>307.56</v>
      </c>
      <c r="L178" vm="2627">
        <f ca="1"/>
        <v>205.04</v>
      </c>
      <c r="M178" vm="2628">
        <f ca="1"/>
        <v>259.5</v>
      </c>
      <c r="N178" vm="2629">
        <f ca="1"/>
        <v>420.66</v>
      </c>
      <c r="O178" vm="2630">
        <f ca="1"/>
        <v>136.91999999999999</v>
      </c>
      <c r="P178" vm="2631">
        <f ca="1"/>
        <v>337.94</v>
      </c>
    </row>
    <row r="179" spans="1:16" x14ac:dyDescent="0.25">
      <c r="A179" vm="2632">
        <f ca="1"/>
        <v>45181</v>
      </c>
      <c r="B179" vm="2633">
        <f ca="1"/>
        <v>405.38</v>
      </c>
      <c r="C179" vm="2634">
        <f ca="1"/>
        <v>280.68</v>
      </c>
      <c r="D179" vm="2635">
        <f ca="1"/>
        <v>58.3</v>
      </c>
      <c r="E179" vm="2636">
        <f ca="1"/>
        <v>226.86</v>
      </c>
      <c r="F179" vm="2637">
        <f ca="1"/>
        <v>152.03</v>
      </c>
      <c r="G179" vm="1771">
        <f ca="1"/>
        <v>33.56</v>
      </c>
      <c r="H179" vm="2638">
        <f ca="1"/>
        <v>90.48</v>
      </c>
      <c r="I179" vm="557">
        <f ca="1"/>
        <v>30.59</v>
      </c>
      <c r="J179" vm="2639">
        <f ca="1"/>
        <v>18.02</v>
      </c>
      <c r="K179" vm="2640">
        <f ca="1"/>
        <v>301.66000000000003</v>
      </c>
      <c r="L179" vm="2641">
        <f ca="1"/>
        <v>204.49</v>
      </c>
      <c r="M179" vm="2642">
        <f ca="1"/>
        <v>260.67</v>
      </c>
      <c r="N179" vm="2643">
        <f ca="1"/>
        <v>417.83</v>
      </c>
      <c r="O179" vm="2644">
        <f ca="1"/>
        <v>135.34</v>
      </c>
      <c r="P179" vm="2645">
        <f ca="1"/>
        <v>331.77</v>
      </c>
    </row>
    <row r="180" spans="1:16" x14ac:dyDescent="0.25">
      <c r="A180" vm="2646">
        <f ca="1"/>
        <v>45182</v>
      </c>
      <c r="B180" vm="2647">
        <f ca="1"/>
        <v>390.03</v>
      </c>
      <c r="C180" vm="2648">
        <f ca="1"/>
        <v>277.52999999999997</v>
      </c>
      <c r="D180" vm="2649">
        <f ca="1"/>
        <v>58.44</v>
      </c>
      <c r="E180" vm="2650">
        <f ca="1"/>
        <v>230.43</v>
      </c>
      <c r="F180" vm="2651">
        <f ca="1"/>
        <v>153.09</v>
      </c>
      <c r="G180" vm="2652">
        <f ca="1"/>
        <v>33.19</v>
      </c>
      <c r="H180" vm="2653">
        <f ca="1"/>
        <v>91.22</v>
      </c>
      <c r="I180" vm="2654">
        <f ca="1"/>
        <v>30.5</v>
      </c>
      <c r="J180" vm="2655">
        <f ca="1"/>
        <v>17.53</v>
      </c>
      <c r="K180" vm="2656">
        <f ca="1"/>
        <v>305.06</v>
      </c>
      <c r="L180" vm="2657">
        <f ca="1"/>
        <v>200.33</v>
      </c>
      <c r="M180" vm="2658">
        <f ca="1"/>
        <v>260.18</v>
      </c>
      <c r="N180" vm="2659">
        <f ca="1"/>
        <v>420.99</v>
      </c>
      <c r="O180" vm="153">
        <f ca="1"/>
        <v>136.71</v>
      </c>
      <c r="P180" vm="2660">
        <f ca="1"/>
        <v>336.06</v>
      </c>
    </row>
    <row r="181" spans="1:16" x14ac:dyDescent="0.25">
      <c r="A181" vm="2661">
        <f ca="1"/>
        <v>45183</v>
      </c>
      <c r="B181" vm="2662">
        <f ca="1"/>
        <v>395.18</v>
      </c>
      <c r="C181" vm="2663">
        <f ca="1"/>
        <v>274.38</v>
      </c>
      <c r="D181" vm="2664">
        <f ca="1"/>
        <v>58.46</v>
      </c>
      <c r="E181" vm="2665">
        <f ca="1"/>
        <v>229.9</v>
      </c>
      <c r="F181" vm="2666">
        <f ca="1"/>
        <v>154.77000000000001</v>
      </c>
      <c r="G181" vm="2007">
        <f ca="1"/>
        <v>33.770000000000003</v>
      </c>
      <c r="H181" vm="2667">
        <f ca="1"/>
        <v>91.47</v>
      </c>
      <c r="I181" vm="2668">
        <f ca="1"/>
        <v>31.04</v>
      </c>
      <c r="J181" vm="2669">
        <f ca="1"/>
        <v>18.254999999999999</v>
      </c>
      <c r="K181" vm="2670">
        <f ca="1"/>
        <v>311.72000000000003</v>
      </c>
      <c r="L181" vm="2671">
        <f ca="1"/>
        <v>202.79</v>
      </c>
      <c r="M181" vm="2672">
        <f ca="1"/>
        <v>262.85000000000002</v>
      </c>
      <c r="N181" vm="2673">
        <f ca="1"/>
        <v>425.89</v>
      </c>
      <c r="O181" vm="2674">
        <f ca="1"/>
        <v>138.1</v>
      </c>
      <c r="P181" vm="2675">
        <f ca="1"/>
        <v>338.7</v>
      </c>
    </row>
    <row r="182" spans="1:16" x14ac:dyDescent="0.25">
      <c r="A182" vm="2676">
        <f ca="1"/>
        <v>45184</v>
      </c>
      <c r="B182" vm="2677">
        <f ca="1"/>
        <v>392.12</v>
      </c>
      <c r="C182" vm="2678">
        <f ca="1"/>
        <v>269.27999999999997</v>
      </c>
      <c r="D182" vm="2679">
        <f ca="1"/>
        <v>57.94</v>
      </c>
      <c r="E182" vm="2368">
        <f ca="1"/>
        <v>229.5</v>
      </c>
      <c r="F182" vm="2680">
        <f ca="1"/>
        <v>153.47</v>
      </c>
      <c r="G182" vm="2681">
        <f ca="1"/>
        <v>33.450000000000003</v>
      </c>
      <c r="H182" vm="2682">
        <f ca="1"/>
        <v>89.25</v>
      </c>
      <c r="I182" vm="2683">
        <f ca="1"/>
        <v>30.85</v>
      </c>
      <c r="J182" vm="2684">
        <f ca="1"/>
        <v>18.25</v>
      </c>
      <c r="K182" vm="2685">
        <f ca="1"/>
        <v>300.31</v>
      </c>
      <c r="L182" vm="2686">
        <f ca="1"/>
        <v>199.24</v>
      </c>
      <c r="M182" vm="2687">
        <f ca="1"/>
        <v>260.33999999999997</v>
      </c>
      <c r="N182" vm="2688">
        <f ca="1"/>
        <v>424.05</v>
      </c>
      <c r="O182" vm="2689">
        <f ca="1"/>
        <v>137.4</v>
      </c>
      <c r="P182" vm="2690">
        <f ca="1"/>
        <v>330.22</v>
      </c>
    </row>
    <row r="183" spans="1:16" x14ac:dyDescent="0.25">
      <c r="A183" vm="2691">
        <f ca="1"/>
        <v>45187</v>
      </c>
      <c r="B183" vm="2692">
        <f ca="1"/>
        <v>395.86</v>
      </c>
      <c r="C183" vm="2693">
        <f ca="1"/>
        <v>270.29000000000002</v>
      </c>
      <c r="D183" vm="2635">
        <f ca="1"/>
        <v>58.3</v>
      </c>
      <c r="E183" vm="2694">
        <f ca="1"/>
        <v>228.08</v>
      </c>
      <c r="F183" vm="2695">
        <f ca="1"/>
        <v>154.05000000000001</v>
      </c>
      <c r="G183" vm="2696">
        <f ca="1"/>
        <v>33.42</v>
      </c>
      <c r="H183" vm="2697">
        <f ca="1"/>
        <v>88.83</v>
      </c>
      <c r="I183" vm="2698">
        <f ca="1"/>
        <v>31.1</v>
      </c>
      <c r="J183" vm="1931">
        <f ca="1"/>
        <v>19.11</v>
      </c>
      <c r="K183" vm="2699">
        <f ca="1"/>
        <v>302.55</v>
      </c>
      <c r="L183" vm="2700">
        <f ca="1"/>
        <v>197.7</v>
      </c>
      <c r="M183" vm="2701">
        <f ca="1"/>
        <v>260.69</v>
      </c>
      <c r="N183" vm="2702">
        <f ca="1"/>
        <v>429.86</v>
      </c>
      <c r="O183" vm="2703">
        <f ca="1"/>
        <v>138.21</v>
      </c>
      <c r="P183" vm="2704">
        <f ca="1"/>
        <v>329.06</v>
      </c>
    </row>
    <row r="184" spans="1:16" x14ac:dyDescent="0.25">
      <c r="A184" vm="2705">
        <f ca="1"/>
        <v>45188</v>
      </c>
      <c r="B184" vm="2706">
        <f ca="1"/>
        <v>391.71</v>
      </c>
      <c r="C184" vm="2707">
        <f ca="1"/>
        <v>271.91000000000003</v>
      </c>
      <c r="D184" vm="2708">
        <f ca="1"/>
        <v>58.18</v>
      </c>
      <c r="E184" vm="2709">
        <f ca="1"/>
        <v>226.85</v>
      </c>
      <c r="F184" vm="2710">
        <f ca="1"/>
        <v>153.6</v>
      </c>
      <c r="G184" vm="2711">
        <f ca="1"/>
        <v>33.94</v>
      </c>
      <c r="H184" vm="2712">
        <f ca="1"/>
        <v>88.17</v>
      </c>
      <c r="I184" vm="71">
        <f ca="1"/>
        <v>30.91</v>
      </c>
      <c r="J184" vm="2023">
        <f ca="1"/>
        <v>18.989999999999998</v>
      </c>
      <c r="K184" vm="2713">
        <f ca="1"/>
        <v>305.07</v>
      </c>
      <c r="L184" vm="2053">
        <f ca="1"/>
        <v>196.13</v>
      </c>
      <c r="M184" vm="2714">
        <f ca="1"/>
        <v>260</v>
      </c>
      <c r="N184" vm="2715">
        <f ca="1"/>
        <v>425.31</v>
      </c>
      <c r="O184" vm="2716">
        <f ca="1"/>
        <v>138.04</v>
      </c>
      <c r="P184" vm="2717">
        <f ca="1"/>
        <v>328.65</v>
      </c>
    </row>
    <row r="185" spans="1:16" x14ac:dyDescent="0.25">
      <c r="A185" vm="2718">
        <f ca="1"/>
        <v>45189</v>
      </c>
      <c r="B185" vm="2719">
        <f ca="1"/>
        <v>390.46</v>
      </c>
      <c r="C185" vm="2720">
        <f ca="1"/>
        <v>266.22000000000003</v>
      </c>
      <c r="D185" vm="2649">
        <f ca="1"/>
        <v>58.44</v>
      </c>
      <c r="E185" vm="2721">
        <f ca="1"/>
        <v>225.27</v>
      </c>
      <c r="F185" vm="2680">
        <f ca="1"/>
        <v>153.47</v>
      </c>
      <c r="G185" vm="2722">
        <f ca="1"/>
        <v>34.020000000000003</v>
      </c>
      <c r="H185" vm="2723">
        <f ca="1"/>
        <v>87.29</v>
      </c>
      <c r="I185" vm="1334">
        <f ca="1"/>
        <v>31.31</v>
      </c>
      <c r="J185" vm="2724">
        <f ca="1"/>
        <v>19.350000000000001</v>
      </c>
      <c r="K185" vm="2725">
        <f ca="1"/>
        <v>299.67</v>
      </c>
      <c r="L185" vm="2726">
        <f ca="1"/>
        <v>195.25</v>
      </c>
      <c r="M185" vm="2499">
        <f ca="1"/>
        <v>261.89999999999998</v>
      </c>
      <c r="N185" vm="2727">
        <f ca="1"/>
        <v>426.95</v>
      </c>
      <c r="O185" vm="2728">
        <f ca="1"/>
        <v>133.74</v>
      </c>
      <c r="P185" vm="2729">
        <f ca="1"/>
        <v>320.77</v>
      </c>
    </row>
    <row r="186" spans="1:16" x14ac:dyDescent="0.25">
      <c r="A186" vm="2730">
        <f ca="1"/>
        <v>45190</v>
      </c>
      <c r="B186" vm="2731">
        <f ca="1"/>
        <v>381.61</v>
      </c>
      <c r="C186" vm="2732">
        <f ca="1"/>
        <v>255.91</v>
      </c>
      <c r="D186" vm="2733">
        <f ca="1"/>
        <v>57.54</v>
      </c>
      <c r="E186" vm="2734">
        <f ca="1"/>
        <v>220.67</v>
      </c>
      <c r="F186" vm="2580">
        <f ca="1"/>
        <v>152.13999999999999</v>
      </c>
      <c r="G186" vm="2735">
        <f ca="1"/>
        <v>34.49</v>
      </c>
      <c r="H186" vm="2736">
        <f ca="1"/>
        <v>85.36</v>
      </c>
      <c r="I186" vm="2737">
        <f ca="1"/>
        <v>31.02</v>
      </c>
      <c r="J186" vm="2738">
        <f ca="1"/>
        <v>19.309999999999999</v>
      </c>
      <c r="K186" vm="2739">
        <f ca="1"/>
        <v>295.73</v>
      </c>
      <c r="L186" vm="2740">
        <f ca="1"/>
        <v>186.47</v>
      </c>
      <c r="M186" vm="2741">
        <f ca="1"/>
        <v>256.47000000000003</v>
      </c>
      <c r="N186" vm="2742">
        <f ca="1"/>
        <v>417.54</v>
      </c>
      <c r="O186" vm="2743">
        <f ca="1"/>
        <v>130.44</v>
      </c>
      <c r="P186" vm="2744">
        <f ca="1"/>
        <v>319.52999999999997</v>
      </c>
    </row>
    <row r="187" spans="1:16" x14ac:dyDescent="0.25">
      <c r="A187" vm="2745">
        <f ca="1"/>
        <v>45191</v>
      </c>
      <c r="B187" vm="2746">
        <f ca="1"/>
        <v>387.3</v>
      </c>
      <c r="C187" vm="2747">
        <f ca="1"/>
        <v>254.29</v>
      </c>
      <c r="D187" vm="2748">
        <f ca="1"/>
        <v>57.6</v>
      </c>
      <c r="E187" vm="2749">
        <f ca="1"/>
        <v>223.94</v>
      </c>
      <c r="F187" vm="2750">
        <f ca="1"/>
        <v>151.58000000000001</v>
      </c>
      <c r="G187" vm="2751">
        <f ca="1"/>
        <v>34.159999999999997</v>
      </c>
      <c r="H187" vm="2752">
        <f ca="1"/>
        <v>85.64</v>
      </c>
      <c r="I187" vm="2753">
        <f ca="1"/>
        <v>31.2</v>
      </c>
      <c r="J187" vm="2754">
        <f ca="1"/>
        <v>19.98</v>
      </c>
      <c r="K187" vm="2755">
        <f ca="1"/>
        <v>299.08</v>
      </c>
      <c r="L187" vm="2756">
        <f ca="1"/>
        <v>188.45</v>
      </c>
      <c r="M187" vm="2757">
        <f ca="1"/>
        <v>256.02999999999997</v>
      </c>
      <c r="N187" vm="2758">
        <f ca="1"/>
        <v>413.65</v>
      </c>
      <c r="O187" vm="2759">
        <f ca="1"/>
        <v>130.25</v>
      </c>
      <c r="P187" vm="2760">
        <f ca="1"/>
        <v>317.01</v>
      </c>
    </row>
    <row r="188" spans="1:16" x14ac:dyDescent="0.25">
      <c r="A188" vm="2761">
        <f ca="1"/>
        <v>45194</v>
      </c>
      <c r="B188" vm="2762">
        <f ca="1"/>
        <v>391.51</v>
      </c>
      <c r="C188" vm="2763">
        <f ca="1"/>
        <v>255.68</v>
      </c>
      <c r="D188" vm="2764">
        <f ca="1"/>
        <v>57</v>
      </c>
      <c r="E188" vm="2765">
        <f ca="1"/>
        <v>225.73</v>
      </c>
      <c r="F188" vm="132">
        <f ca="1"/>
        <v>150.66</v>
      </c>
      <c r="G188" vm="2766">
        <f ca="1"/>
        <v>34.32</v>
      </c>
      <c r="H188" vm="2767">
        <f ca="1"/>
        <v>86.24</v>
      </c>
      <c r="I188" vm="681">
        <f ca="1"/>
        <v>31.15</v>
      </c>
      <c r="J188" vm="2768">
        <f ca="1"/>
        <v>19.88</v>
      </c>
      <c r="K188" vm="2769">
        <f ca="1"/>
        <v>300.83</v>
      </c>
      <c r="L188" vm="2770">
        <f ca="1"/>
        <v>187.58</v>
      </c>
      <c r="M188" vm="2771">
        <f ca="1"/>
        <v>256.45</v>
      </c>
      <c r="N188" vm="2772">
        <f ca="1"/>
        <v>412.9</v>
      </c>
      <c r="O188" vm="2773">
        <f ca="1"/>
        <v>131.11000000000001</v>
      </c>
      <c r="P188" vm="2774">
        <f ca="1"/>
        <v>317.54000000000002</v>
      </c>
    </row>
    <row r="189" spans="1:16" x14ac:dyDescent="0.25">
      <c r="A189" vm="2775">
        <f ca="1"/>
        <v>45195</v>
      </c>
      <c r="B189" vm="2776">
        <f ca="1"/>
        <v>383.89</v>
      </c>
      <c r="C189" vm="2777">
        <f ca="1"/>
        <v>253.45</v>
      </c>
      <c r="D189" vm="2778">
        <f ca="1"/>
        <v>56.53</v>
      </c>
      <c r="E189" vm="2779">
        <f ca="1"/>
        <v>223.23</v>
      </c>
      <c r="F189" vm="2780">
        <f ca="1"/>
        <v>149.32</v>
      </c>
      <c r="G189" vm="2781">
        <f ca="1"/>
        <v>34.5</v>
      </c>
      <c r="H189" vm="2782">
        <f ca="1"/>
        <v>84.29</v>
      </c>
      <c r="I189" vm="2783">
        <f ca="1"/>
        <v>30.62</v>
      </c>
      <c r="J189" vm="2784">
        <f ca="1"/>
        <v>20.09</v>
      </c>
      <c r="K189" vm="2785">
        <f ca="1"/>
        <v>298.95999999999998</v>
      </c>
      <c r="L189" vm="2786">
        <f ca="1"/>
        <v>184.85</v>
      </c>
      <c r="M189" vm="2787">
        <f ca="1"/>
        <v>253.4</v>
      </c>
      <c r="N189" vm="2788">
        <f ca="1"/>
        <v>408.75</v>
      </c>
      <c r="O189" vm="2789">
        <f ca="1"/>
        <v>128.565</v>
      </c>
      <c r="P189" vm="2790">
        <f ca="1"/>
        <v>312.14</v>
      </c>
    </row>
    <row r="190" spans="1:16" x14ac:dyDescent="0.25">
      <c r="A190" vm="2791">
        <f ca="1"/>
        <v>45196</v>
      </c>
      <c r="B190" vm="2792">
        <f ca="1"/>
        <v>391.11</v>
      </c>
      <c r="C190" vm="2793">
        <f ca="1"/>
        <v>255.06</v>
      </c>
      <c r="D190" vm="2794">
        <f ca="1"/>
        <v>55.95</v>
      </c>
      <c r="E190" vm="2795">
        <f ca="1"/>
        <v>217.9</v>
      </c>
      <c r="F190" vm="2796">
        <f ca="1"/>
        <v>147.34</v>
      </c>
      <c r="G190" vm="2797">
        <f ca="1"/>
        <v>34.03</v>
      </c>
      <c r="H190" vm="2798">
        <f ca="1"/>
        <v>85.44</v>
      </c>
      <c r="I190" vm="2372">
        <f ca="1"/>
        <v>30.28</v>
      </c>
      <c r="J190" vm="2799">
        <f ca="1"/>
        <v>20.05</v>
      </c>
      <c r="K190" vm="2800">
        <f ca="1"/>
        <v>297.74</v>
      </c>
      <c r="L190" vm="2801">
        <f ca="1"/>
        <v>190.12</v>
      </c>
      <c r="M190" vm="2802">
        <f ca="1"/>
        <v>250.59</v>
      </c>
      <c r="N190" vm="2803">
        <f ca="1"/>
        <v>408.72</v>
      </c>
      <c r="O190" vm="2804">
        <f ca="1"/>
        <v>130.54</v>
      </c>
      <c r="P190" vm="2805">
        <f ca="1"/>
        <v>312.79000000000002</v>
      </c>
    </row>
    <row r="191" spans="1:16" x14ac:dyDescent="0.25">
      <c r="A191" vm="2806">
        <f ca="1"/>
        <v>45197</v>
      </c>
      <c r="B191" vm="2807">
        <f ca="1"/>
        <v>392.43</v>
      </c>
      <c r="C191" vm="2808">
        <f ca="1"/>
        <v>259.39</v>
      </c>
      <c r="D191" vm="2809">
        <f ca="1"/>
        <v>55.81</v>
      </c>
      <c r="E191" vm="2810">
        <f ca="1"/>
        <v>222.19</v>
      </c>
      <c r="F191" vm="2811">
        <f ca="1"/>
        <v>146.34</v>
      </c>
      <c r="G191" vm="2077">
        <f ca="1"/>
        <v>33.75</v>
      </c>
      <c r="H191" vm="2812">
        <f ca="1"/>
        <v>86.41</v>
      </c>
      <c r="I191" vm="2813">
        <f ca="1"/>
        <v>30.57</v>
      </c>
      <c r="J191" vm="2814">
        <f ca="1"/>
        <v>20.64</v>
      </c>
      <c r="K191" vm="2815">
        <f ca="1"/>
        <v>303.95999999999998</v>
      </c>
      <c r="L191" vm="2816">
        <f ca="1"/>
        <v>188.92</v>
      </c>
      <c r="M191" vm="2817">
        <f ca="1"/>
        <v>251.61</v>
      </c>
      <c r="N191" vm="2818">
        <f ca="1"/>
        <v>410.96</v>
      </c>
      <c r="O191" vm="2819">
        <f ca="1"/>
        <v>132.31</v>
      </c>
      <c r="P191" vm="2820">
        <f ca="1"/>
        <v>313.64</v>
      </c>
    </row>
    <row r="192" spans="1:16" x14ac:dyDescent="0.25">
      <c r="A192" vm="2821">
        <f ca="1"/>
        <v>45198</v>
      </c>
      <c r="B192" vm="2822">
        <f ca="1"/>
        <v>389.52</v>
      </c>
      <c r="C192" vm="2823">
        <f ca="1"/>
        <v>259.26</v>
      </c>
      <c r="D192" vm="2824">
        <f ca="1"/>
        <v>55.98</v>
      </c>
      <c r="E192" vm="2825">
        <f ca="1"/>
        <v>219.42</v>
      </c>
      <c r="F192" vm="2826">
        <f ca="1"/>
        <v>145.86000000000001</v>
      </c>
      <c r="G192" vm="2827">
        <f ca="1"/>
        <v>33.64</v>
      </c>
      <c r="H192" vm="2828">
        <f ca="1"/>
        <v>86.9</v>
      </c>
      <c r="I192" vm="605">
        <f ca="1"/>
        <v>30.75</v>
      </c>
      <c r="J192" vm="2829">
        <f ca="1"/>
        <v>19.91</v>
      </c>
      <c r="K192" vm="2830">
        <f ca="1"/>
        <v>300.20999999999998</v>
      </c>
      <c r="L192" vm="1196">
        <f ca="1"/>
        <v>187.07</v>
      </c>
      <c r="M192" vm="2831">
        <f ca="1"/>
        <v>251.33</v>
      </c>
      <c r="N192" vm="2832">
        <f ca="1"/>
        <v>408.96</v>
      </c>
      <c r="O192" vm="2833">
        <f ca="1"/>
        <v>130.86000000000001</v>
      </c>
      <c r="P192" vm="2834">
        <f ca="1"/>
        <v>315.75</v>
      </c>
    </row>
    <row r="193" spans="1:16" x14ac:dyDescent="0.25">
      <c r="A193" vm="2835">
        <f ca="1"/>
        <v>45201</v>
      </c>
      <c r="B193" vm="2836">
        <f ca="1"/>
        <v>385.24</v>
      </c>
      <c r="C193" vm="2837">
        <f ca="1"/>
        <v>251.73</v>
      </c>
      <c r="D193" vm="2838">
        <f ca="1"/>
        <v>55.48</v>
      </c>
      <c r="E193" vm="2839">
        <f ca="1"/>
        <v>215.5</v>
      </c>
      <c r="F193" vm="2840">
        <f ca="1"/>
        <v>145.19</v>
      </c>
      <c r="G193" vm="1756">
        <f ca="1"/>
        <v>33.090000000000003</v>
      </c>
      <c r="H193" vm="2841">
        <f ca="1"/>
        <v>87.65</v>
      </c>
      <c r="I193" vm="697">
        <f ca="1"/>
        <v>30.54</v>
      </c>
      <c r="J193" vm="2842">
        <f ca="1"/>
        <v>20.49</v>
      </c>
      <c r="K193" vm="2843">
        <f ca="1"/>
        <v>306.82</v>
      </c>
      <c r="L193" vm="2844">
        <f ca="1"/>
        <v>176.64</v>
      </c>
      <c r="M193" vm="2845">
        <f ca="1"/>
        <v>248.64</v>
      </c>
      <c r="N193" vm="2846">
        <f ca="1"/>
        <v>407.82</v>
      </c>
      <c r="O193" vm="2847">
        <f ca="1"/>
        <v>134.16999999999999</v>
      </c>
      <c r="P193" vm="2848">
        <f ca="1"/>
        <v>321.8</v>
      </c>
    </row>
    <row r="194" spans="1:16" x14ac:dyDescent="0.25">
      <c r="A194" vm="2849">
        <f ca="1"/>
        <v>45202</v>
      </c>
      <c r="B194" vm="2850">
        <f ca="1"/>
        <v>381.95</v>
      </c>
      <c r="C194" vm="2851">
        <f ca="1"/>
        <v>251.13</v>
      </c>
      <c r="D194" vm="2852">
        <f ca="1"/>
        <v>54.88</v>
      </c>
      <c r="E194" vm="2853">
        <f ca="1"/>
        <v>218.28</v>
      </c>
      <c r="F194" vm="2854">
        <f ca="1"/>
        <v>145.49</v>
      </c>
      <c r="G194" vm="1828">
        <f ca="1"/>
        <v>33.11</v>
      </c>
      <c r="H194" vm="2855">
        <f ca="1"/>
        <v>85.41</v>
      </c>
      <c r="I194" vm="620">
        <f ca="1"/>
        <v>30.77</v>
      </c>
      <c r="J194" vm="2768">
        <f ca="1"/>
        <v>19.88</v>
      </c>
      <c r="K194" vm="2856">
        <f ca="1"/>
        <v>300.94</v>
      </c>
      <c r="L194" vm="2857">
        <f ca="1"/>
        <v>169.37</v>
      </c>
      <c r="M194" vm="1882">
        <f ca="1"/>
        <v>248.33</v>
      </c>
      <c r="N194" vm="2858">
        <f ca="1"/>
        <v>403.83</v>
      </c>
      <c r="O194" vm="2859">
        <f ca="1"/>
        <v>132.43</v>
      </c>
      <c r="P194" vm="2860">
        <f ca="1"/>
        <v>313.39</v>
      </c>
    </row>
    <row r="195" spans="1:16" x14ac:dyDescent="0.25">
      <c r="A195" vm="2861">
        <f ca="1"/>
        <v>45203</v>
      </c>
      <c r="B195" vm="2862">
        <f ca="1"/>
        <v>384.59</v>
      </c>
      <c r="C195" vm="2863">
        <f ca="1"/>
        <v>255.76</v>
      </c>
      <c r="D195" vm="2864">
        <f ca="1"/>
        <v>55.04</v>
      </c>
      <c r="E195" vm="2865">
        <f ca="1"/>
        <v>222.56</v>
      </c>
      <c r="F195" vm="2866">
        <f ca="1"/>
        <v>145.97</v>
      </c>
      <c r="G195" vm="2867">
        <f ca="1"/>
        <v>33.28</v>
      </c>
      <c r="H195" vm="2868">
        <f ca="1"/>
        <v>86.67</v>
      </c>
      <c r="I195" vm="2683">
        <f ca="1"/>
        <v>30.85</v>
      </c>
      <c r="J195" vm="2869">
        <f ca="1"/>
        <v>20.07</v>
      </c>
      <c r="K195" vm="2870">
        <f ca="1"/>
        <v>305.58</v>
      </c>
      <c r="L195" vm="2871">
        <f ca="1"/>
        <v>171.75</v>
      </c>
      <c r="M195" vm="2872">
        <f ca="1"/>
        <v>249.36</v>
      </c>
      <c r="N195" vm="2873">
        <f ca="1"/>
        <v>401.33</v>
      </c>
      <c r="O195" vm="2874">
        <f ca="1"/>
        <v>135.24</v>
      </c>
      <c r="P195" vm="2875">
        <f ca="1"/>
        <v>318.95499999999998</v>
      </c>
    </row>
    <row r="196" spans="1:16" x14ac:dyDescent="0.25">
      <c r="A196" vm="2876">
        <f ca="1"/>
        <v>45204</v>
      </c>
      <c r="B196" vm="2877">
        <f ca="1"/>
        <v>383.68</v>
      </c>
      <c r="C196" vm="2878">
        <f ca="1"/>
        <v>258.13</v>
      </c>
      <c r="D196" vm="2879">
        <f ca="1"/>
        <v>52.38</v>
      </c>
      <c r="E196" vm="2880">
        <f ca="1"/>
        <v>222.46</v>
      </c>
      <c r="F196" vm="2881">
        <f ca="1"/>
        <v>143.80000000000001</v>
      </c>
      <c r="G196" vm="2882">
        <f ca="1"/>
        <v>32.32</v>
      </c>
      <c r="H196" vm="2883">
        <f ca="1"/>
        <v>87.03</v>
      </c>
      <c r="I196" vm="1155">
        <f ca="1"/>
        <v>30.41</v>
      </c>
      <c r="J196" vm="2884">
        <f ca="1"/>
        <v>19.489999999999998</v>
      </c>
      <c r="K196" vm="2885">
        <f ca="1"/>
        <v>304.79000000000002</v>
      </c>
      <c r="L196" vm="2886">
        <f ca="1"/>
        <v>168.23</v>
      </c>
      <c r="M196" vm="2887">
        <f ca="1"/>
        <v>241.33</v>
      </c>
      <c r="N196" vm="2888">
        <f ca="1"/>
        <v>397.35</v>
      </c>
      <c r="O196" vm="2889">
        <f ca="1"/>
        <v>135.07</v>
      </c>
      <c r="P196" vm="2890">
        <f ca="1"/>
        <v>319.36</v>
      </c>
    </row>
    <row r="197" spans="1:16" x14ac:dyDescent="0.25">
      <c r="A197" vm="2891">
        <f ca="1"/>
        <v>45205</v>
      </c>
      <c r="B197" vm="2892">
        <f ca="1"/>
        <v>391.72</v>
      </c>
      <c r="C197" vm="2893">
        <f ca="1"/>
        <v>262.33</v>
      </c>
      <c r="D197" vm="2894">
        <f ca="1"/>
        <v>53.14</v>
      </c>
      <c r="E197" vm="2895">
        <f ca="1"/>
        <v>224.23</v>
      </c>
      <c r="F197" vm="2896">
        <f ca="1"/>
        <v>144.09</v>
      </c>
      <c r="G197" vm="2897">
        <f ca="1"/>
        <v>32.03</v>
      </c>
      <c r="H197" vm="789">
        <f ca="1"/>
        <v>89.29</v>
      </c>
      <c r="I197" vm="71">
        <f ca="1"/>
        <v>30.91</v>
      </c>
      <c r="J197" vm="2898">
        <f ca="1"/>
        <v>20.190000000000001</v>
      </c>
      <c r="K197" vm="2899">
        <f ca="1"/>
        <v>315.43</v>
      </c>
      <c r="L197" vm="2900">
        <f ca="1"/>
        <v>172.71</v>
      </c>
      <c r="M197" vm="2901">
        <f ca="1"/>
        <v>236.61</v>
      </c>
      <c r="N197" vm="2902">
        <f ca="1"/>
        <v>400.73</v>
      </c>
      <c r="O197" vm="725">
        <f ca="1"/>
        <v>137.58000000000001</v>
      </c>
      <c r="P197" vm="2903">
        <f ca="1"/>
        <v>327.26</v>
      </c>
    </row>
    <row r="198" spans="1:16" x14ac:dyDescent="0.25">
      <c r="A198" vm="2904">
        <f ca="1"/>
        <v>45208</v>
      </c>
      <c r="B198" vm="2905">
        <f ca="1"/>
        <v>395.41</v>
      </c>
      <c r="C198" vm="2906">
        <f ca="1"/>
        <v>264.2</v>
      </c>
      <c r="D198" vm="2907">
        <f ca="1"/>
        <v>52.88</v>
      </c>
      <c r="E198" vm="997">
        <f ca="1"/>
        <v>225.81</v>
      </c>
      <c r="F198" vm="2908">
        <f ca="1"/>
        <v>143.36000000000001</v>
      </c>
      <c r="G198" vm="151">
        <f ca="1"/>
        <v>32.49</v>
      </c>
      <c r="H198" vm="181">
        <f ca="1"/>
        <v>88.99</v>
      </c>
      <c r="I198" vm="2909">
        <f ca="1"/>
        <v>31.08</v>
      </c>
      <c r="J198" vm="2910">
        <f ca="1"/>
        <v>20.5</v>
      </c>
      <c r="K198" vm="2911">
        <f ca="1"/>
        <v>318.36</v>
      </c>
      <c r="L198" vm="2912">
        <f ca="1"/>
        <v>173.89</v>
      </c>
      <c r="M198" vm="2913">
        <f ca="1"/>
        <v>235.09</v>
      </c>
      <c r="N198" vm="2914">
        <f ca="1"/>
        <v>436.53</v>
      </c>
      <c r="O198" vm="2915">
        <f ca="1"/>
        <v>138.41999999999999</v>
      </c>
      <c r="P198" vm="2916">
        <f ca="1"/>
        <v>329.82</v>
      </c>
    </row>
    <row r="199" spans="1:16" x14ac:dyDescent="0.25">
      <c r="A199" vm="2917">
        <f ca="1"/>
        <v>45209</v>
      </c>
      <c r="B199" vm="2918">
        <f ca="1"/>
        <v>397.26</v>
      </c>
      <c r="C199" vm="2919">
        <f ca="1"/>
        <v>263.37</v>
      </c>
      <c r="D199" vm="2920">
        <f ca="1"/>
        <v>54.03</v>
      </c>
      <c r="E199" vm="2921">
        <f ca="1"/>
        <v>227.52</v>
      </c>
      <c r="F199" vm="2922">
        <f ca="1"/>
        <v>144.78</v>
      </c>
      <c r="G199" vm="2923">
        <f ca="1"/>
        <v>32.47</v>
      </c>
      <c r="H199" vm="2924">
        <f ca="1"/>
        <v>90.61</v>
      </c>
      <c r="I199" vm="2925">
        <f ca="1"/>
        <v>31.54</v>
      </c>
      <c r="J199" vm="2926">
        <f ca="1"/>
        <v>21.454999999999998</v>
      </c>
      <c r="K199" vm="2927">
        <f ca="1"/>
        <v>321.83999999999997</v>
      </c>
      <c r="L199" vm="2928">
        <f ca="1"/>
        <v>177.63</v>
      </c>
      <c r="M199" vm="2929">
        <f ca="1"/>
        <v>237.9</v>
      </c>
      <c r="N199" vm="2930">
        <f ca="1"/>
        <v>435.1</v>
      </c>
      <c r="O199" vm="2931">
        <f ca="1"/>
        <v>138.06</v>
      </c>
      <c r="P199" vm="1615">
        <f ca="1"/>
        <v>328.39</v>
      </c>
    </row>
    <row r="200" spans="1:16" x14ac:dyDescent="0.25">
      <c r="A200" vm="2932">
        <f ca="1"/>
        <v>45210</v>
      </c>
      <c r="B200" vm="2933">
        <f ca="1"/>
        <v>407.29</v>
      </c>
      <c r="C200" vm="2934">
        <f ca="1"/>
        <v>267.57</v>
      </c>
      <c r="D200" vm="2935">
        <f ca="1"/>
        <v>53.71</v>
      </c>
      <c r="E200" vm="171">
        <f ca="1"/>
        <v>225</v>
      </c>
      <c r="F200" vm="2936">
        <f ca="1"/>
        <v>143</v>
      </c>
      <c r="G200" vm="2937">
        <f ca="1"/>
        <v>32.44</v>
      </c>
      <c r="H200" vm="671">
        <f ca="1"/>
        <v>92</v>
      </c>
      <c r="I200" vm="1531">
        <f ca="1"/>
        <v>31.61</v>
      </c>
      <c r="J200" vm="2938">
        <f ca="1"/>
        <v>22.25</v>
      </c>
      <c r="K200" vm="2939">
        <f ca="1"/>
        <v>327.82</v>
      </c>
      <c r="L200" vm="2940">
        <f ca="1"/>
        <v>179.32</v>
      </c>
      <c r="M200" vm="2941">
        <f ca="1"/>
        <v>239</v>
      </c>
      <c r="N200" vm="2942">
        <f ca="1"/>
        <v>436.65</v>
      </c>
      <c r="O200" vm="2943">
        <f ca="1"/>
        <v>140.55000000000001</v>
      </c>
      <c r="P200" vm="2944">
        <f ca="1"/>
        <v>332.42</v>
      </c>
    </row>
    <row r="201" spans="1:16" x14ac:dyDescent="0.25">
      <c r="A201" vm="2945">
        <f ca="1"/>
        <v>45211</v>
      </c>
      <c r="B201" vm="2946">
        <f ca="1"/>
        <v>406.87</v>
      </c>
      <c r="C201" vm="2947">
        <f ca="1"/>
        <v>257.95999999999998</v>
      </c>
      <c r="D201" vm="2948">
        <f ca="1"/>
        <v>52.81</v>
      </c>
      <c r="E201" vm="2949">
        <f ca="1"/>
        <v>219.69</v>
      </c>
      <c r="F201" vm="2950">
        <f ca="1"/>
        <v>143.32</v>
      </c>
      <c r="G201" vm="1185">
        <f ca="1"/>
        <v>30.81</v>
      </c>
      <c r="H201" vm="2951">
        <f ca="1"/>
        <v>92.42</v>
      </c>
      <c r="I201" vm="2952">
        <f ca="1"/>
        <v>31.16</v>
      </c>
      <c r="J201" vm="2953">
        <f ca="1"/>
        <v>22.69</v>
      </c>
      <c r="K201" vm="2954">
        <f ca="1"/>
        <v>324.16000000000003</v>
      </c>
      <c r="L201" vm="2955">
        <f ca="1"/>
        <v>177.91</v>
      </c>
      <c r="M201" vm="2956">
        <f ca="1"/>
        <v>228.39</v>
      </c>
      <c r="N201" vm="2957">
        <f ca="1"/>
        <v>434.14</v>
      </c>
      <c r="O201" vm="2958">
        <f ca="1"/>
        <v>138.97</v>
      </c>
      <c r="P201" vm="2959">
        <f ca="1"/>
        <v>331.16</v>
      </c>
    </row>
    <row r="202" spans="1:16" x14ac:dyDescent="0.25">
      <c r="A202" vm="2960">
        <f ca="1"/>
        <v>45212</v>
      </c>
      <c r="B202" vm="2961">
        <f ca="1"/>
        <v>392.93</v>
      </c>
      <c r="C202" vm="2962">
        <f ca="1"/>
        <v>256.22000000000003</v>
      </c>
      <c r="D202" vm="2963">
        <f ca="1"/>
        <v>52.89</v>
      </c>
      <c r="E202" vm="2964">
        <f ca="1"/>
        <v>222.32</v>
      </c>
      <c r="F202" vm="2965">
        <f ca="1"/>
        <v>144.69</v>
      </c>
      <c r="G202" vm="2966">
        <f ca="1"/>
        <v>31.43</v>
      </c>
      <c r="H202" vm="2967">
        <f ca="1"/>
        <v>90.46</v>
      </c>
      <c r="I202" vm="2968">
        <f ca="1"/>
        <v>31.14</v>
      </c>
      <c r="J202" vm="2969">
        <f ca="1"/>
        <v>23.12</v>
      </c>
      <c r="K202" vm="2970">
        <f ca="1"/>
        <v>314.69</v>
      </c>
      <c r="L202" vm="2971">
        <f ca="1"/>
        <v>173.53</v>
      </c>
      <c r="M202" vm="2972">
        <f ca="1"/>
        <v>231.69</v>
      </c>
      <c r="N202" vm="2973">
        <f ca="1"/>
        <v>441.06</v>
      </c>
      <c r="O202" vm="2974">
        <f ca="1"/>
        <v>137.36000000000001</v>
      </c>
      <c r="P202" vm="2975">
        <f ca="1"/>
        <v>327.73</v>
      </c>
    </row>
    <row r="203" spans="1:16" x14ac:dyDescent="0.25">
      <c r="A203" vm="2976">
        <f ca="1"/>
        <v>45215</v>
      </c>
      <c r="B203" vm="2977">
        <f ca="1"/>
        <v>396.99</v>
      </c>
      <c r="C203" vm="2978">
        <f ca="1"/>
        <v>264.08</v>
      </c>
      <c r="D203" vm="2979">
        <f ca="1"/>
        <v>53.43</v>
      </c>
      <c r="E203" vm="2980">
        <f ca="1"/>
        <v>224.04</v>
      </c>
      <c r="F203" vm="2981">
        <f ca="1"/>
        <v>146.07</v>
      </c>
      <c r="G203" vm="2982">
        <f ca="1"/>
        <v>31.58</v>
      </c>
      <c r="H203" vm="2653">
        <f ca="1"/>
        <v>91.22</v>
      </c>
      <c r="I203" vm="2983">
        <f ca="1"/>
        <v>31.41</v>
      </c>
      <c r="J203" vm="2984">
        <f ca="1"/>
        <v>23.45</v>
      </c>
      <c r="K203" vm="2985">
        <f ca="1"/>
        <v>321.14999999999998</v>
      </c>
      <c r="L203" vm="2986">
        <f ca="1"/>
        <v>176.38</v>
      </c>
      <c r="M203" vm="2987">
        <f ca="1"/>
        <v>234.79</v>
      </c>
      <c r="N203" vm="2988">
        <f ca="1"/>
        <v>440.41</v>
      </c>
      <c r="O203" vm="2989">
        <f ca="1"/>
        <v>139.095</v>
      </c>
      <c r="P203" vm="2990">
        <f ca="1"/>
        <v>332.64</v>
      </c>
    </row>
    <row r="204" spans="1:16" x14ac:dyDescent="0.25">
      <c r="A204" vm="2991">
        <f ca="1"/>
        <v>45216</v>
      </c>
      <c r="B204" vm="2992">
        <f ca="1"/>
        <v>402.83</v>
      </c>
      <c r="C204" vm="2993">
        <f ca="1"/>
        <v>264.75</v>
      </c>
      <c r="D204" vm="2994">
        <f ca="1"/>
        <v>54.07</v>
      </c>
      <c r="E204" vm="2995">
        <f ca="1"/>
        <v>223.04</v>
      </c>
      <c r="F204" vm="2996">
        <f ca="1"/>
        <v>146.26</v>
      </c>
      <c r="G204" vm="2997">
        <f ca="1"/>
        <v>31.51</v>
      </c>
      <c r="H204" vm="2998">
        <f ca="1"/>
        <v>91</v>
      </c>
      <c r="I204" vm="2999">
        <f ca="1"/>
        <v>31.37</v>
      </c>
      <c r="J204" vm="3000">
        <f ca="1"/>
        <v>24.24</v>
      </c>
      <c r="K204" vm="3001">
        <f ca="1"/>
        <v>324</v>
      </c>
      <c r="L204" vm="3002">
        <f ca="1"/>
        <v>179.4</v>
      </c>
      <c r="M204" vm="3003">
        <f ca="1"/>
        <v>237.8</v>
      </c>
      <c r="N204" vm="3004">
        <f ca="1"/>
        <v>441.13</v>
      </c>
      <c r="O204" vm="3005">
        <f ca="1"/>
        <v>139.72</v>
      </c>
      <c r="P204" vm="3006">
        <f ca="1"/>
        <v>332.06</v>
      </c>
    </row>
    <row r="205" spans="1:16" x14ac:dyDescent="0.25">
      <c r="A205" vm="3007">
        <f ca="1"/>
        <v>45217</v>
      </c>
      <c r="B205" vm="3008">
        <f ca="1"/>
        <v>378.98</v>
      </c>
      <c r="C205" vm="3009">
        <f ca="1"/>
        <v>256.72000000000003</v>
      </c>
      <c r="D205" vm="3010">
        <f ca="1"/>
        <v>54.05</v>
      </c>
      <c r="E205" vm="3011">
        <f ca="1"/>
        <v>221.94</v>
      </c>
      <c r="F205" vm="3012">
        <f ca="1"/>
        <v>150.03</v>
      </c>
      <c r="G205" vm="3013">
        <f ca="1"/>
        <v>31.73</v>
      </c>
      <c r="H205" vm="2623">
        <f ca="1"/>
        <v>89.6</v>
      </c>
      <c r="I205" vm="1608">
        <f ca="1"/>
        <v>30.67</v>
      </c>
      <c r="J205" vm="3014">
        <f ca="1"/>
        <v>23.85</v>
      </c>
      <c r="K205" vm="3015">
        <f ca="1"/>
        <v>316.97000000000003</v>
      </c>
      <c r="L205" vm="591">
        <f ca="1"/>
        <v>172.04</v>
      </c>
      <c r="M205" vm="3016">
        <f ca="1"/>
        <v>233.43</v>
      </c>
      <c r="N205" vm="3017">
        <f ca="1"/>
        <v>446.07</v>
      </c>
      <c r="O205" vm="3018">
        <f ca="1"/>
        <v>137.96</v>
      </c>
      <c r="P205" vm="2294">
        <f ca="1"/>
        <v>330.11</v>
      </c>
    </row>
    <row r="206" spans="1:16" x14ac:dyDescent="0.25">
      <c r="A206" vm="3019">
        <f ca="1"/>
        <v>45218</v>
      </c>
      <c r="B206" vm="3020">
        <f ca="1"/>
        <v>374.98</v>
      </c>
      <c r="C206" vm="3021">
        <f ca="1"/>
        <v>246.62</v>
      </c>
      <c r="D206" vm="3022">
        <f ca="1"/>
        <v>54.35</v>
      </c>
      <c r="E206" vm="3023">
        <f ca="1"/>
        <v>216.9</v>
      </c>
      <c r="F206" vm="3024">
        <f ca="1"/>
        <v>148.25</v>
      </c>
      <c r="G206" vm="3025">
        <f ca="1"/>
        <v>31.45</v>
      </c>
      <c r="H206" vm="3026">
        <f ca="1"/>
        <v>92.91</v>
      </c>
      <c r="I206" vm="697">
        <f ca="1"/>
        <v>30.54</v>
      </c>
      <c r="J206" vm="3027">
        <f ca="1"/>
        <v>23.395</v>
      </c>
      <c r="K206" vm="3028">
        <f ca="1"/>
        <v>312.81</v>
      </c>
      <c r="L206" vm="3029">
        <f ca="1"/>
        <v>168.74</v>
      </c>
      <c r="M206" vm="3030">
        <f ca="1"/>
        <v>233.2</v>
      </c>
      <c r="N206" vm="3031">
        <f ca="1"/>
        <v>449.18</v>
      </c>
      <c r="O206" vm="3032">
        <f ca="1"/>
        <v>137.75</v>
      </c>
      <c r="P206" vm="3033">
        <f ca="1"/>
        <v>331.32</v>
      </c>
    </row>
    <row r="207" spans="1:16" x14ac:dyDescent="0.25">
      <c r="A207" vm="3034">
        <f ca="1"/>
        <v>45219</v>
      </c>
      <c r="B207" vm="3035">
        <f ca="1"/>
        <v>372.92</v>
      </c>
      <c r="C207" vm="3036">
        <f ca="1"/>
        <v>246.18</v>
      </c>
      <c r="D207" vm="3037">
        <f ca="1"/>
        <v>54.57</v>
      </c>
      <c r="E207" vm="3038">
        <f ca="1"/>
        <v>217.05</v>
      </c>
      <c r="F207" vm="3039">
        <f ca="1"/>
        <v>148.05000000000001</v>
      </c>
      <c r="G207" vm="1334">
        <f ca="1"/>
        <v>31.31</v>
      </c>
      <c r="H207" vm="3040">
        <f ca="1"/>
        <v>91.31</v>
      </c>
      <c r="I207" vm="3041">
        <f ca="1"/>
        <v>30.76</v>
      </c>
      <c r="J207" vm="3042">
        <f ca="1"/>
        <v>23.46</v>
      </c>
      <c r="K207" vm="1371">
        <f ca="1"/>
        <v>308.64999999999998</v>
      </c>
      <c r="L207" vm="3043">
        <f ca="1"/>
        <v>164.7</v>
      </c>
      <c r="M207" vm="3044">
        <f ca="1"/>
        <v>230.39</v>
      </c>
      <c r="N207" vm="3045">
        <f ca="1"/>
        <v>444.17</v>
      </c>
      <c r="O207" vm="3046">
        <f ca="1"/>
        <v>135.6</v>
      </c>
      <c r="P207" vm="3047">
        <f ca="1"/>
        <v>326.67</v>
      </c>
    </row>
    <row r="208" spans="1:16" x14ac:dyDescent="0.25">
      <c r="A208" vm="3048">
        <f ca="1"/>
        <v>45222</v>
      </c>
      <c r="B208" vm="3049">
        <f ca="1"/>
        <v>366.87</v>
      </c>
      <c r="C208" vm="3050">
        <f ca="1"/>
        <v>241.53</v>
      </c>
      <c r="D208" vm="3051">
        <f ca="1"/>
        <v>54.08</v>
      </c>
      <c r="E208" vm="3052">
        <f ca="1"/>
        <v>214.77</v>
      </c>
      <c r="F208" vm="3053">
        <f ca="1"/>
        <v>148.15</v>
      </c>
      <c r="G208" vm="3054">
        <f ca="1"/>
        <v>31.12</v>
      </c>
      <c r="H208" vm="780">
        <f ca="1"/>
        <v>91.11</v>
      </c>
      <c r="I208" vm="1095">
        <f ca="1"/>
        <v>30.16</v>
      </c>
      <c r="J208" vm="3055">
        <f ca="1"/>
        <v>22.28</v>
      </c>
      <c r="K208" vm="3056">
        <f ca="1"/>
        <v>314.01</v>
      </c>
      <c r="L208" vm="3057">
        <f ca="1"/>
        <v>165.47</v>
      </c>
      <c r="M208" vm="2165">
        <f ca="1"/>
        <v>231.86</v>
      </c>
      <c r="N208" vm="3058">
        <f ca="1"/>
        <v>446.16</v>
      </c>
      <c r="O208" vm="3059">
        <f ca="1"/>
        <v>136.5</v>
      </c>
      <c r="P208" vm="3060">
        <f ca="1"/>
        <v>329.32</v>
      </c>
    </row>
    <row r="209" spans="1:16" x14ac:dyDescent="0.25">
      <c r="A209" vm="3061">
        <f ca="1"/>
        <v>45223</v>
      </c>
      <c r="B209" vm="3062">
        <f ca="1"/>
        <v>373.28</v>
      </c>
      <c r="C209" vm="3063">
        <f ca="1"/>
        <v>241.55</v>
      </c>
      <c r="D209" vm="3064">
        <f ca="1"/>
        <v>55.64</v>
      </c>
      <c r="E209" vm="3065">
        <f ca="1"/>
        <v>217.21</v>
      </c>
      <c r="F209" vm="3066">
        <f ca="1"/>
        <v>149.9</v>
      </c>
      <c r="G209" vm="3067">
        <f ca="1"/>
        <v>31.71</v>
      </c>
      <c r="H209" vm="2399">
        <f ca="1"/>
        <v>91.64</v>
      </c>
      <c r="I209" vm="3068">
        <f ca="1"/>
        <v>29.68</v>
      </c>
      <c r="J209" vm="3069">
        <f ca="1"/>
        <v>22.31</v>
      </c>
      <c r="K209" vm="3070">
        <f ca="1"/>
        <v>312.55</v>
      </c>
      <c r="L209" vm="3071">
        <f ca="1"/>
        <v>167.25</v>
      </c>
      <c r="M209" vm="3072">
        <f ca="1"/>
        <v>234.67</v>
      </c>
      <c r="N209" vm="3073">
        <f ca="1"/>
        <v>440.9</v>
      </c>
      <c r="O209" vm="3074">
        <f ca="1"/>
        <v>138.81</v>
      </c>
      <c r="P209" vm="3075">
        <f ca="1"/>
        <v>330.53</v>
      </c>
    </row>
    <row r="210" spans="1:16" x14ac:dyDescent="0.25">
      <c r="A210" vm="3076">
        <f ca="1"/>
        <v>45224</v>
      </c>
      <c r="B210" vm="3077">
        <f ca="1"/>
        <v>367.52</v>
      </c>
      <c r="C210" vm="3078">
        <f ca="1"/>
        <v>237.15</v>
      </c>
      <c r="D210" vm="3079">
        <f ca="1"/>
        <v>56.12</v>
      </c>
      <c r="E210" vm="3080">
        <f ca="1"/>
        <v>213</v>
      </c>
      <c r="F210" vm="3081">
        <f ca="1"/>
        <v>150.6</v>
      </c>
      <c r="G210" vm="3082">
        <f ca="1"/>
        <v>32.08</v>
      </c>
      <c r="H210" vm="556">
        <f ca="1"/>
        <v>87.64</v>
      </c>
      <c r="I210" vm="3083">
        <f ca="1"/>
        <v>29.6</v>
      </c>
      <c r="J210" vm="3084">
        <f ca="1"/>
        <v>22.58</v>
      </c>
      <c r="K210" vm="3085">
        <f ca="1"/>
        <v>299.52999999999997</v>
      </c>
      <c r="L210" vm="2886">
        <f ca="1"/>
        <v>168.23</v>
      </c>
      <c r="M210" vm="3086">
        <f ca="1"/>
        <v>234.02</v>
      </c>
      <c r="N210" vm="3087">
        <f ca="1"/>
        <v>447.69</v>
      </c>
      <c r="O210" vm="3088">
        <f ca="1"/>
        <v>125.61</v>
      </c>
      <c r="P210" vm="3089">
        <f ca="1"/>
        <v>340.67</v>
      </c>
    </row>
    <row r="211" spans="1:16" x14ac:dyDescent="0.25">
      <c r="A211" vm="3090">
        <f ca="1"/>
        <v>45225</v>
      </c>
      <c r="B211" vm="3091">
        <f ca="1"/>
        <v>369.96</v>
      </c>
      <c r="C211" vm="3092">
        <f ca="1"/>
        <v>237.43</v>
      </c>
      <c r="D211" vm="3093">
        <f ca="1"/>
        <v>55.78</v>
      </c>
      <c r="E211" vm="1248">
        <f ca="1"/>
        <v>209.4</v>
      </c>
      <c r="F211" vm="3094">
        <f ca="1"/>
        <v>149.80000000000001</v>
      </c>
      <c r="G211" vm="262">
        <f ca="1"/>
        <v>31.86</v>
      </c>
      <c r="H211" vm="3095">
        <f ca="1"/>
        <v>87.45</v>
      </c>
      <c r="I211" vm="956">
        <f ca="1"/>
        <v>29.59</v>
      </c>
      <c r="J211" vm="3096">
        <f ca="1"/>
        <v>22.38</v>
      </c>
      <c r="K211" vm="3097">
        <f ca="1"/>
        <v>288.35000000000002</v>
      </c>
      <c r="L211" vm="3071">
        <f ca="1"/>
        <v>167.25</v>
      </c>
      <c r="M211" vm="2507">
        <f ca="1"/>
        <v>231.38</v>
      </c>
      <c r="N211" vm="3098">
        <f ca="1"/>
        <v>445.97</v>
      </c>
      <c r="O211" vm="3099">
        <f ca="1"/>
        <v>122.28</v>
      </c>
      <c r="P211" vm="3100">
        <f ca="1"/>
        <v>327.89</v>
      </c>
    </row>
    <row r="212" spans="1:16" x14ac:dyDescent="0.25">
      <c r="A212" vm="3101">
        <f ca="1"/>
        <v>45226</v>
      </c>
      <c r="B212" vm="3102">
        <f ca="1"/>
        <v>366.24</v>
      </c>
      <c r="C212" vm="3103">
        <f ca="1"/>
        <v>248.78</v>
      </c>
      <c r="D212" vm="3104">
        <f ca="1"/>
        <v>55.24</v>
      </c>
      <c r="E212" vm="3105">
        <f ca="1"/>
        <v>209.39</v>
      </c>
      <c r="F212" vm="3106">
        <f ca="1"/>
        <v>147.16</v>
      </c>
      <c r="G212" vm="495">
        <f ca="1"/>
        <v>31.44</v>
      </c>
      <c r="H212" vm="3107">
        <f ca="1"/>
        <v>85.99</v>
      </c>
      <c r="I212" vm="3108">
        <f ca="1"/>
        <v>29.24</v>
      </c>
      <c r="J212" vm="3109">
        <f ca="1"/>
        <v>22.05</v>
      </c>
      <c r="K212" vm="3110">
        <f ca="1"/>
        <v>296.73</v>
      </c>
      <c r="L212" vm="3111">
        <f ca="1"/>
        <v>164.87</v>
      </c>
      <c r="M212" vm="3112">
        <f ca="1"/>
        <v>229.62</v>
      </c>
      <c r="N212" vm="3113">
        <f ca="1"/>
        <v>443.39</v>
      </c>
      <c r="O212" vm="3114">
        <f ca="1"/>
        <v>122.17</v>
      </c>
      <c r="P212" vm="3115">
        <f ca="1"/>
        <v>329.81</v>
      </c>
    </row>
    <row r="213" spans="1:16" x14ac:dyDescent="0.25">
      <c r="A213" vm="3116">
        <f ca="1"/>
        <v>45229</v>
      </c>
      <c r="B213" vm="3117">
        <f ca="1"/>
        <v>369.55</v>
      </c>
      <c r="C213" vm="3118">
        <f ca="1"/>
        <v>254.98</v>
      </c>
      <c r="D213" vm="3119">
        <f ca="1"/>
        <v>56.15</v>
      </c>
      <c r="E213" vm="3120">
        <f ca="1"/>
        <v>209.1</v>
      </c>
      <c r="F213" vm="3121">
        <f ca="1"/>
        <v>149.26</v>
      </c>
      <c r="G213" vm="3122">
        <f ca="1"/>
        <v>31.62</v>
      </c>
      <c r="H213" vm="3123">
        <f ca="1"/>
        <v>86.06</v>
      </c>
      <c r="I213" vm="3124">
        <f ca="1"/>
        <v>29.4</v>
      </c>
      <c r="J213" vm="3125">
        <f ca="1"/>
        <v>22.94</v>
      </c>
      <c r="K213" vm="3126">
        <f ca="1"/>
        <v>302.66000000000003</v>
      </c>
      <c r="L213" vm="3127">
        <f ca="1"/>
        <v>164.76</v>
      </c>
      <c r="M213" vm="3128">
        <f ca="1"/>
        <v>234.1</v>
      </c>
      <c r="N213" vm="3129">
        <f ca="1"/>
        <v>445.84</v>
      </c>
      <c r="O213" vm="3130">
        <f ca="1"/>
        <v>124.46</v>
      </c>
      <c r="P213" vm="3131">
        <f ca="1"/>
        <v>337.31</v>
      </c>
    </row>
    <row r="214" spans="1:16" x14ac:dyDescent="0.25">
      <c r="A214" vm="3132">
        <f ca="1"/>
        <v>45230</v>
      </c>
      <c r="B214" vm="3133">
        <f ca="1"/>
        <v>368.91</v>
      </c>
      <c r="C214" vm="3134">
        <f ca="1"/>
        <v>254.09</v>
      </c>
      <c r="D214" vm="3135">
        <f ca="1"/>
        <v>56.49</v>
      </c>
      <c r="E214" vm="3136">
        <f ca="1"/>
        <v>209.98</v>
      </c>
      <c r="F214" vm="3012">
        <f ca="1"/>
        <v>150.03</v>
      </c>
      <c r="G214" vm="3137">
        <f ca="1"/>
        <v>31.46</v>
      </c>
      <c r="H214" vm="3138">
        <f ca="1"/>
        <v>86.31</v>
      </c>
      <c r="I214" vm="1003">
        <f ca="1"/>
        <v>29.85</v>
      </c>
      <c r="J214" vm="3139">
        <f ca="1"/>
        <v>22.68</v>
      </c>
      <c r="K214" vm="3140">
        <f ca="1"/>
        <v>301.27</v>
      </c>
      <c r="L214" vm="3141">
        <f ca="1"/>
        <v>167.12</v>
      </c>
      <c r="M214" vm="3142">
        <f ca="1"/>
        <v>234.15</v>
      </c>
      <c r="N214" vm="3143">
        <f ca="1"/>
        <v>454.64</v>
      </c>
      <c r="O214" vm="3144">
        <f ca="1"/>
        <v>124.08</v>
      </c>
      <c r="P214" vm="3145">
        <f ca="1"/>
        <v>338.11</v>
      </c>
    </row>
    <row r="215" spans="1:16" x14ac:dyDescent="0.25">
      <c r="A215" vm="3146">
        <f ca="1"/>
        <v>45231</v>
      </c>
      <c r="B215" vm="3147">
        <f ca="1"/>
        <v>370.47</v>
      </c>
      <c r="C215" vm="3148">
        <f ca="1"/>
        <v>255.89</v>
      </c>
      <c r="D215" vm="3149">
        <f ca="1"/>
        <v>56.44</v>
      </c>
      <c r="E215" vm="3150">
        <f ca="1"/>
        <v>212.95</v>
      </c>
      <c r="F215" vm="3151">
        <f ca="1"/>
        <v>149.61000000000001</v>
      </c>
      <c r="G215" vm="87">
        <f ca="1"/>
        <v>32.200000000000003</v>
      </c>
      <c r="H215" vm="3152">
        <f ca="1"/>
        <v>87.8</v>
      </c>
      <c r="I215" vm="3153">
        <f ca="1"/>
        <v>29.57</v>
      </c>
      <c r="J215" vm="3154">
        <f ca="1"/>
        <v>22.96</v>
      </c>
      <c r="K215" vm="3155">
        <f ca="1"/>
        <v>311.85000000000002</v>
      </c>
      <c r="L215" vm="592">
        <f ca="1"/>
        <v>159.62</v>
      </c>
      <c r="M215" vm="3156">
        <f ca="1"/>
        <v>234.21</v>
      </c>
      <c r="N215" vm="3157">
        <f ca="1"/>
        <v>452.38</v>
      </c>
      <c r="O215" vm="3158">
        <f ca="1"/>
        <v>126.45</v>
      </c>
      <c r="P215" vm="3159">
        <f ca="1"/>
        <v>346.07</v>
      </c>
    </row>
    <row r="216" spans="1:16" x14ac:dyDescent="0.25">
      <c r="A216" vm="3160">
        <f ca="1"/>
        <v>45232</v>
      </c>
      <c r="B216" vm="3161">
        <f ca="1"/>
        <v>404.58</v>
      </c>
      <c r="C216" vm="3162">
        <f ca="1"/>
        <v>263.35000000000002</v>
      </c>
      <c r="D216" vm="3163">
        <f ca="1"/>
        <v>57.09</v>
      </c>
      <c r="E216" vm="3164">
        <f ca="1"/>
        <v>212.85</v>
      </c>
      <c r="F216" vm="3165">
        <f ca="1"/>
        <v>151.44</v>
      </c>
      <c r="G216" vm="3166">
        <f ca="1"/>
        <v>33.51</v>
      </c>
      <c r="H216" vm="2638">
        <f ca="1"/>
        <v>90.48</v>
      </c>
      <c r="I216" vm="1261">
        <f ca="1"/>
        <v>30.39</v>
      </c>
      <c r="J216" vm="3167">
        <f ca="1"/>
        <v>27.85</v>
      </c>
      <c r="K216" vm="3168">
        <f ca="1"/>
        <v>310.87</v>
      </c>
      <c r="L216" vm="3169">
        <f ca="1"/>
        <v>175.08</v>
      </c>
      <c r="M216" vm="3170">
        <f ca="1"/>
        <v>238</v>
      </c>
      <c r="N216" vm="3171">
        <f ca="1"/>
        <v>458.04</v>
      </c>
      <c r="O216" vm="3172">
        <f ca="1"/>
        <v>127.49</v>
      </c>
      <c r="P216" vm="3173">
        <f ca="1"/>
        <v>348.32</v>
      </c>
    </row>
    <row r="217" spans="1:16" x14ac:dyDescent="0.25">
      <c r="A217" vm="3174">
        <f ca="1"/>
        <v>45233</v>
      </c>
      <c r="B217" vm="3175">
        <f ca="1"/>
        <v>401.19</v>
      </c>
      <c r="C217" vm="2320">
        <f ca="1"/>
        <v>270.55</v>
      </c>
      <c r="D217" vm="3176">
        <f ca="1"/>
        <v>56.74</v>
      </c>
      <c r="E217" vm="3177">
        <f ca="1"/>
        <v>217.23</v>
      </c>
      <c r="F217" vm="3178">
        <f ca="1"/>
        <v>150.07</v>
      </c>
      <c r="G217" vm="3179">
        <f ca="1"/>
        <v>33.270000000000003</v>
      </c>
      <c r="H217" vm="563">
        <f ca="1"/>
        <v>91.79</v>
      </c>
      <c r="I217" vm="3180">
        <f ca="1"/>
        <v>30.4</v>
      </c>
      <c r="J217" vm="3181">
        <f ca="1"/>
        <v>25.35</v>
      </c>
      <c r="K217" vm="3182">
        <f ca="1"/>
        <v>314.60000000000002</v>
      </c>
      <c r="L217" vm="3183">
        <f ca="1"/>
        <v>169.18</v>
      </c>
      <c r="M217" vm="3184">
        <f ca="1"/>
        <v>241.68</v>
      </c>
      <c r="N217" vm="3185">
        <f ca="1"/>
        <v>453.34</v>
      </c>
      <c r="O217" vm="3186">
        <f ca="1"/>
        <v>129.1</v>
      </c>
      <c r="P217" vm="3187">
        <f ca="1"/>
        <v>352.8</v>
      </c>
    </row>
    <row r="218" spans="1:16" x14ac:dyDescent="0.25">
      <c r="A218" vm="3188">
        <f ca="1"/>
        <v>45236</v>
      </c>
      <c r="B218" vm="3189">
        <f ca="1"/>
        <v>406.14</v>
      </c>
      <c r="C218" vm="3190">
        <f ca="1"/>
        <v>267.95999999999998</v>
      </c>
      <c r="D218" vm="3191">
        <f ca="1"/>
        <v>56.97</v>
      </c>
      <c r="E218" vm="3192">
        <f ca="1"/>
        <v>217.5</v>
      </c>
      <c r="F218" vm="3193">
        <f ca="1"/>
        <v>150.94</v>
      </c>
      <c r="G218" vm="3194">
        <f ca="1"/>
        <v>33.29</v>
      </c>
      <c r="H218" vm="3195">
        <f ca="1"/>
        <v>92.6</v>
      </c>
      <c r="I218" vm="3196">
        <f ca="1"/>
        <v>30.38</v>
      </c>
      <c r="J218" vm="3197">
        <f ca="1"/>
        <v>25.45</v>
      </c>
      <c r="K218" vm="3198">
        <f ca="1"/>
        <v>315.8</v>
      </c>
      <c r="L218" vm="3199">
        <f ca="1"/>
        <v>168.46</v>
      </c>
      <c r="M218" vm="3200">
        <f ca="1"/>
        <v>241.56</v>
      </c>
      <c r="N218" vm="3201">
        <f ca="1"/>
        <v>451.16</v>
      </c>
      <c r="O218" vm="2759">
        <f ca="1"/>
        <v>130.25</v>
      </c>
      <c r="P218" vm="3202">
        <f ca="1"/>
        <v>356.53</v>
      </c>
    </row>
    <row r="219" spans="1:16" x14ac:dyDescent="0.25">
      <c r="A219" vm="3203">
        <f ca="1"/>
        <v>45237</v>
      </c>
      <c r="B219" vm="3204">
        <f ca="1"/>
        <v>407.08</v>
      </c>
      <c r="C219" vm="3205">
        <f ca="1"/>
        <v>264.86</v>
      </c>
      <c r="D219" vm="3206">
        <f ca="1"/>
        <v>57.18</v>
      </c>
      <c r="E219" vm="1023">
        <f ca="1"/>
        <v>218.23</v>
      </c>
      <c r="F219" vm="3207">
        <f ca="1"/>
        <v>150.59</v>
      </c>
      <c r="G219" vm="1756">
        <f ca="1"/>
        <v>33.090000000000003</v>
      </c>
      <c r="H219" vm="277">
        <f ca="1"/>
        <v>92.41</v>
      </c>
      <c r="I219" vm="3208">
        <f ca="1"/>
        <v>30.35</v>
      </c>
      <c r="J219" vm="3209">
        <f ca="1"/>
        <v>25.34</v>
      </c>
      <c r="K219" vm="3210">
        <f ca="1"/>
        <v>318.82</v>
      </c>
      <c r="L219" vm="3211">
        <f ca="1"/>
        <v>165.08</v>
      </c>
      <c r="M219" vm="3212">
        <f ca="1"/>
        <v>242.52</v>
      </c>
      <c r="N219" vm="3213">
        <f ca="1"/>
        <v>450.15</v>
      </c>
      <c r="O219" vm="3214">
        <f ca="1"/>
        <v>130.97</v>
      </c>
      <c r="P219" vm="3215">
        <f ca="1"/>
        <v>360.53</v>
      </c>
    </row>
    <row r="220" spans="1:16" x14ac:dyDescent="0.25">
      <c r="A220" vm="3216">
        <f ca="1"/>
        <v>45238</v>
      </c>
      <c r="B220" vm="3217">
        <f ca="1"/>
        <v>410.66</v>
      </c>
      <c r="C220" vm="3218">
        <f ca="1"/>
        <v>262.60000000000002</v>
      </c>
      <c r="D220" vm="3163">
        <f ca="1"/>
        <v>57.09</v>
      </c>
      <c r="E220" vm="3219">
        <f ca="1"/>
        <v>206.32</v>
      </c>
      <c r="F220" vm="3220">
        <f ca="1"/>
        <v>150.01</v>
      </c>
      <c r="G220" vm="2154">
        <f ca="1"/>
        <v>33.17</v>
      </c>
      <c r="H220" vm="671">
        <f ca="1"/>
        <v>92</v>
      </c>
      <c r="I220" vm="3221">
        <f ca="1"/>
        <v>30.37</v>
      </c>
      <c r="J220" vm="3222">
        <f ca="1"/>
        <v>24.49</v>
      </c>
      <c r="K220" vm="3223">
        <f ca="1"/>
        <v>319.77999999999997</v>
      </c>
      <c r="L220" vm="1474">
        <f ca="1"/>
        <v>169.76</v>
      </c>
      <c r="M220" vm="3224">
        <f ca="1"/>
        <v>241.5</v>
      </c>
      <c r="N220" vm="3225">
        <f ca="1"/>
        <v>444.66</v>
      </c>
      <c r="O220" vm="3226">
        <f ca="1"/>
        <v>131.84</v>
      </c>
      <c r="P220" vm="3227">
        <f ca="1"/>
        <v>363.2</v>
      </c>
    </row>
    <row r="221" spans="1:16" x14ac:dyDescent="0.25">
      <c r="A221" vm="3228">
        <f ca="1"/>
        <v>45239</v>
      </c>
      <c r="B221" vm="3229">
        <f ca="1"/>
        <v>412.82</v>
      </c>
      <c r="C221" vm="2513">
        <f ca="1"/>
        <v>261.27</v>
      </c>
      <c r="D221" vm="3230">
        <f ca="1"/>
        <v>56.66</v>
      </c>
      <c r="E221" vm="3231">
        <f ca="1"/>
        <v>200.73</v>
      </c>
      <c r="F221" vm="3232">
        <f ca="1"/>
        <v>150.35</v>
      </c>
      <c r="G221" vm="2168">
        <f ca="1"/>
        <v>32.950000000000003</v>
      </c>
      <c r="H221" vm="3233">
        <f ca="1"/>
        <v>91.62</v>
      </c>
      <c r="I221" vm="3234">
        <f ca="1"/>
        <v>30.17</v>
      </c>
      <c r="J221" vm="3235">
        <f ca="1"/>
        <v>24.26</v>
      </c>
      <c r="K221" vm="3236">
        <f ca="1"/>
        <v>320.55</v>
      </c>
      <c r="L221" vm="3237">
        <f ca="1"/>
        <v>169.57</v>
      </c>
      <c r="M221" vm="3238">
        <f ca="1"/>
        <v>238.95</v>
      </c>
      <c r="N221" vm="3239">
        <f ca="1"/>
        <v>442.46</v>
      </c>
      <c r="O221" vm="3240">
        <f ca="1"/>
        <v>130.24</v>
      </c>
      <c r="P221" vm="3241">
        <f ca="1"/>
        <v>360.69</v>
      </c>
    </row>
    <row r="222" spans="1:16" x14ac:dyDescent="0.25">
      <c r="A222" vm="3242">
        <f ca="1"/>
        <v>45240</v>
      </c>
      <c r="B222" vm="3243">
        <f ca="1"/>
        <v>419.45</v>
      </c>
      <c r="C222" vm="3244">
        <f ca="1"/>
        <v>268.52</v>
      </c>
      <c r="D222" vm="3245">
        <f ca="1"/>
        <v>56.72</v>
      </c>
      <c r="E222" vm="3246">
        <f ca="1"/>
        <v>199.32</v>
      </c>
      <c r="F222" vm="3247">
        <f ca="1"/>
        <v>151.41</v>
      </c>
      <c r="G222" vm="3248">
        <f ca="1"/>
        <v>32.89</v>
      </c>
      <c r="H222" vm="3249">
        <f ca="1"/>
        <v>97.44</v>
      </c>
      <c r="I222" vm="3250">
        <f ca="1"/>
        <v>30.7</v>
      </c>
      <c r="J222" vm="3251">
        <f ca="1"/>
        <v>23.92</v>
      </c>
      <c r="K222" vm="3252">
        <f ca="1"/>
        <v>328.77</v>
      </c>
      <c r="L222" vm="3253">
        <f ca="1"/>
        <v>174.07</v>
      </c>
      <c r="M222" vm="3254">
        <f ca="1"/>
        <v>239.32</v>
      </c>
      <c r="N222" vm="3255">
        <f ca="1"/>
        <v>444.87</v>
      </c>
      <c r="O222" vm="3256">
        <f ca="1"/>
        <v>132.59</v>
      </c>
      <c r="P222" vm="3257">
        <f ca="1"/>
        <v>369.67</v>
      </c>
    </row>
    <row r="223" spans="1:16" x14ac:dyDescent="0.25">
      <c r="A223" vm="3258">
        <f ca="1"/>
        <v>45243</v>
      </c>
      <c r="B223" vm="3259">
        <f ca="1"/>
        <v>419.43</v>
      </c>
      <c r="C223" vm="3260">
        <f ca="1"/>
        <v>269.92</v>
      </c>
      <c r="D223" vm="3261">
        <f ca="1"/>
        <v>56.93</v>
      </c>
      <c r="E223" vm="3262">
        <f ca="1"/>
        <v>202.23</v>
      </c>
      <c r="F223" vm="452">
        <f ca="1"/>
        <v>152.46</v>
      </c>
      <c r="G223" vm="3263">
        <f ca="1"/>
        <v>33.24</v>
      </c>
      <c r="H223" vm="3264">
        <f ca="1"/>
        <v>96.42</v>
      </c>
      <c r="I223" vm="1139">
        <f ca="1"/>
        <v>30.45</v>
      </c>
      <c r="J223" vm="3265">
        <f ca="1"/>
        <v>23.75</v>
      </c>
      <c r="K223" vm="3266">
        <f ca="1"/>
        <v>329.19</v>
      </c>
      <c r="L223" vm="3267">
        <f ca="1"/>
        <v>176.24</v>
      </c>
      <c r="M223" vm="3268">
        <f ca="1"/>
        <v>240.85</v>
      </c>
      <c r="N223" vm="3269">
        <f ca="1"/>
        <v>445.03</v>
      </c>
      <c r="O223" vm="3270">
        <f ca="1"/>
        <v>132.09</v>
      </c>
      <c r="P223" vm="3271">
        <f ca="1"/>
        <v>366.68</v>
      </c>
    </row>
    <row r="224" spans="1:16" x14ac:dyDescent="0.25">
      <c r="A224" vm="3272">
        <f ca="1"/>
        <v>45244</v>
      </c>
      <c r="B224" vm="3273">
        <f ca="1"/>
        <v>427.96</v>
      </c>
      <c r="C224" vm="3274">
        <f ca="1"/>
        <v>281.39</v>
      </c>
      <c r="D224" vm="3275">
        <f ca="1"/>
        <v>57.1</v>
      </c>
      <c r="E224" vm="3276">
        <f ca="1"/>
        <v>205.66</v>
      </c>
      <c r="F224" vm="3277">
        <f ca="1"/>
        <v>152.12</v>
      </c>
      <c r="G224" vm="3278">
        <f ca="1"/>
        <v>33.58</v>
      </c>
      <c r="H224" vm="3279">
        <f ca="1"/>
        <v>98.91</v>
      </c>
      <c r="I224" vm="525">
        <f ca="1"/>
        <v>31.11</v>
      </c>
      <c r="J224" vm="3280">
        <f ca="1"/>
        <v>24.55</v>
      </c>
      <c r="K224" vm="3281">
        <f ca="1"/>
        <v>336.31</v>
      </c>
      <c r="L224" vm="1243">
        <f ca="1"/>
        <v>182.85</v>
      </c>
      <c r="M224" vm="3282">
        <f ca="1"/>
        <v>241.89</v>
      </c>
      <c r="N224" vm="3283">
        <f ca="1"/>
        <v>444.22</v>
      </c>
      <c r="O224" vm="3284">
        <f ca="1"/>
        <v>133.62</v>
      </c>
      <c r="P224" vm="3285">
        <f ca="1"/>
        <v>370.27</v>
      </c>
    </row>
    <row r="225" spans="1:16" x14ac:dyDescent="0.25">
      <c r="A225" vm="3286">
        <f ca="1"/>
        <v>45245</v>
      </c>
      <c r="B225" vm="3287">
        <f ca="1"/>
        <v>429.08</v>
      </c>
      <c r="C225" vm="3288">
        <f ca="1"/>
        <v>280.27999999999997</v>
      </c>
      <c r="D225" vm="3289">
        <f ca="1"/>
        <v>57.21</v>
      </c>
      <c r="E225" vm="3290">
        <f ca="1"/>
        <v>203.53</v>
      </c>
      <c r="F225" vm="3291">
        <f ca="1"/>
        <v>151.41999999999999</v>
      </c>
      <c r="G225" vm="1771">
        <f ca="1"/>
        <v>33.56</v>
      </c>
      <c r="H225" vm="3292">
        <f ca="1"/>
        <v>98.8</v>
      </c>
      <c r="I225" vm="3293">
        <f ca="1"/>
        <v>30.99</v>
      </c>
      <c r="J225" vm="3294">
        <f ca="1"/>
        <v>23.56</v>
      </c>
      <c r="K225" vm="3295">
        <f ca="1"/>
        <v>332.71</v>
      </c>
      <c r="L225" vm="3296">
        <f ca="1"/>
        <v>183.72</v>
      </c>
      <c r="M225" vm="3297">
        <f ca="1"/>
        <v>239.54</v>
      </c>
      <c r="N225" vm="3298">
        <f ca="1"/>
        <v>445.14</v>
      </c>
      <c r="O225" vm="3299">
        <f ca="1"/>
        <v>134.62</v>
      </c>
      <c r="P225" vm="3257">
        <f ca="1"/>
        <v>369.67</v>
      </c>
    </row>
    <row r="226" spans="1:16" x14ac:dyDescent="0.25">
      <c r="A226" vm="3300">
        <f ca="1"/>
        <v>45246</v>
      </c>
      <c r="B226" vm="3301">
        <f ca="1"/>
        <v>426.44</v>
      </c>
      <c r="C226" vm="3302">
        <f ca="1"/>
        <v>273.45999999999998</v>
      </c>
      <c r="D226" vm="3303">
        <f ca="1"/>
        <v>57.15</v>
      </c>
      <c r="E226" vm="3304">
        <f ca="1"/>
        <v>203.42</v>
      </c>
      <c r="F226" vm="3305">
        <f ca="1"/>
        <v>152.83000000000001</v>
      </c>
      <c r="G226" vm="3306">
        <f ca="1"/>
        <v>33.81</v>
      </c>
      <c r="H226" vm="3307">
        <f ca="1"/>
        <v>98.54</v>
      </c>
      <c r="I226" vm="3308">
        <f ca="1"/>
        <v>31.33</v>
      </c>
      <c r="J226" vm="3309">
        <f ca="1"/>
        <v>23.16</v>
      </c>
      <c r="K226" vm="3310">
        <f ca="1"/>
        <v>334.19</v>
      </c>
      <c r="L226" vm="3311">
        <f ca="1"/>
        <v>183.3</v>
      </c>
      <c r="M226" vm="3312">
        <f ca="1"/>
        <v>236.59</v>
      </c>
      <c r="N226" vm="3313">
        <f ca="1"/>
        <v>445.59</v>
      </c>
      <c r="O226" vm="3314">
        <f ca="1"/>
        <v>136.93</v>
      </c>
      <c r="P226" vm="3315">
        <f ca="1"/>
        <v>376.17</v>
      </c>
    </row>
    <row r="227" spans="1:16" x14ac:dyDescent="0.25">
      <c r="A227" vm="3316">
        <f ca="1"/>
        <v>45247</v>
      </c>
      <c r="B227" vm="3317">
        <f ca="1"/>
        <v>432.64</v>
      </c>
      <c r="C227" vm="3318">
        <f ca="1"/>
        <v>273.26</v>
      </c>
      <c r="D227" vm="3319">
        <f ca="1"/>
        <v>57.26</v>
      </c>
      <c r="E227" vm="147">
        <f ca="1"/>
        <v>200.23</v>
      </c>
      <c r="F227" vm="1092">
        <f ca="1"/>
        <v>151.07</v>
      </c>
      <c r="G227" vm="2413">
        <f ca="1"/>
        <v>33.659999999999997</v>
      </c>
      <c r="H227" vm="3320">
        <f ca="1"/>
        <v>99.58</v>
      </c>
      <c r="I227" vm="3122">
        <f ca="1"/>
        <v>31.62</v>
      </c>
      <c r="J227" vm="3321">
        <f ca="1"/>
        <v>23.09</v>
      </c>
      <c r="K227" vm="3322">
        <f ca="1"/>
        <v>335.04</v>
      </c>
      <c r="L227" vm="3323">
        <f ca="1"/>
        <v>183.11</v>
      </c>
      <c r="M227" vm="3324">
        <f ca="1"/>
        <v>235.63</v>
      </c>
      <c r="N227" vm="3325">
        <f ca="1"/>
        <v>444.68</v>
      </c>
      <c r="O227" vm="3326">
        <f ca="1"/>
        <v>135.31</v>
      </c>
      <c r="P227" vm="3327">
        <f ca="1"/>
        <v>369.85</v>
      </c>
    </row>
    <row r="228" spans="1:16" x14ac:dyDescent="0.25">
      <c r="A228" vm="3328">
        <f ca="1"/>
        <v>45250</v>
      </c>
      <c r="B228" vm="3329">
        <f ca="1"/>
        <v>431.53</v>
      </c>
      <c r="C228" vm="3330">
        <f ca="1"/>
        <v>274.36</v>
      </c>
      <c r="D228" vm="3331">
        <f ca="1"/>
        <v>57.4</v>
      </c>
      <c r="E228" vm="3332">
        <f ca="1"/>
        <v>199.8</v>
      </c>
      <c r="F228" vm="3333">
        <f ca="1"/>
        <v>150.27000000000001</v>
      </c>
      <c r="G228" vm="3334">
        <f ca="1"/>
        <v>33.79</v>
      </c>
      <c r="H228" vm="3335">
        <f ca="1"/>
        <v>99.96</v>
      </c>
      <c r="I228" vm="3336">
        <f ca="1"/>
        <v>32.06</v>
      </c>
      <c r="J228" vm="3337">
        <f ca="1"/>
        <v>23.1</v>
      </c>
      <c r="K228" vm="3338">
        <f ca="1"/>
        <v>339.97</v>
      </c>
      <c r="L228" vm="3339">
        <f ca="1"/>
        <v>184.13</v>
      </c>
      <c r="M228" vm="3340">
        <f ca="1"/>
        <v>236.95</v>
      </c>
      <c r="N228" vm="3341">
        <f ca="1"/>
        <v>443.81</v>
      </c>
      <c r="O228" vm="3342">
        <f ca="1"/>
        <v>136.25</v>
      </c>
      <c r="P228" vm="3343">
        <f ca="1"/>
        <v>377.44</v>
      </c>
    </row>
    <row r="229" spans="1:16" x14ac:dyDescent="0.25">
      <c r="A229" vm="3344">
        <f ca="1"/>
        <v>45251</v>
      </c>
      <c r="B229" vm="3345">
        <f ca="1"/>
        <v>432.92</v>
      </c>
      <c r="C229" vm="3346">
        <f ca="1"/>
        <v>273.43</v>
      </c>
      <c r="D229" vm="3347">
        <f ca="1"/>
        <v>58.03</v>
      </c>
      <c r="E229" vm="3348">
        <f ca="1"/>
        <v>201.19</v>
      </c>
      <c r="F229" vm="3151">
        <f ca="1"/>
        <v>149.61000000000001</v>
      </c>
      <c r="G229" vm="3349">
        <f ca="1"/>
        <v>34.15</v>
      </c>
      <c r="H229" vm="3350">
        <f ca="1"/>
        <v>98.41</v>
      </c>
      <c r="I229" vm="3351">
        <f ca="1"/>
        <v>32.25</v>
      </c>
      <c r="J229" vm="3352">
        <f ca="1"/>
        <v>22.98</v>
      </c>
      <c r="K229" vm="3353">
        <f ca="1"/>
        <v>336.98</v>
      </c>
      <c r="L229" vm="3354">
        <f ca="1"/>
        <v>183.36</v>
      </c>
      <c r="M229" vm="3355">
        <f ca="1"/>
        <v>234.27</v>
      </c>
      <c r="N229" vm="3356">
        <f ca="1"/>
        <v>448.15</v>
      </c>
      <c r="O229" vm="3357">
        <f ca="1"/>
        <v>136.97</v>
      </c>
      <c r="P229" vm="3358">
        <f ca="1"/>
        <v>373.07</v>
      </c>
    </row>
    <row r="230" spans="1:16" x14ac:dyDescent="0.25">
      <c r="A230" vm="3359">
        <f ca="1"/>
        <v>45252</v>
      </c>
      <c r="B230" vm="3360">
        <f ca="1"/>
        <v>431.23</v>
      </c>
      <c r="C230" vm="3361">
        <f ca="1"/>
        <v>274.05</v>
      </c>
      <c r="D230" vm="3362">
        <f ca="1"/>
        <v>58.42</v>
      </c>
      <c r="E230" vm="3363">
        <f ca="1"/>
        <v>202.56</v>
      </c>
      <c r="F230" vm="3364">
        <f ca="1"/>
        <v>151.02000000000001</v>
      </c>
      <c r="G230" vm="3365">
        <f ca="1"/>
        <v>34.68</v>
      </c>
      <c r="H230" vm="3366">
        <f ca="1"/>
        <v>98.65</v>
      </c>
      <c r="I230" vm="2565">
        <f ca="1"/>
        <v>32.549999999999997</v>
      </c>
      <c r="J230" vm="3367">
        <f ca="1"/>
        <v>22.64</v>
      </c>
      <c r="K230" vm="3368">
        <f ca="1"/>
        <v>341.49</v>
      </c>
      <c r="L230" vm="3369">
        <f ca="1"/>
        <v>183.81</v>
      </c>
      <c r="M230" vm="3370">
        <f ca="1"/>
        <v>239.04</v>
      </c>
      <c r="N230" vm="3371">
        <f ca="1"/>
        <v>450.4</v>
      </c>
      <c r="O230" vm="3372">
        <f ca="1"/>
        <v>138.49</v>
      </c>
      <c r="P230" vm="3373">
        <f ca="1"/>
        <v>377.85</v>
      </c>
    </row>
    <row r="231" spans="1:16" x14ac:dyDescent="0.25">
      <c r="A231" vm="3374">
        <f ca="1"/>
        <v>45254</v>
      </c>
      <c r="B231" vm="3375">
        <f ca="1"/>
        <v>433.67</v>
      </c>
      <c r="C231" vm="3376">
        <f ca="1"/>
        <v>275.8</v>
      </c>
      <c r="D231" vm="3377">
        <f ca="1"/>
        <v>58.57</v>
      </c>
      <c r="E231" vm="3378">
        <f ca="1"/>
        <v>203.19</v>
      </c>
      <c r="F231" vm="3379">
        <f ca="1"/>
        <v>151.38</v>
      </c>
      <c r="G231" vm="3380">
        <f ca="1"/>
        <v>34.94</v>
      </c>
      <c r="H231" vm="3381">
        <f ca="1"/>
        <v>97.83</v>
      </c>
      <c r="I231" vm="373">
        <f ca="1"/>
        <v>32.64</v>
      </c>
      <c r="J231" vm="3382">
        <f ca="1"/>
        <v>23.13</v>
      </c>
      <c r="K231" vm="3383">
        <f ca="1"/>
        <v>338.23</v>
      </c>
      <c r="L231" vm="3384">
        <f ca="1"/>
        <v>182.58</v>
      </c>
      <c r="M231" vm="3385">
        <f ca="1"/>
        <v>238.37</v>
      </c>
      <c r="N231" vm="3386">
        <f ca="1"/>
        <v>452.01</v>
      </c>
      <c r="O231" vm="3387">
        <f ca="1"/>
        <v>136.69</v>
      </c>
      <c r="P231" vm="3388">
        <f ca="1"/>
        <v>377.43</v>
      </c>
    </row>
    <row r="232" spans="1:16" x14ac:dyDescent="0.25">
      <c r="A232" vm="3389">
        <f ca="1"/>
        <v>45257</v>
      </c>
      <c r="B232" vm="3390">
        <f ca="1"/>
        <v>431.92</v>
      </c>
      <c r="C232" vm="3391">
        <f ca="1"/>
        <v>276.48</v>
      </c>
      <c r="D232" vm="2664">
        <f ca="1"/>
        <v>58.46</v>
      </c>
      <c r="E232" vm="3392">
        <f ca="1"/>
        <v>201.4</v>
      </c>
      <c r="F232" vm="1167">
        <f ca="1"/>
        <v>151.24</v>
      </c>
      <c r="G232" vm="3393">
        <f ca="1"/>
        <v>34.89</v>
      </c>
      <c r="H232" vm="3394">
        <f ca="1"/>
        <v>97.21</v>
      </c>
      <c r="I232" vm="1667">
        <f ca="1"/>
        <v>31.94</v>
      </c>
      <c r="J232" vm="3395">
        <f ca="1"/>
        <v>23.2</v>
      </c>
      <c r="K232" vm="3396">
        <f ca="1"/>
        <v>334.7</v>
      </c>
      <c r="L232" vm="3397">
        <f ca="1"/>
        <v>185.71</v>
      </c>
      <c r="M232" vm="3398">
        <f ca="1"/>
        <v>237.99</v>
      </c>
      <c r="N232" vm="3399">
        <f ca="1"/>
        <v>445.49</v>
      </c>
      <c r="O232" vm="3400">
        <f ca="1"/>
        <v>136.41</v>
      </c>
      <c r="P232" vm="3401">
        <f ca="1"/>
        <v>378.61</v>
      </c>
    </row>
    <row r="233" spans="1:16" x14ac:dyDescent="0.25">
      <c r="A233" vm="3402">
        <f ca="1"/>
        <v>45258</v>
      </c>
      <c r="B233" vm="3403">
        <f ca="1"/>
        <v>426.53</v>
      </c>
      <c r="C233" vm="3404">
        <f ca="1"/>
        <v>273.25</v>
      </c>
      <c r="D233" vm="3405">
        <f ca="1"/>
        <v>58.58</v>
      </c>
      <c r="E233" vm="3406">
        <f ca="1"/>
        <v>197.83</v>
      </c>
      <c r="F233" vm="3407">
        <f ca="1"/>
        <v>152.29</v>
      </c>
      <c r="G233" vm="3408">
        <f ca="1"/>
        <v>35.119999999999997</v>
      </c>
      <c r="H233" vm="3409">
        <f ca="1"/>
        <v>97.98</v>
      </c>
      <c r="I233" vm="246">
        <f ca="1"/>
        <v>32.049999999999997</v>
      </c>
      <c r="J233" vm="3410">
        <f ca="1"/>
        <v>22.9</v>
      </c>
      <c r="K233" vm="3411">
        <f ca="1"/>
        <v>338.99</v>
      </c>
      <c r="L233" vm="3412">
        <f ca="1"/>
        <v>181.34</v>
      </c>
      <c r="M233" vm="3413">
        <f ca="1"/>
        <v>241.77</v>
      </c>
      <c r="N233" vm="3414">
        <f ca="1"/>
        <v>448.27</v>
      </c>
      <c r="O233" vm="3415">
        <f ca="1"/>
        <v>137.19999999999999</v>
      </c>
      <c r="P233" vm="3416">
        <f ca="1"/>
        <v>382.7</v>
      </c>
    </row>
    <row r="234" spans="1:16" x14ac:dyDescent="0.25">
      <c r="A234" vm="3417">
        <f ca="1"/>
        <v>45259</v>
      </c>
      <c r="B234" vm="3418">
        <f ca="1"/>
        <v>428.06</v>
      </c>
      <c r="C234" vm="3419">
        <f ca="1"/>
        <v>275.11</v>
      </c>
      <c r="D234" vm="3420">
        <f ca="1"/>
        <v>58.23</v>
      </c>
      <c r="E234" vm="3421">
        <f ca="1"/>
        <v>197.44</v>
      </c>
      <c r="F234" vm="3422">
        <f ca="1"/>
        <v>151.13</v>
      </c>
      <c r="G234" vm="3423">
        <f ca="1"/>
        <v>35.08</v>
      </c>
      <c r="H234" vm="3424">
        <f ca="1"/>
        <v>98.88</v>
      </c>
      <c r="I234" vm="3013">
        <f ca="1"/>
        <v>31.73</v>
      </c>
      <c r="J234" vm="3425">
        <f ca="1"/>
        <v>23.14</v>
      </c>
      <c r="K234" vm="3426">
        <f ca="1"/>
        <v>332.2</v>
      </c>
      <c r="L234" vm="3427">
        <f ca="1"/>
        <v>185.61</v>
      </c>
      <c r="M234" vm="3428">
        <f ca="1"/>
        <v>237.95</v>
      </c>
      <c r="N234" vm="3429">
        <f ca="1"/>
        <v>445.01</v>
      </c>
      <c r="O234" vm="3430">
        <f ca="1"/>
        <v>134.99</v>
      </c>
      <c r="P234" vm="3431">
        <f ca="1"/>
        <v>378.85</v>
      </c>
    </row>
    <row r="235" spans="1:16" x14ac:dyDescent="0.25">
      <c r="A235" vm="3432">
        <f ca="1"/>
        <v>45260</v>
      </c>
      <c r="B235" vm="3433">
        <f ca="1"/>
        <v>433.18</v>
      </c>
      <c r="C235" vm="3434">
        <f ca="1"/>
        <v>280.41000000000003</v>
      </c>
      <c r="D235" vm="2649">
        <f ca="1"/>
        <v>58.44</v>
      </c>
      <c r="E235" vm="3435">
        <f ca="1"/>
        <v>200.94</v>
      </c>
      <c r="F235" vm="3436">
        <f ca="1"/>
        <v>153.52000000000001</v>
      </c>
      <c r="G235" vm="3437">
        <f ca="1"/>
        <v>35.11</v>
      </c>
      <c r="H235" vm="3438">
        <f ca="1"/>
        <v>97.31</v>
      </c>
      <c r="I235" vm="3439">
        <f ca="1"/>
        <v>32.299999999999997</v>
      </c>
      <c r="J235" vm="3440">
        <f ca="1"/>
        <v>22.77</v>
      </c>
      <c r="K235" vm="3441">
        <f ca="1"/>
        <v>327.14999999999998</v>
      </c>
      <c r="L235" vm="3442">
        <f ca="1"/>
        <v>188.31</v>
      </c>
      <c r="M235" vm="3443">
        <f ca="1"/>
        <v>240.49</v>
      </c>
      <c r="N235" vm="3444">
        <f ca="1"/>
        <v>447.77</v>
      </c>
      <c r="O235" vm="3445">
        <f ca="1"/>
        <v>132.53</v>
      </c>
      <c r="P235" vm="3446">
        <f ca="1"/>
        <v>378.91</v>
      </c>
    </row>
    <row r="236" spans="1:16" x14ac:dyDescent="0.25">
      <c r="A236" vm="3447">
        <f ca="1"/>
        <v>45261</v>
      </c>
      <c r="B236" vm="3448">
        <f ca="1"/>
        <v>440.16</v>
      </c>
      <c r="C236" vm="3449">
        <f ca="1"/>
        <v>286.20999999999998</v>
      </c>
      <c r="D236" vm="3450">
        <f ca="1"/>
        <v>58.64</v>
      </c>
      <c r="E236" vm="3451">
        <f ca="1"/>
        <v>203.51</v>
      </c>
      <c r="F236" vm="3452">
        <f ca="1"/>
        <v>152.66</v>
      </c>
      <c r="G236" vm="3453">
        <f ca="1"/>
        <v>35.520000000000003</v>
      </c>
      <c r="H236" vm="3454">
        <f ca="1"/>
        <v>98.55</v>
      </c>
      <c r="I236" vm="3455">
        <f ca="1"/>
        <v>33.4</v>
      </c>
      <c r="J236" vm="3456">
        <f ca="1"/>
        <v>24.1</v>
      </c>
      <c r="K236" vm="3457">
        <f ca="1"/>
        <v>324.82</v>
      </c>
      <c r="L236" vm="3458">
        <f ca="1"/>
        <v>190.55</v>
      </c>
      <c r="M236" vm="3459">
        <f ca="1"/>
        <v>241.95</v>
      </c>
      <c r="N236" vm="3460">
        <f ca="1"/>
        <v>449.41</v>
      </c>
      <c r="O236" vm="3461">
        <f ca="1"/>
        <v>131.86000000000001</v>
      </c>
      <c r="P236" vm="3462">
        <f ca="1"/>
        <v>374.51</v>
      </c>
    </row>
    <row r="237" spans="1:16" x14ac:dyDescent="0.25">
      <c r="A237" vm="3463">
        <f ca="1"/>
        <v>45264</v>
      </c>
      <c r="B237" vm="3464">
        <f ca="1"/>
        <v>438.15</v>
      </c>
      <c r="C237" vm="3465">
        <f ca="1"/>
        <v>291.39</v>
      </c>
      <c r="D237" vm="3377">
        <f ca="1"/>
        <v>58.57</v>
      </c>
      <c r="E237" vm="3466">
        <f ca="1"/>
        <v>199.27</v>
      </c>
      <c r="F237" vm="3467">
        <f ca="1"/>
        <v>152.06</v>
      </c>
      <c r="G237" vm="3468">
        <f ca="1"/>
        <v>35.82</v>
      </c>
      <c r="H237" vm="3469">
        <f ca="1"/>
        <v>97.01</v>
      </c>
      <c r="I237" vm="2413">
        <f ca="1"/>
        <v>33.659999999999997</v>
      </c>
      <c r="J237" vm="3470">
        <f ca="1"/>
        <v>23.53</v>
      </c>
      <c r="K237" vm="3471">
        <f ca="1"/>
        <v>320.02</v>
      </c>
      <c r="L237" vm="3472">
        <f ca="1"/>
        <v>189.64</v>
      </c>
      <c r="M237" vm="3473">
        <f ca="1"/>
        <v>240.31</v>
      </c>
      <c r="N237" vm="1417">
        <f ca="1"/>
        <v>450.69</v>
      </c>
      <c r="O237" vm="2174">
        <f ca="1"/>
        <v>129.27000000000001</v>
      </c>
      <c r="P237" vm="3474">
        <f ca="1"/>
        <v>369.14</v>
      </c>
    </row>
    <row r="238" spans="1:16" x14ac:dyDescent="0.25">
      <c r="A238" vm="3475">
        <f ca="1"/>
        <v>45265</v>
      </c>
      <c r="B238" vm="3476">
        <f ca="1"/>
        <v>434.83</v>
      </c>
      <c r="C238" vm="3477">
        <f ca="1"/>
        <v>288.17</v>
      </c>
      <c r="D238" vm="3478">
        <f ca="1"/>
        <v>58.66</v>
      </c>
      <c r="E238" vm="3479">
        <f ca="1"/>
        <v>198.55</v>
      </c>
      <c r="F238" vm="3480">
        <f ca="1"/>
        <v>146.76</v>
      </c>
      <c r="G238" vm="3481">
        <f ca="1"/>
        <v>35.840000000000003</v>
      </c>
      <c r="H238" vm="448">
        <f ca="1"/>
        <v>96.69</v>
      </c>
      <c r="I238" vm="3194">
        <f ca="1"/>
        <v>33.29</v>
      </c>
      <c r="J238" vm="3482">
        <f ca="1"/>
        <v>23.3</v>
      </c>
      <c r="K238" vm="3483">
        <f ca="1"/>
        <v>318.29000000000002</v>
      </c>
      <c r="L238" vm="3484">
        <f ca="1"/>
        <v>189.43</v>
      </c>
      <c r="M238" vm="3485">
        <f ca="1"/>
        <v>236.66</v>
      </c>
      <c r="N238" vm="3486">
        <f ca="1"/>
        <v>446.24</v>
      </c>
      <c r="O238" vm="3487">
        <f ca="1"/>
        <v>130.99</v>
      </c>
      <c r="P238" vm="3488">
        <f ca="1"/>
        <v>372.52</v>
      </c>
    </row>
    <row r="239" spans="1:16" x14ac:dyDescent="0.25">
      <c r="A239" vm="3489">
        <f ca="1"/>
        <v>45266</v>
      </c>
      <c r="B239" vm="3490">
        <f ca="1"/>
        <v>434.32</v>
      </c>
      <c r="C239" vm="3491">
        <f ca="1"/>
        <v>290.48</v>
      </c>
      <c r="D239" vm="3492">
        <f ca="1"/>
        <v>58.6</v>
      </c>
      <c r="E239" vm="3493">
        <f ca="1"/>
        <v>199.29</v>
      </c>
      <c r="F239" vm="3494">
        <f ca="1"/>
        <v>146.65</v>
      </c>
      <c r="G239" vm="2181">
        <f ca="1"/>
        <v>36.200000000000003</v>
      </c>
      <c r="H239" vm="3495">
        <f ca="1"/>
        <v>97.85</v>
      </c>
      <c r="I239" vm="2470">
        <f ca="1"/>
        <v>33.520000000000003</v>
      </c>
      <c r="J239" vm="3496">
        <f ca="1"/>
        <v>23.4</v>
      </c>
      <c r="K239" vm="3497">
        <f ca="1"/>
        <v>317.45</v>
      </c>
      <c r="L239" vm="3498">
        <f ca="1"/>
        <v>191.85</v>
      </c>
      <c r="M239" vm="3499">
        <f ca="1"/>
        <v>235.1</v>
      </c>
      <c r="N239" vm="3460">
        <f ca="1"/>
        <v>449.41</v>
      </c>
      <c r="O239" vm="89">
        <f ca="1"/>
        <v>130.02000000000001</v>
      </c>
      <c r="P239" vm="3500">
        <f ca="1"/>
        <v>368.8</v>
      </c>
    </row>
    <row r="240" spans="1:16" x14ac:dyDescent="0.25">
      <c r="A240" vm="3501">
        <f ca="1"/>
        <v>45267</v>
      </c>
      <c r="B240" vm="3502">
        <f ca="1"/>
        <v>433.77</v>
      </c>
      <c r="C240" vm="3503">
        <f ca="1"/>
        <v>294.12</v>
      </c>
      <c r="D240" vm="3504">
        <f ca="1"/>
        <v>58.74</v>
      </c>
      <c r="E240" vm="3505">
        <f ca="1"/>
        <v>201.99</v>
      </c>
      <c r="F240" vm="3506">
        <f ca="1"/>
        <v>146.5</v>
      </c>
      <c r="G240" vm="3507">
        <f ca="1"/>
        <v>36.5</v>
      </c>
      <c r="H240" vm="3508">
        <f ca="1"/>
        <v>99.29</v>
      </c>
      <c r="I240" vm="3509">
        <f ca="1"/>
        <v>33.5</v>
      </c>
      <c r="J240" vm="3510">
        <f ca="1"/>
        <v>23.72</v>
      </c>
      <c r="K240" vm="3511">
        <f ca="1"/>
        <v>326.58999999999997</v>
      </c>
      <c r="L240" vm="3512">
        <f ca="1"/>
        <v>194.38</v>
      </c>
      <c r="M240" vm="3513">
        <f ca="1"/>
        <v>235.86</v>
      </c>
      <c r="N240" vm="3514">
        <f ca="1"/>
        <v>447.11</v>
      </c>
      <c r="O240" vm="3314">
        <f ca="1"/>
        <v>136.93</v>
      </c>
      <c r="P240" vm="3515">
        <f ca="1"/>
        <v>370.95</v>
      </c>
    </row>
    <row r="241" spans="1:16" x14ac:dyDescent="0.25">
      <c r="A241" vm="3516">
        <f ca="1"/>
        <v>45268</v>
      </c>
      <c r="B241" vm="3517">
        <f ca="1"/>
        <v>438.63</v>
      </c>
      <c r="C241" vm="2526">
        <f ca="1"/>
        <v>295.10000000000002</v>
      </c>
      <c r="D241" vm="3518">
        <f ca="1"/>
        <v>58.61</v>
      </c>
      <c r="E241" vm="3519">
        <f ca="1"/>
        <v>200.5</v>
      </c>
      <c r="F241" vm="3520">
        <f ca="1"/>
        <v>145.15</v>
      </c>
      <c r="G241" vm="3521">
        <f ca="1"/>
        <v>36.229999999999997</v>
      </c>
      <c r="H241" vm="3522">
        <f ca="1"/>
        <v>100.35</v>
      </c>
      <c r="I241" vm="2243">
        <f ca="1"/>
        <v>32.96</v>
      </c>
      <c r="J241" vm="3523">
        <f ca="1"/>
        <v>23.23</v>
      </c>
      <c r="K241" vm="3524">
        <f ca="1"/>
        <v>332.75</v>
      </c>
      <c r="L241" vm="3525">
        <f ca="1"/>
        <v>199.25</v>
      </c>
      <c r="M241" vm="3526">
        <f ca="1"/>
        <v>234.44</v>
      </c>
      <c r="N241" vm="3527">
        <f ca="1"/>
        <v>448.02</v>
      </c>
      <c r="O241" vm="3430">
        <f ca="1"/>
        <v>134.99</v>
      </c>
      <c r="P241" vm="3528">
        <f ca="1"/>
        <v>374.23</v>
      </c>
    </row>
    <row r="242" spans="1:16" x14ac:dyDescent="0.25">
      <c r="A242" vm="3529">
        <f ca="1"/>
        <v>45271</v>
      </c>
      <c r="B242" vm="3530">
        <f ca="1"/>
        <v>438.22</v>
      </c>
      <c r="C242" vm="3531">
        <f ca="1"/>
        <v>295.56</v>
      </c>
      <c r="D242" vm="3532">
        <f ca="1"/>
        <v>59.04</v>
      </c>
      <c r="E242" vm="3533">
        <f ca="1"/>
        <v>201.69</v>
      </c>
      <c r="F242" vm="3534">
        <f ca="1"/>
        <v>145.82</v>
      </c>
      <c r="G242" vm="3535">
        <f ca="1"/>
        <v>36.78</v>
      </c>
      <c r="H242" vm="1562">
        <f ca="1"/>
        <v>100.95</v>
      </c>
      <c r="I242" vm="3536">
        <f ca="1"/>
        <v>33.200000000000003</v>
      </c>
      <c r="J242" vm="3537">
        <f ca="1"/>
        <v>24.03</v>
      </c>
      <c r="K242" vm="3538">
        <f ca="1"/>
        <v>325.27999999999997</v>
      </c>
      <c r="L242" vm="3539">
        <f ca="1"/>
        <v>201.76</v>
      </c>
      <c r="M242" vm="3540">
        <f ca="1"/>
        <v>235.7</v>
      </c>
      <c r="N242" vm="3541">
        <f ca="1"/>
        <v>451.26</v>
      </c>
      <c r="O242" vm="3542">
        <f ca="1"/>
        <v>133.29</v>
      </c>
      <c r="P242" vm="3543">
        <f ca="1"/>
        <v>371.3</v>
      </c>
    </row>
    <row r="243" spans="1:16" x14ac:dyDescent="0.25">
      <c r="A243" vm="3544">
        <f ca="1"/>
        <v>45272</v>
      </c>
      <c r="B243" vm="3545">
        <f ca="1"/>
        <v>440.83</v>
      </c>
      <c r="C243" vm="3546">
        <f ca="1"/>
        <v>295.35000000000002</v>
      </c>
      <c r="D243" vm="3547">
        <f ca="1"/>
        <v>59.42</v>
      </c>
      <c r="E243" vm="3548">
        <f ca="1"/>
        <v>201.58</v>
      </c>
      <c r="F243" vm="1649">
        <f ca="1"/>
        <v>145.94</v>
      </c>
      <c r="G243" vm="3549">
        <f ca="1"/>
        <v>37.26</v>
      </c>
      <c r="H243" vm="3550">
        <f ca="1"/>
        <v>101.6</v>
      </c>
      <c r="I243" vm="2065">
        <f ca="1"/>
        <v>33.22</v>
      </c>
      <c r="J243" vm="3551">
        <f ca="1"/>
        <v>23.81</v>
      </c>
      <c r="K243" vm="783">
        <f ca="1"/>
        <v>334.22</v>
      </c>
      <c r="L243" vm="2486">
        <f ca="1"/>
        <v>205.27</v>
      </c>
      <c r="M243" vm="3552">
        <f ca="1"/>
        <v>235.83</v>
      </c>
      <c r="N243" vm="3553">
        <f ca="1"/>
        <v>451.63</v>
      </c>
      <c r="O243" vm="3554">
        <f ca="1"/>
        <v>132.52000000000001</v>
      </c>
      <c r="P243" vm="3555">
        <f ca="1"/>
        <v>374.38</v>
      </c>
    </row>
    <row r="244" spans="1:16" x14ac:dyDescent="0.25">
      <c r="A244" vm="3556">
        <f ca="1"/>
        <v>45273</v>
      </c>
      <c r="B244" vm="3557">
        <f ca="1"/>
        <v>441.54</v>
      </c>
      <c r="C244" vm="3558">
        <f ca="1"/>
        <v>297.70999999999998</v>
      </c>
      <c r="D244" vm="3559">
        <f ca="1"/>
        <v>59.93</v>
      </c>
      <c r="E244" vm="3560">
        <f ca="1"/>
        <v>206.87</v>
      </c>
      <c r="F244" vm="3561">
        <f ca="1"/>
        <v>148.58000000000001</v>
      </c>
      <c r="G244" vm="3562">
        <f ca="1"/>
        <v>37.659999999999997</v>
      </c>
      <c r="H244" vm="3563">
        <f ca="1"/>
        <v>102.12</v>
      </c>
      <c r="I244" vm="3263">
        <f ca="1"/>
        <v>33.24</v>
      </c>
      <c r="J244" vm="3564">
        <f ca="1"/>
        <v>24.65</v>
      </c>
      <c r="K244" vm="3565">
        <f ca="1"/>
        <v>334.74</v>
      </c>
      <c r="L244" vm="3566">
        <f ca="1"/>
        <v>210.28</v>
      </c>
      <c r="M244" vm="3567">
        <f ca="1"/>
        <v>242.59</v>
      </c>
      <c r="N244" vm="3568">
        <f ca="1"/>
        <v>451.44</v>
      </c>
      <c r="O244" vm="3569">
        <f ca="1"/>
        <v>132.57</v>
      </c>
      <c r="P244" vm="3570">
        <f ca="1"/>
        <v>374.37</v>
      </c>
    </row>
    <row r="245" spans="1:16" x14ac:dyDescent="0.25">
      <c r="A245" vm="3571">
        <f ca="1"/>
        <v>45274</v>
      </c>
      <c r="B245" vm="3572">
        <f ca="1"/>
        <v>455.41</v>
      </c>
      <c r="C245" vm="3573">
        <f ca="1"/>
        <v>309.08999999999997</v>
      </c>
      <c r="D245" vm="3532">
        <f ca="1"/>
        <v>59.04</v>
      </c>
      <c r="E245" vm="3574">
        <f ca="1"/>
        <v>210.45</v>
      </c>
      <c r="F245" vm="3575">
        <f ca="1"/>
        <v>144.66</v>
      </c>
      <c r="G245" vm="3576">
        <f ca="1"/>
        <v>37</v>
      </c>
      <c r="H245" vm="3577">
        <f ca="1"/>
        <v>103.45</v>
      </c>
      <c r="I245" vm="2495">
        <f ca="1"/>
        <v>33.840000000000003</v>
      </c>
      <c r="J245" vm="3578">
        <f ca="1"/>
        <v>24.52</v>
      </c>
      <c r="K245" vm="3579">
        <f ca="1"/>
        <v>333.17</v>
      </c>
      <c r="L245" vm="747">
        <f ca="1"/>
        <v>215.8</v>
      </c>
      <c r="M245" vm="3580">
        <f ca="1"/>
        <v>241.03</v>
      </c>
      <c r="N245" vm="3581">
        <f ca="1"/>
        <v>445.27</v>
      </c>
      <c r="O245" vm="3582">
        <f ca="1"/>
        <v>131.94</v>
      </c>
      <c r="P245" vm="3583">
        <f ca="1"/>
        <v>365.93</v>
      </c>
    </row>
    <row r="246" spans="1:16" x14ac:dyDescent="0.25">
      <c r="A246" vm="3584">
        <f ca="1"/>
        <v>45275</v>
      </c>
      <c r="B246" vm="3585">
        <f ca="1"/>
        <v>453.6</v>
      </c>
      <c r="C246" vm="287">
        <f ca="1"/>
        <v>314.41000000000003</v>
      </c>
      <c r="D246" vm="3492">
        <f ca="1"/>
        <v>58.6</v>
      </c>
      <c r="E246" vm="3586">
        <f ca="1"/>
        <v>212.64</v>
      </c>
      <c r="F246" vm="1621">
        <f ca="1"/>
        <v>143.96</v>
      </c>
      <c r="G246" vm="3587">
        <f ca="1"/>
        <v>36.590000000000003</v>
      </c>
      <c r="H246" vm="3588">
        <f ca="1"/>
        <v>102.54</v>
      </c>
      <c r="I246" vm="3589">
        <f ca="1"/>
        <v>34</v>
      </c>
      <c r="J246" vm="3590">
        <f ca="1"/>
        <v>25.05</v>
      </c>
      <c r="K246" vm="3591">
        <f ca="1"/>
        <v>334.92</v>
      </c>
      <c r="L246" vm="3592">
        <f ca="1"/>
        <v>215.02</v>
      </c>
      <c r="M246" vm="3593">
        <f ca="1"/>
        <v>236.46</v>
      </c>
      <c r="N246" vm="3594">
        <f ca="1"/>
        <v>441.81</v>
      </c>
      <c r="O246" vm="3595">
        <f ca="1"/>
        <v>132.6</v>
      </c>
      <c r="P246" vm="3596">
        <f ca="1"/>
        <v>370.73</v>
      </c>
    </row>
    <row r="247" spans="1:16" x14ac:dyDescent="0.25">
      <c r="A247" vm="3597">
        <f ca="1"/>
        <v>45278</v>
      </c>
      <c r="B247" vm="3598">
        <f ca="1"/>
        <v>453.49</v>
      </c>
      <c r="C247" vm="3599">
        <f ca="1"/>
        <v>314.77</v>
      </c>
      <c r="D247" vm="3600">
        <f ca="1"/>
        <v>59.02</v>
      </c>
      <c r="E247" vm="3601">
        <f ca="1"/>
        <v>215.54</v>
      </c>
      <c r="F247" vm="3602">
        <f ca="1"/>
        <v>146.16999999999999</v>
      </c>
      <c r="G247" vm="3603">
        <f ca="1"/>
        <v>36.71</v>
      </c>
      <c r="H247" vm="3604">
        <f ca="1"/>
        <v>102.93</v>
      </c>
      <c r="I247" vm="3605">
        <f ca="1"/>
        <v>34.33</v>
      </c>
      <c r="J247" vm="3606">
        <f ca="1"/>
        <v>24.6</v>
      </c>
      <c r="K247" vm="3607">
        <f ca="1"/>
        <v>344.62</v>
      </c>
      <c r="L247" vm="3608">
        <f ca="1"/>
        <v>215</v>
      </c>
      <c r="M247" vm="3609">
        <f ca="1"/>
        <v>238.89</v>
      </c>
      <c r="N247" vm="3610">
        <f ca="1"/>
        <v>446.91</v>
      </c>
      <c r="O247" vm="3611">
        <f ca="1"/>
        <v>135.80000000000001</v>
      </c>
      <c r="P247" vm="3612">
        <f ca="1"/>
        <v>372.65</v>
      </c>
    </row>
    <row r="248" spans="1:16" x14ac:dyDescent="0.25">
      <c r="A248" vm="3613">
        <f ca="1"/>
        <v>45279</v>
      </c>
      <c r="B248" vm="3614">
        <f ca="1"/>
        <v>460.26</v>
      </c>
      <c r="C248" vm="3615">
        <f ca="1"/>
        <v>313.08</v>
      </c>
      <c r="D248" vm="3616">
        <f ca="1"/>
        <v>58.83</v>
      </c>
      <c r="E248" vm="3617">
        <f ca="1"/>
        <v>219.05</v>
      </c>
      <c r="F248" vm="3602">
        <f ca="1"/>
        <v>146.16999999999999</v>
      </c>
      <c r="G248" vm="3618">
        <f ca="1"/>
        <v>36.49</v>
      </c>
      <c r="H248" vm="3619">
        <f ca="1"/>
        <v>103.87</v>
      </c>
      <c r="I248" vm="3620">
        <f ca="1"/>
        <v>34.58</v>
      </c>
      <c r="J248" vm="3621">
        <f ca="1"/>
        <v>25.46</v>
      </c>
      <c r="K248" vm="3622">
        <f ca="1"/>
        <v>350.36</v>
      </c>
      <c r="L248" vm="3623">
        <f ca="1"/>
        <v>217.71</v>
      </c>
      <c r="M248" vm="3624">
        <f ca="1"/>
        <v>241.09</v>
      </c>
      <c r="N248" vm="3625">
        <f ca="1"/>
        <v>447.79</v>
      </c>
      <c r="O248" vm="3626">
        <f ca="1"/>
        <v>136.65</v>
      </c>
      <c r="P248" vm="3627">
        <f ca="1"/>
        <v>373.26</v>
      </c>
    </row>
    <row r="249" spans="1:16" x14ac:dyDescent="0.25">
      <c r="A249" vm="3628">
        <f ca="1"/>
        <v>45280</v>
      </c>
      <c r="B249" vm="3629">
        <f ca="1"/>
        <v>449.42</v>
      </c>
      <c r="C249" vm="3630">
        <f ca="1"/>
        <v>309.45</v>
      </c>
      <c r="D249" vm="3631">
        <f ca="1"/>
        <v>57.61</v>
      </c>
      <c r="E249" vm="3632">
        <f ca="1"/>
        <v>214.95</v>
      </c>
      <c r="F249" vm="3633">
        <f ca="1"/>
        <v>143.91</v>
      </c>
      <c r="G249" vm="3634">
        <f ca="1"/>
        <v>35.75</v>
      </c>
      <c r="H249" vm="3635">
        <f ca="1"/>
        <v>100.04</v>
      </c>
      <c r="I249" vm="3636">
        <f ca="1"/>
        <v>34.36</v>
      </c>
      <c r="J249" vm="3637">
        <f ca="1"/>
        <v>25.93</v>
      </c>
      <c r="K249" vm="3638">
        <f ca="1"/>
        <v>349.28</v>
      </c>
      <c r="L249" vm="3639">
        <f ca="1"/>
        <v>212.9</v>
      </c>
      <c r="M249" vm="3640">
        <f ca="1"/>
        <v>235.07</v>
      </c>
      <c r="N249" vm="3641">
        <f ca="1"/>
        <v>442.6</v>
      </c>
      <c r="O249" vm="3642">
        <f ca="1"/>
        <v>138.34</v>
      </c>
      <c r="P249" vm="3643">
        <f ca="1"/>
        <v>370.62</v>
      </c>
    </row>
    <row r="250" spans="1:16" x14ac:dyDescent="0.25">
      <c r="A250" vm="3644">
        <f ca="1"/>
        <v>45281</v>
      </c>
      <c r="B250" vm="3645">
        <f ca="1"/>
        <v>455.9</v>
      </c>
      <c r="C250" vm="3646">
        <f ca="1"/>
        <v>310.67</v>
      </c>
      <c r="D250" vm="3647">
        <f ca="1"/>
        <v>57.99</v>
      </c>
      <c r="E250" vm="3648">
        <f ca="1"/>
        <v>218.43</v>
      </c>
      <c r="F250" vm="3649">
        <f ca="1"/>
        <v>144.26</v>
      </c>
      <c r="G250" vm="3650">
        <f ca="1"/>
        <v>35.96</v>
      </c>
      <c r="H250" vm="3651">
        <f ca="1"/>
        <v>102.55</v>
      </c>
      <c r="I250" vm="2301">
        <f ca="1"/>
        <v>34.46</v>
      </c>
      <c r="J250" vm="3652">
        <f ca="1"/>
        <v>26.7</v>
      </c>
      <c r="K250" vm="3653">
        <f ca="1"/>
        <v>354.09</v>
      </c>
      <c r="L250" vm="3654">
        <f ca="1"/>
        <v>212.45</v>
      </c>
      <c r="M250" vm="3655">
        <f ca="1"/>
        <v>235.87</v>
      </c>
      <c r="N250" vm="3527">
        <f ca="1"/>
        <v>448.02</v>
      </c>
      <c r="O250" vm="3656">
        <f ca="1"/>
        <v>140.41999999999999</v>
      </c>
      <c r="P250" vm="3657">
        <f ca="1"/>
        <v>373.54</v>
      </c>
    </row>
    <row r="251" spans="1:16" x14ac:dyDescent="0.25">
      <c r="A251" vm="3658">
        <f ca="1"/>
        <v>45282</v>
      </c>
      <c r="B251" vm="3659">
        <f ca="1"/>
        <v>458.19</v>
      </c>
      <c r="C251" vm="3660">
        <f ca="1"/>
        <v>312.06</v>
      </c>
      <c r="D251" vm="3661">
        <f ca="1"/>
        <v>58.32</v>
      </c>
      <c r="E251" vm="3662">
        <f ca="1"/>
        <v>219.79</v>
      </c>
      <c r="F251" vm="3663">
        <f ca="1"/>
        <v>145.28</v>
      </c>
      <c r="G251" vm="2167">
        <f ca="1"/>
        <v>36.36</v>
      </c>
      <c r="H251" vm="1929">
        <f ca="1"/>
        <v>103.15</v>
      </c>
      <c r="I251" vm="3664">
        <f ca="1"/>
        <v>34.630000000000003</v>
      </c>
      <c r="J251" vm="3665">
        <f ca="1"/>
        <v>26.65</v>
      </c>
      <c r="K251" vm="3666">
        <f ca="1"/>
        <v>353.39</v>
      </c>
      <c r="L251" vm="3667">
        <f ca="1"/>
        <v>214.04</v>
      </c>
      <c r="M251" vm="3668">
        <f ca="1"/>
        <v>237.88</v>
      </c>
      <c r="N251" vm="3669">
        <f ca="1"/>
        <v>448.22</v>
      </c>
      <c r="O251" vm="3670">
        <f ca="1"/>
        <v>141.49</v>
      </c>
      <c r="P251" vm="3671">
        <f ca="1"/>
        <v>374.58</v>
      </c>
    </row>
    <row r="252" spans="1:16" x14ac:dyDescent="0.25">
      <c r="A252" vm="3672">
        <f ca="1"/>
        <v>45286</v>
      </c>
      <c r="B252" vm="3673">
        <f ca="1"/>
        <v>461.46</v>
      </c>
      <c r="C252" vm="3674">
        <f ca="1"/>
        <v>314.19</v>
      </c>
      <c r="D252" vm="3675">
        <f ca="1"/>
        <v>58.56</v>
      </c>
      <c r="E252" vm="3676">
        <f ca="1"/>
        <v>221.42</v>
      </c>
      <c r="F252" vm="1649">
        <f ca="1"/>
        <v>145.94</v>
      </c>
      <c r="G252" vm="3507">
        <f ca="1"/>
        <v>36.5</v>
      </c>
      <c r="H252" vm="3677">
        <f ca="1"/>
        <v>104.45</v>
      </c>
      <c r="I252" vm="3678">
        <f ca="1"/>
        <v>34.950000000000003</v>
      </c>
      <c r="J252" vm="3679">
        <f ca="1"/>
        <v>26.81</v>
      </c>
      <c r="K252" vm="3680">
        <f ca="1"/>
        <v>354.83</v>
      </c>
      <c r="L252" vm="3681">
        <f ca="1"/>
        <v>214.66</v>
      </c>
      <c r="M252" vm="3682">
        <f ca="1"/>
        <v>238.99</v>
      </c>
      <c r="N252" vm="3683">
        <f ca="1"/>
        <v>450.18</v>
      </c>
      <c r="O252" vm="3684">
        <f ca="1"/>
        <v>141.52000000000001</v>
      </c>
      <c r="P252" vm="3685">
        <f ca="1"/>
        <v>374.66</v>
      </c>
    </row>
    <row r="253" spans="1:16" x14ac:dyDescent="0.25">
      <c r="A253" vm="3686">
        <f ca="1"/>
        <v>45287</v>
      </c>
      <c r="B253" vm="362">
        <f ca="1"/>
        <v>462.25</v>
      </c>
      <c r="C253" vm="3687">
        <f ca="1"/>
        <v>313.91000000000003</v>
      </c>
      <c r="D253" vm="3688">
        <f ca="1"/>
        <v>58.71</v>
      </c>
      <c r="E253" vm="3689">
        <f ca="1"/>
        <v>223.34</v>
      </c>
      <c r="F253" vm="3690">
        <f ca="1"/>
        <v>146.06</v>
      </c>
      <c r="G253" vm="3691">
        <f ca="1"/>
        <v>36.520000000000003</v>
      </c>
      <c r="H253" vm="3692">
        <f ca="1"/>
        <v>104.65</v>
      </c>
      <c r="I253" vm="3693">
        <f ca="1"/>
        <v>34.65</v>
      </c>
      <c r="J253" vm="3694">
        <f ca="1"/>
        <v>26.9</v>
      </c>
      <c r="K253" vm="3695">
        <f ca="1"/>
        <v>357.83</v>
      </c>
      <c r="L253" vm="3696">
        <f ca="1"/>
        <v>215.95</v>
      </c>
      <c r="M253" vm="3697">
        <f ca="1"/>
        <v>240.12</v>
      </c>
      <c r="N253" vm="3698">
        <f ca="1"/>
        <v>448.97</v>
      </c>
      <c r="O253" vm="3699">
        <f ca="1"/>
        <v>140.37</v>
      </c>
      <c r="P253" vm="3700">
        <f ca="1"/>
        <v>374.07</v>
      </c>
    </row>
    <row r="254" spans="1:16" x14ac:dyDescent="0.25">
      <c r="A254" vm="3701">
        <f ca="1"/>
        <v>45288</v>
      </c>
      <c r="B254" vm="2027">
        <f ca="1"/>
        <v>461.96</v>
      </c>
      <c r="C254" vm="3702">
        <f ca="1"/>
        <v>313.95</v>
      </c>
      <c r="D254" vm="3703">
        <f ca="1"/>
        <v>58.75</v>
      </c>
      <c r="E254" vm="669">
        <f ca="1"/>
        <v>221.74</v>
      </c>
      <c r="F254" vm="3704">
        <f ca="1"/>
        <v>145.72999999999999</v>
      </c>
      <c r="G254" vm="3705">
        <f ca="1"/>
        <v>36.74</v>
      </c>
      <c r="H254" vm="3706">
        <f ca="1"/>
        <v>104.7</v>
      </c>
      <c r="I254" vm="3707">
        <f ca="1"/>
        <v>34.74</v>
      </c>
      <c r="J254" vm="3708">
        <f ca="1"/>
        <v>26.84</v>
      </c>
      <c r="K254" vm="3709">
        <f ca="1"/>
        <v>358.32</v>
      </c>
      <c r="L254" vm="3710">
        <f ca="1"/>
        <v>216.47</v>
      </c>
      <c r="M254" vm="3711">
        <f ca="1"/>
        <v>242.16</v>
      </c>
      <c r="N254" vm="3712">
        <f ca="1"/>
        <v>451.23</v>
      </c>
      <c r="O254" vm="3713">
        <f ca="1"/>
        <v>140.22999999999999</v>
      </c>
      <c r="P254" vm="3714">
        <f ca="1"/>
        <v>375.28</v>
      </c>
    </row>
    <row r="255" spans="1:16" x14ac:dyDescent="0.25">
      <c r="A255" vm="3715">
        <f ca="1"/>
        <v>45289</v>
      </c>
      <c r="B255" vm="3716">
        <f ca="1"/>
        <v>460.7</v>
      </c>
      <c r="C255" vm="3717">
        <f ca="1"/>
        <v>312.43</v>
      </c>
      <c r="D255" vm="3718">
        <f ca="1"/>
        <v>58.93</v>
      </c>
      <c r="E255" vm="3719">
        <f ca="1"/>
        <v>219.85</v>
      </c>
      <c r="F255" vm="3720">
        <f ca="1"/>
        <v>146.54</v>
      </c>
      <c r="G255" vm="3721">
        <f ca="1"/>
        <v>36.979999999999997</v>
      </c>
      <c r="H255" vm="3722">
        <f ca="1"/>
        <v>104</v>
      </c>
      <c r="I255" vm="3723">
        <f ca="1"/>
        <v>34.67</v>
      </c>
      <c r="J255" vm="3724">
        <f ca="1"/>
        <v>26.96</v>
      </c>
      <c r="K255" vm="3725">
        <f ca="1"/>
        <v>353.96</v>
      </c>
      <c r="L255" vm="747">
        <f ca="1"/>
        <v>215.8</v>
      </c>
      <c r="M255" vm="3726">
        <f ca="1"/>
        <v>241.75</v>
      </c>
      <c r="N255" vm="3727">
        <f ca="1"/>
        <v>453.24</v>
      </c>
      <c r="O255" vm="3728">
        <f ca="1"/>
        <v>139.69</v>
      </c>
      <c r="P255" vm="3729">
        <f ca="1"/>
        <v>376.04</v>
      </c>
    </row>
    <row r="256" spans="1:16" x14ac:dyDescent="0.25">
      <c r="A256" vm="3730">
        <f ca="1"/>
        <v>45293</v>
      </c>
      <c r="B256" vm="3731">
        <f ca="1"/>
        <v>458.61</v>
      </c>
      <c r="C256" vm="3732">
        <f ca="1"/>
        <v>310</v>
      </c>
      <c r="D256" vm="616">
        <f ca="1"/>
        <v>59.82</v>
      </c>
      <c r="E256" vm="3733">
        <f ca="1"/>
        <v>217.08</v>
      </c>
      <c r="F256" vm="3734">
        <f ca="1"/>
        <v>148.74</v>
      </c>
      <c r="G256" vm="772">
        <f ca="1"/>
        <v>38.119999999999997</v>
      </c>
      <c r="H256" vm="3735">
        <f ca="1"/>
        <v>101.53</v>
      </c>
      <c r="I256" vm="3736">
        <f ca="1"/>
        <v>34.619999999999997</v>
      </c>
      <c r="J256" vm="3737">
        <f ca="1"/>
        <v>26.1</v>
      </c>
      <c r="K256" vm="3738">
        <f ca="1"/>
        <v>346.29</v>
      </c>
      <c r="L256" vm="3739">
        <f ca="1"/>
        <v>209.27</v>
      </c>
      <c r="M256" vm="3740">
        <f ca="1"/>
        <v>243.89</v>
      </c>
      <c r="N256" vm="3741">
        <f ca="1"/>
        <v>456.12</v>
      </c>
      <c r="O256" vm="3742">
        <f ca="1"/>
        <v>138.16999999999999</v>
      </c>
      <c r="P256" vm="3743">
        <f ca="1"/>
        <v>370.87</v>
      </c>
    </row>
    <row r="257" spans="1:16" x14ac:dyDescent="0.25">
      <c r="A257" vm="3744">
        <f ca="1"/>
        <v>45294</v>
      </c>
      <c r="B257" vm="3745">
        <f ca="1"/>
        <v>450.68</v>
      </c>
      <c r="C257" vm="3746">
        <f ca="1"/>
        <v>301.57</v>
      </c>
      <c r="D257" vm="3747">
        <f ca="1"/>
        <v>59.96</v>
      </c>
      <c r="E257" vm="1767">
        <f ca="1"/>
        <v>213.53</v>
      </c>
      <c r="F257" vm="3748">
        <f ca="1"/>
        <v>147.84</v>
      </c>
      <c r="G257" vm="3749">
        <f ca="1"/>
        <v>38.08</v>
      </c>
      <c r="H257" vm="3750">
        <f ca="1"/>
        <v>100.17</v>
      </c>
      <c r="I257" vm="3751">
        <f ca="1"/>
        <v>34.659999999999997</v>
      </c>
      <c r="J257" vm="3752">
        <f ca="1"/>
        <v>26.08</v>
      </c>
      <c r="K257" vm="3753">
        <f ca="1"/>
        <v>344.47</v>
      </c>
      <c r="L257" vm="3754">
        <f ca="1"/>
        <v>201.74</v>
      </c>
      <c r="M257" vm="3755">
        <f ca="1"/>
        <v>241.42</v>
      </c>
      <c r="N257" vm="3756">
        <f ca="1"/>
        <v>459.12</v>
      </c>
      <c r="O257" vm="3757">
        <f ca="1"/>
        <v>138.91999999999999</v>
      </c>
      <c r="P257" vm="3758">
        <f ca="1"/>
        <v>370.6</v>
      </c>
    </row>
    <row r="258" spans="1:16" x14ac:dyDescent="0.25">
      <c r="A258" vm="3759">
        <f ca="1"/>
        <v>45295</v>
      </c>
      <c r="B258" vm="3760">
        <f ca="1"/>
        <v>452.06</v>
      </c>
      <c r="C258" vm="2640">
        <f ca="1"/>
        <v>301.66000000000003</v>
      </c>
      <c r="D258" vm="1972">
        <f ca="1"/>
        <v>59.76</v>
      </c>
      <c r="E258" vm="3761">
        <f ca="1"/>
        <v>216</v>
      </c>
      <c r="F258" vm="3762">
        <f ca="1"/>
        <v>148.65</v>
      </c>
      <c r="G258" vm="3763">
        <f ca="1"/>
        <v>37.78</v>
      </c>
      <c r="H258" vm="3764">
        <f ca="1"/>
        <v>99.13</v>
      </c>
      <c r="I258" vm="3765">
        <f ca="1"/>
        <v>34.72</v>
      </c>
      <c r="J258" vm="3766">
        <f ca="1"/>
        <v>25.47</v>
      </c>
      <c r="K258" vm="3767">
        <f ca="1"/>
        <v>347.12</v>
      </c>
      <c r="L258" vm="3768">
        <f ca="1"/>
        <v>200.07</v>
      </c>
      <c r="M258" vm="3769">
        <f ca="1"/>
        <v>242.33</v>
      </c>
      <c r="N258" vm="3770">
        <f ca="1"/>
        <v>457.87</v>
      </c>
      <c r="O258" vm="3771">
        <f ca="1"/>
        <v>136.38999999999999</v>
      </c>
      <c r="P258" vm="3772">
        <f ca="1"/>
        <v>367.94</v>
      </c>
    </row>
    <row r="259" spans="1:16" x14ac:dyDescent="0.25">
      <c r="A259" vm="3773">
        <f ca="1"/>
        <v>45296</v>
      </c>
      <c r="B259" vm="3774">
        <f ca="1"/>
        <v>453.55</v>
      </c>
      <c r="C259" vm="3775">
        <f ca="1"/>
        <v>306.25</v>
      </c>
      <c r="D259" vm="3776">
        <f ca="1"/>
        <v>59.67</v>
      </c>
      <c r="E259" vm="3777">
        <f ca="1"/>
        <v>215.93</v>
      </c>
      <c r="F259" vm="3778">
        <f ca="1"/>
        <v>147.41999999999999</v>
      </c>
      <c r="G259" vm="757">
        <f ca="1"/>
        <v>37.94</v>
      </c>
      <c r="H259" vm="3779">
        <f ca="1"/>
        <v>99.61</v>
      </c>
      <c r="I259" vm="3736">
        <f ca="1"/>
        <v>34.619999999999997</v>
      </c>
      <c r="J259" vm="3780">
        <f ca="1"/>
        <v>25.78</v>
      </c>
      <c r="K259" vm="3781">
        <f ca="1"/>
        <v>351.95</v>
      </c>
      <c r="L259" vm="3782">
        <f ca="1"/>
        <v>199.08</v>
      </c>
      <c r="M259" vm="3783">
        <f ca="1"/>
        <v>247.53</v>
      </c>
      <c r="N259" vm="3784">
        <f ca="1"/>
        <v>456.5</v>
      </c>
      <c r="O259" vm="3785">
        <f ca="1"/>
        <v>135.72999999999999</v>
      </c>
      <c r="P259" vm="3786">
        <f ca="1"/>
        <v>367.75</v>
      </c>
    </row>
    <row r="260" spans="1:16" x14ac:dyDescent="0.25">
      <c r="A260" vm="3787">
        <f ca="1"/>
        <v>45299</v>
      </c>
      <c r="B260" vm="3788">
        <f ca="1"/>
        <v>458.69</v>
      </c>
      <c r="C260" vm="3789">
        <f ca="1"/>
        <v>309.52999999999997</v>
      </c>
      <c r="D260" vm="2468">
        <f ca="1"/>
        <v>60.11</v>
      </c>
      <c r="E260" vm="3790">
        <f ca="1"/>
        <v>220.8</v>
      </c>
      <c r="F260" vm="985">
        <f ca="1"/>
        <v>148.69</v>
      </c>
      <c r="G260" vm="3791">
        <f ca="1"/>
        <v>38.25</v>
      </c>
      <c r="H260" vm="3792">
        <f ca="1"/>
        <v>102.24</v>
      </c>
      <c r="I260" vm="3793">
        <f ca="1"/>
        <v>34.69</v>
      </c>
      <c r="J260" vm="3794">
        <f ca="1"/>
        <v>25.38</v>
      </c>
      <c r="K260" vm="3795">
        <f ca="1"/>
        <v>358.66</v>
      </c>
      <c r="L260" vm="3796">
        <f ca="1"/>
        <v>205.57</v>
      </c>
      <c r="M260" vm="3797">
        <f ca="1"/>
        <v>250</v>
      </c>
      <c r="N260" vm="3798">
        <f ca="1"/>
        <v>458.6</v>
      </c>
      <c r="O260" vm="3799">
        <f ca="1"/>
        <v>138.84</v>
      </c>
      <c r="P260" vm="3800">
        <f ca="1"/>
        <v>374.69</v>
      </c>
    </row>
    <row r="261" spans="1:16" x14ac:dyDescent="0.25">
      <c r="A261" vm="3801">
        <f ca="1"/>
        <v>45300</v>
      </c>
      <c r="B261" vm="3802">
        <f ca="1"/>
        <v>457.46</v>
      </c>
      <c r="C261" vm="3803">
        <f ca="1"/>
        <v>307.70999999999998</v>
      </c>
      <c r="D261" vm="1619">
        <f ca="1"/>
        <v>60</v>
      </c>
      <c r="E261" vm="3804">
        <f ca="1"/>
        <v>221.98</v>
      </c>
      <c r="F261" vm="3805">
        <f ca="1"/>
        <v>149.30000000000001</v>
      </c>
      <c r="G261" vm="3806">
        <f ca="1"/>
        <v>38.549999999999997</v>
      </c>
      <c r="H261" vm="3807">
        <f ca="1"/>
        <v>101.89</v>
      </c>
      <c r="I261" vm="3808">
        <f ca="1"/>
        <v>34.61</v>
      </c>
      <c r="J261" vm="3809">
        <f ca="1"/>
        <v>25.24</v>
      </c>
      <c r="K261" vm="3810">
        <f ca="1"/>
        <v>357.43</v>
      </c>
      <c r="L261" vm="3811">
        <f ca="1"/>
        <v>204.1</v>
      </c>
      <c r="M261" vm="3812">
        <f ca="1"/>
        <v>253.54</v>
      </c>
      <c r="N261" vm="3813">
        <f ca="1"/>
        <v>456.29</v>
      </c>
      <c r="O261" vm="678">
        <f ca="1"/>
        <v>140.94999999999999</v>
      </c>
      <c r="P261" vm="3814">
        <f ca="1"/>
        <v>375.79</v>
      </c>
    </row>
    <row r="262" spans="1:16" x14ac:dyDescent="0.25">
      <c r="A262" vm="3815">
        <f ca="1"/>
        <v>45301</v>
      </c>
      <c r="B262" vm="3816">
        <f ca="1"/>
        <v>460.78</v>
      </c>
      <c r="C262" vm="3817">
        <f ca="1"/>
        <v>305.98</v>
      </c>
      <c r="D262" vm="3818">
        <f ca="1"/>
        <v>60.2</v>
      </c>
      <c r="E262" vm="3819">
        <f ca="1"/>
        <v>223.99</v>
      </c>
      <c r="F262" vm="3820">
        <f ca="1"/>
        <v>149.94</v>
      </c>
      <c r="G262" vm="3821">
        <f ca="1"/>
        <v>37.89</v>
      </c>
      <c r="H262" vm="3822">
        <f ca="1"/>
        <v>100.8</v>
      </c>
      <c r="I262" vm="3823">
        <f ca="1"/>
        <v>34.700000000000003</v>
      </c>
      <c r="J262" vm="3824">
        <f ca="1"/>
        <v>25.66</v>
      </c>
      <c r="K262" vm="3147">
        <f ca="1"/>
        <v>370.47</v>
      </c>
      <c r="L262" vm="3825">
        <f ca="1"/>
        <v>203.64</v>
      </c>
      <c r="M262" vm="596">
        <f ca="1"/>
        <v>254.77</v>
      </c>
      <c r="N262" vm="3826">
        <f ca="1"/>
        <v>455.4</v>
      </c>
      <c r="O262" vm="3827">
        <f ca="1"/>
        <v>142.28</v>
      </c>
      <c r="P262" vm="3828">
        <f ca="1"/>
        <v>382.77</v>
      </c>
    </row>
    <row r="263" spans="1:16" x14ac:dyDescent="0.25">
      <c r="A263" vm="3829">
        <f ca="1"/>
        <v>45302</v>
      </c>
      <c r="B263" vm="3830">
        <f ca="1"/>
        <v>462.64</v>
      </c>
      <c r="C263" vm="3831">
        <f ca="1"/>
        <v>306.06</v>
      </c>
      <c r="D263" vm="193">
        <f ca="1"/>
        <v>59.81</v>
      </c>
      <c r="E263" vm="3832">
        <f ca="1"/>
        <v>222.62</v>
      </c>
      <c r="F263" vm="3833">
        <f ca="1"/>
        <v>150.51</v>
      </c>
      <c r="G263" vm="3834">
        <f ca="1"/>
        <v>37.58</v>
      </c>
      <c r="H263" vm="853">
        <f ca="1"/>
        <v>101.22</v>
      </c>
      <c r="I263" vm="3835">
        <f ca="1"/>
        <v>34.57</v>
      </c>
      <c r="J263" vm="3836">
        <f ca="1"/>
        <v>25.16</v>
      </c>
      <c r="K263" vm="3257">
        <f ca="1"/>
        <v>369.67</v>
      </c>
      <c r="L263" vm="3837">
        <f ca="1"/>
        <v>202.47</v>
      </c>
      <c r="M263" vm="3838">
        <f ca="1"/>
        <v>257.42</v>
      </c>
      <c r="N263" vm="3839">
        <f ca="1"/>
        <v>453.13</v>
      </c>
      <c r="O263" vm="3840">
        <f ca="1"/>
        <v>142.08000000000001</v>
      </c>
      <c r="P263" vm="3841">
        <f ca="1"/>
        <v>384.63</v>
      </c>
    </row>
    <row r="264" spans="1:16" x14ac:dyDescent="0.25">
      <c r="A264" vm="3842">
        <f ca="1"/>
        <v>45303</v>
      </c>
      <c r="B264" vm="3843">
        <f ca="1"/>
        <v>460.32</v>
      </c>
      <c r="C264" vm="3844">
        <f ca="1"/>
        <v>302.10000000000002</v>
      </c>
      <c r="D264" vm="2480">
        <f ca="1"/>
        <v>60.39</v>
      </c>
      <c r="E264" vm="3845">
        <f ca="1"/>
        <v>223.4</v>
      </c>
      <c r="F264" vm="3081">
        <f ca="1"/>
        <v>150.6</v>
      </c>
      <c r="G264" vm="3846">
        <f ca="1"/>
        <v>37.68</v>
      </c>
      <c r="H264" vm="3847">
        <f ca="1"/>
        <v>101.24</v>
      </c>
      <c r="I264" vm="3848">
        <f ca="1"/>
        <v>34.86</v>
      </c>
      <c r="J264" vm="3849">
        <f ca="1"/>
        <v>25.48</v>
      </c>
      <c r="K264" vm="3850">
        <f ca="1"/>
        <v>374.49</v>
      </c>
      <c r="L264" vm="3851">
        <f ca="1"/>
        <v>202.46</v>
      </c>
      <c r="M264" vm="3852">
        <f ca="1"/>
        <v>258.3</v>
      </c>
      <c r="N264" vm="3853">
        <f ca="1"/>
        <v>463.18</v>
      </c>
      <c r="O264" vm="3854">
        <f ca="1"/>
        <v>142.65</v>
      </c>
      <c r="P264" vm="3855">
        <f ca="1"/>
        <v>388.47</v>
      </c>
    </row>
    <row r="265" spans="1:16" x14ac:dyDescent="0.25">
      <c r="A265" vm="3856">
        <f ca="1"/>
        <v>45307</v>
      </c>
      <c r="B265" vm="3857">
        <f ca="1"/>
        <v>460.75</v>
      </c>
      <c r="C265" vm="3858">
        <f ca="1"/>
        <v>300.88</v>
      </c>
      <c r="D265" vm="3859">
        <f ca="1"/>
        <v>59.99</v>
      </c>
      <c r="E265" vm="3860">
        <f ca="1"/>
        <v>221.27</v>
      </c>
      <c r="F265" vm="3861">
        <f ca="1"/>
        <v>149.79</v>
      </c>
      <c r="G265" vm="3862">
        <f ca="1"/>
        <v>37.61</v>
      </c>
      <c r="H265" vm="3863">
        <f ca="1"/>
        <v>101.67</v>
      </c>
      <c r="I265" vm="3707">
        <f ca="1"/>
        <v>34.74</v>
      </c>
      <c r="J265" vm="3864">
        <f ca="1"/>
        <v>25.03</v>
      </c>
      <c r="K265" vm="3865">
        <f ca="1"/>
        <v>367.46</v>
      </c>
      <c r="L265" vm="3866">
        <f ca="1"/>
        <v>201.37</v>
      </c>
      <c r="M265" vm="3867">
        <f ca="1"/>
        <v>255.38</v>
      </c>
      <c r="N265" vm="3868">
        <f ca="1"/>
        <v>457.84</v>
      </c>
      <c r="O265" vm="3869">
        <f ca="1"/>
        <v>142.49</v>
      </c>
      <c r="P265" vm="3870">
        <f ca="1"/>
        <v>390.27</v>
      </c>
    </row>
    <row r="266" spans="1:16" x14ac:dyDescent="0.25">
      <c r="A266" vm="3871">
        <f ca="1"/>
        <v>45308</v>
      </c>
      <c r="B266" vm="3872">
        <f ca="1"/>
        <v>456.05</v>
      </c>
      <c r="C266" vm="3873">
        <f ca="1"/>
        <v>309.60000000000002</v>
      </c>
      <c r="D266" vm="3859">
        <f ca="1"/>
        <v>59.99</v>
      </c>
      <c r="E266" vm="3874">
        <f ca="1"/>
        <v>218.88</v>
      </c>
      <c r="F266" vm="3820">
        <f ca="1"/>
        <v>149.94</v>
      </c>
      <c r="G266" vm="742">
        <f ca="1"/>
        <v>37.79</v>
      </c>
      <c r="H266" vm="3875">
        <f ca="1"/>
        <v>102.95</v>
      </c>
      <c r="I266" vm="2328">
        <f ca="1"/>
        <v>34.39</v>
      </c>
      <c r="J266" vm="3876">
        <f ca="1"/>
        <v>25.27</v>
      </c>
      <c r="K266" vm="3877">
        <f ca="1"/>
        <v>368.37</v>
      </c>
      <c r="L266" vm="3878">
        <f ca="1"/>
        <v>200.16</v>
      </c>
      <c r="M266" vm="3879">
        <f ca="1"/>
        <v>252.66</v>
      </c>
      <c r="N266" vm="3880">
        <f ca="1"/>
        <v>456.47</v>
      </c>
      <c r="O266" vm="3881">
        <f ca="1"/>
        <v>141.47</v>
      </c>
      <c r="P266" vm="3882">
        <f ca="1"/>
        <v>389.47</v>
      </c>
    </row>
    <row r="267" spans="1:16" x14ac:dyDescent="0.25">
      <c r="A267" vm="3883">
        <f ca="1"/>
        <v>45309</v>
      </c>
      <c r="B267" vm="3884">
        <f ca="1"/>
        <v>465.7</v>
      </c>
      <c r="C267" vm="1419">
        <f ca="1"/>
        <v>310.11</v>
      </c>
      <c r="D267" vm="3885">
        <f ca="1"/>
        <v>60.16</v>
      </c>
      <c r="E267" vm="3886">
        <f ca="1"/>
        <v>220.47</v>
      </c>
      <c r="F267" vm="3887">
        <f ca="1"/>
        <v>148.13999999999999</v>
      </c>
      <c r="G267" vm="3888">
        <f ca="1"/>
        <v>37.01</v>
      </c>
      <c r="H267" vm="3889">
        <f ca="1"/>
        <v>113.03</v>
      </c>
      <c r="I267" vm="3890">
        <f ca="1"/>
        <v>34.450000000000003</v>
      </c>
      <c r="J267" vm="3836">
        <f ca="1"/>
        <v>25.16</v>
      </c>
      <c r="K267" vm="3891">
        <f ca="1"/>
        <v>376.13</v>
      </c>
      <c r="L267" vm="3892">
        <f ca="1"/>
        <v>201.91</v>
      </c>
      <c r="M267" vm="2577">
        <f ca="1"/>
        <v>253.65</v>
      </c>
      <c r="N267" vm="3893">
        <f ca="1"/>
        <v>459.57</v>
      </c>
      <c r="O267" vm="3894">
        <f ca="1"/>
        <v>143.47999999999999</v>
      </c>
      <c r="P267" vm="3895">
        <f ca="1"/>
        <v>393.87</v>
      </c>
    </row>
    <row r="268" spans="1:16" x14ac:dyDescent="0.25">
      <c r="A268" vm="3896">
        <f ca="1"/>
        <v>45310</v>
      </c>
      <c r="B268" vm="3897">
        <f ca="1"/>
        <v>470.37</v>
      </c>
      <c r="C268" vm="3898">
        <f ca="1"/>
        <v>308.74</v>
      </c>
      <c r="D268" vm="384">
        <f ca="1"/>
        <v>59.83</v>
      </c>
      <c r="E268" vm="3899">
        <f ca="1"/>
        <v>221.43</v>
      </c>
      <c r="F268" vm="3900">
        <f ca="1"/>
        <v>147.57</v>
      </c>
      <c r="G268" vm="3901">
        <f ca="1"/>
        <v>37.08</v>
      </c>
      <c r="H268" vm="3902">
        <f ca="1"/>
        <v>114.2</v>
      </c>
      <c r="I268" vm="2342">
        <f ca="1"/>
        <v>34.549999999999997</v>
      </c>
      <c r="J268" vm="3903">
        <f ca="1"/>
        <v>25.37</v>
      </c>
      <c r="K268" vm="3904">
        <f ca="1"/>
        <v>383.45</v>
      </c>
      <c r="L268" vm="3905">
        <f ca="1"/>
        <v>202.43</v>
      </c>
      <c r="M268" vm="3906">
        <f ca="1"/>
        <v>253.95</v>
      </c>
      <c r="N268" vm="3907">
        <f ca="1"/>
        <v>457.76</v>
      </c>
      <c r="O268" vm="3908">
        <f ca="1"/>
        <v>146.38</v>
      </c>
      <c r="P268" vm="3909">
        <f ca="1"/>
        <v>398.67</v>
      </c>
    </row>
    <row r="269" spans="1:16" x14ac:dyDescent="0.25">
      <c r="A269" vm="3910">
        <f ca="1"/>
        <v>45313</v>
      </c>
      <c r="B269" vm="3911">
        <f ca="1"/>
        <v>473.52</v>
      </c>
      <c r="C269" vm="3912">
        <f ca="1"/>
        <v>309.16000000000003</v>
      </c>
      <c r="D269" vm="3913">
        <f ca="1"/>
        <v>59.57</v>
      </c>
      <c r="E269" vm="3914">
        <f ca="1"/>
        <v>220.06</v>
      </c>
      <c r="F269" vm="3915">
        <f ca="1"/>
        <v>147.86000000000001</v>
      </c>
      <c r="G269" vm="3916">
        <f ca="1"/>
        <v>36.76</v>
      </c>
      <c r="H269" vm="3889">
        <f ca="1"/>
        <v>113.03</v>
      </c>
      <c r="I269" vm="3917">
        <f ca="1"/>
        <v>34.75</v>
      </c>
      <c r="J269" vm="3918">
        <f ca="1"/>
        <v>26.14</v>
      </c>
      <c r="K269" vm="3919">
        <f ca="1"/>
        <v>381.78</v>
      </c>
      <c r="L269" vm="3920">
        <f ca="1"/>
        <v>203.46</v>
      </c>
      <c r="M269" vm="3921">
        <f ca="1"/>
        <v>251.63</v>
      </c>
      <c r="N269" vm="3922">
        <f ca="1"/>
        <v>458.76</v>
      </c>
      <c r="O269" vm="3923">
        <f ca="1"/>
        <v>145.99</v>
      </c>
      <c r="P269" vm="3924">
        <f ca="1"/>
        <v>396.51</v>
      </c>
    </row>
    <row r="270" spans="1:16" x14ac:dyDescent="0.25">
      <c r="A270" vm="3925">
        <f ca="1"/>
        <v>45314</v>
      </c>
      <c r="B270" vm="408">
        <f ca="1"/>
        <v>469.1</v>
      </c>
      <c r="C270" vm="3926">
        <f ca="1"/>
        <v>303.92</v>
      </c>
      <c r="D270" vm="3927">
        <f ca="1"/>
        <v>59.85</v>
      </c>
      <c r="E270" vm="3928">
        <f ca="1"/>
        <v>216.78</v>
      </c>
      <c r="F270" vm="3929">
        <f ca="1"/>
        <v>153.97999999999999</v>
      </c>
      <c r="G270" vm="3930">
        <f ca="1"/>
        <v>37.15</v>
      </c>
      <c r="H270" vm="3931">
        <f ca="1"/>
        <v>114.13</v>
      </c>
      <c r="I270" vm="3393">
        <f ca="1"/>
        <v>34.89</v>
      </c>
      <c r="J270" vm="3932">
        <f ca="1"/>
        <v>25.69</v>
      </c>
      <c r="K270" vm="3933">
        <f ca="1"/>
        <v>385.2</v>
      </c>
      <c r="L270" vm="3934">
        <f ca="1"/>
        <v>195.56</v>
      </c>
      <c r="M270" vm="3935">
        <f ca="1"/>
        <v>252.99</v>
      </c>
      <c r="N270" vm="3936">
        <f ca="1"/>
        <v>439.67</v>
      </c>
      <c r="O270" vm="3937">
        <f ca="1"/>
        <v>147.04</v>
      </c>
      <c r="P270" vm="3938">
        <f ca="1"/>
        <v>398.9</v>
      </c>
    </row>
    <row r="271" spans="1:16" x14ac:dyDescent="0.25">
      <c r="A271" vm="3939">
        <f ca="1"/>
        <v>45315</v>
      </c>
      <c r="B271" vm="3940">
        <f ca="1"/>
        <v>464.88</v>
      </c>
      <c r="C271" vm="3941">
        <f ca="1"/>
        <v>302.19</v>
      </c>
      <c r="D271" vm="3942">
        <f ca="1"/>
        <v>58.91</v>
      </c>
      <c r="E271" vm="3943">
        <f ca="1"/>
        <v>214.85</v>
      </c>
      <c r="F271" vm="3277">
        <f ca="1"/>
        <v>152.12</v>
      </c>
      <c r="G271" vm="3944">
        <f ca="1"/>
        <v>36.82</v>
      </c>
      <c r="H271" vm="3945">
        <f ca="1"/>
        <v>116.52</v>
      </c>
      <c r="I271" vm="2328">
        <f ca="1"/>
        <v>34.39</v>
      </c>
      <c r="J271" vm="3946">
        <f ca="1"/>
        <v>25.75</v>
      </c>
      <c r="K271" vm="3947">
        <f ca="1"/>
        <v>390.7</v>
      </c>
      <c r="L271" vm="3948">
        <f ca="1"/>
        <v>193.28</v>
      </c>
      <c r="M271" vm="1745">
        <f ca="1"/>
        <v>247.41</v>
      </c>
      <c r="N271" vm="3949">
        <f ca="1"/>
        <v>431.65</v>
      </c>
      <c r="O271" vm="560">
        <f ca="1"/>
        <v>148.69999999999999</v>
      </c>
      <c r="P271" vm="3950">
        <f ca="1"/>
        <v>402.56</v>
      </c>
    </row>
    <row r="272" spans="1:16" x14ac:dyDescent="0.25">
      <c r="A272" vm="3951">
        <f ca="1"/>
        <v>45316</v>
      </c>
      <c r="B272" vm="3952">
        <f ca="1"/>
        <v>471.8</v>
      </c>
      <c r="C272" vm="3953">
        <f ca="1"/>
        <v>310.20999999999998</v>
      </c>
      <c r="D272" vm="3954">
        <f ca="1"/>
        <v>59.16</v>
      </c>
      <c r="E272" vm="3955">
        <f ca="1"/>
        <v>216.68</v>
      </c>
      <c r="F272" vm="3956">
        <f ca="1"/>
        <v>155.62</v>
      </c>
      <c r="G272" vm="3549">
        <f ca="1"/>
        <v>37.26</v>
      </c>
      <c r="H272" vm="3957">
        <f ca="1"/>
        <v>116.56</v>
      </c>
      <c r="I272" vm="2285">
        <f ca="1"/>
        <v>35</v>
      </c>
      <c r="J272" vm="3958">
        <f ca="1"/>
        <v>26.35</v>
      </c>
      <c r="K272" vm="3959">
        <f ca="1"/>
        <v>393.18</v>
      </c>
      <c r="L272" vm="3960">
        <f ca="1"/>
        <v>197.99</v>
      </c>
      <c r="M272" vm="3961">
        <f ca="1"/>
        <v>250.21</v>
      </c>
      <c r="N272" vm="3962">
        <f ca="1"/>
        <v>431.04</v>
      </c>
      <c r="O272" vm="3963">
        <f ca="1"/>
        <v>151.87</v>
      </c>
      <c r="P272" vm="3964">
        <f ca="1"/>
        <v>404.87</v>
      </c>
    </row>
    <row r="273" spans="1:16" x14ac:dyDescent="0.25">
      <c r="A273" vm="3965">
        <f ca="1"/>
        <v>45317</v>
      </c>
      <c r="B273" vm="3966">
        <f ca="1"/>
        <v>471.59</v>
      </c>
      <c r="C273" vm="3967">
        <f ca="1"/>
        <v>309.05</v>
      </c>
      <c r="D273" vm="3968">
        <f ca="1"/>
        <v>59.37</v>
      </c>
      <c r="E273" vm="3969">
        <f ca="1"/>
        <v>216.09</v>
      </c>
      <c r="F273" vm="3970">
        <f ca="1"/>
        <v>156.13999999999999</v>
      </c>
      <c r="G273" vm="3971">
        <f ca="1"/>
        <v>37.21</v>
      </c>
      <c r="H273" vm="3972">
        <f ca="1"/>
        <v>117.26</v>
      </c>
      <c r="I273" vm="3973">
        <f ca="1"/>
        <v>35.39</v>
      </c>
      <c r="J273" vm="3974">
        <f ca="1"/>
        <v>25.5</v>
      </c>
      <c r="K273" vm="3975">
        <f ca="1"/>
        <v>394.14</v>
      </c>
      <c r="L273" vm="3976">
        <f ca="1"/>
        <v>196.3</v>
      </c>
      <c r="M273" vm="3977">
        <f ca="1"/>
        <v>249.5</v>
      </c>
      <c r="N273" vm="3978">
        <f ca="1"/>
        <v>429.91</v>
      </c>
      <c r="O273" vm="3979">
        <f ca="1"/>
        <v>152.185</v>
      </c>
      <c r="P273" vm="3980">
        <f ca="1"/>
        <v>403.93</v>
      </c>
    </row>
    <row r="274" spans="1:16" x14ac:dyDescent="0.25">
      <c r="A274" vm="3981">
        <f ca="1"/>
        <v>45320</v>
      </c>
      <c r="B274" vm="60">
        <f ca="1"/>
        <v>476.5</v>
      </c>
      <c r="C274" vm="812">
        <f ca="1"/>
        <v>314</v>
      </c>
      <c r="D274" vm="3982">
        <f ca="1"/>
        <v>59.73</v>
      </c>
      <c r="E274" vm="3983">
        <f ca="1"/>
        <v>216.69</v>
      </c>
      <c r="F274" vm="3984">
        <f ca="1"/>
        <v>156.16</v>
      </c>
      <c r="G274" vm="3985">
        <f ca="1"/>
        <v>37.31</v>
      </c>
      <c r="H274" vm="3986">
        <f ca="1"/>
        <v>116.98</v>
      </c>
      <c r="I274" vm="3987">
        <f ca="1"/>
        <v>35.590000000000003</v>
      </c>
      <c r="J274" vm="3988">
        <f ca="1"/>
        <v>25.8</v>
      </c>
      <c r="K274" vm="3989">
        <f ca="1"/>
        <v>401.02</v>
      </c>
      <c r="L274" vm="3990">
        <f ca="1"/>
        <v>197.06</v>
      </c>
      <c r="M274" vm="3991">
        <f ca="1"/>
        <v>250.8</v>
      </c>
      <c r="N274" vm="3992">
        <f ca="1"/>
        <v>428.01</v>
      </c>
      <c r="O274" vm="3993">
        <f ca="1"/>
        <v>153.51</v>
      </c>
      <c r="P274" vm="3994">
        <f ca="1"/>
        <v>409.72</v>
      </c>
    </row>
    <row r="275" spans="1:16" x14ac:dyDescent="0.25">
      <c r="A275" vm="3995">
        <f ca="1"/>
        <v>45321</v>
      </c>
      <c r="B275" vm="3996">
        <f ca="1"/>
        <v>477.86</v>
      </c>
      <c r="C275" vm="3997">
        <f ca="1"/>
        <v>320.38</v>
      </c>
      <c r="D275" vm="3998">
        <f ca="1"/>
        <v>59.9</v>
      </c>
      <c r="E275" vm="3999">
        <f ca="1"/>
        <v>218.17</v>
      </c>
      <c r="F275" vm="4000">
        <f ca="1"/>
        <v>157.49</v>
      </c>
      <c r="G275" vm="4001">
        <f ca="1"/>
        <v>37.35</v>
      </c>
      <c r="H275" vm="4002">
        <f ca="1"/>
        <v>116.06</v>
      </c>
      <c r="I275" vm="1944">
        <f ca="1"/>
        <v>35.85</v>
      </c>
      <c r="J275" vm="4003">
        <f ca="1"/>
        <v>25.61</v>
      </c>
      <c r="K275" vm="4004">
        <f ca="1"/>
        <v>400.06</v>
      </c>
      <c r="L275" vm="4005">
        <f ca="1"/>
        <v>197.25</v>
      </c>
      <c r="M275" vm="4006">
        <f ca="1"/>
        <v>248.43</v>
      </c>
      <c r="N275" vm="4007">
        <f ca="1"/>
        <v>431.68</v>
      </c>
      <c r="O275" vm="4008">
        <f ca="1"/>
        <v>151.46</v>
      </c>
      <c r="P275" vm="4009">
        <f ca="1"/>
        <v>408.59</v>
      </c>
    </row>
    <row r="276" spans="1:16" x14ac:dyDescent="0.25">
      <c r="A276" vm="4010">
        <f ca="1"/>
        <v>45322</v>
      </c>
      <c r="B276" vm="4011">
        <f ca="1"/>
        <v>464.5</v>
      </c>
      <c r="C276" vm="4012">
        <f ca="1"/>
        <v>314.26</v>
      </c>
      <c r="D276" vm="4013">
        <f ca="1"/>
        <v>59.49</v>
      </c>
      <c r="E276" vm="4014">
        <f ca="1"/>
        <v>218.95</v>
      </c>
      <c r="F276" vm="4015">
        <f ca="1"/>
        <v>157.13999999999999</v>
      </c>
      <c r="G276" vm="4016">
        <f ca="1"/>
        <v>37.130000000000003</v>
      </c>
      <c r="H276" vm="4017">
        <f ca="1"/>
        <v>112.96</v>
      </c>
      <c r="I276" vm="4018">
        <f ca="1"/>
        <v>35.700000000000003</v>
      </c>
      <c r="J276" vm="4019">
        <f ca="1"/>
        <v>24.74</v>
      </c>
      <c r="K276" vm="4020">
        <f ca="1"/>
        <v>390.14</v>
      </c>
      <c r="L276" vm="4021">
        <f ca="1"/>
        <v>194.05</v>
      </c>
      <c r="M276" vm="4022">
        <f ca="1"/>
        <v>245.08</v>
      </c>
      <c r="N276" vm="4023">
        <f ca="1"/>
        <v>429.41</v>
      </c>
      <c r="O276" vm="4024">
        <f ca="1"/>
        <v>140.1</v>
      </c>
      <c r="P276" vm="4025">
        <f ca="1"/>
        <v>397.58</v>
      </c>
    </row>
    <row r="277" spans="1:16" x14ac:dyDescent="0.25">
      <c r="A277" vm="4026">
        <f ca="1"/>
        <v>45323</v>
      </c>
      <c r="B277" vm="4027">
        <f ca="1"/>
        <v>500.18</v>
      </c>
      <c r="C277" vm="4028">
        <f ca="1"/>
        <v>319.04000000000002</v>
      </c>
      <c r="D277" vm="4029">
        <f ca="1"/>
        <v>60.98</v>
      </c>
      <c r="E277" vm="4030">
        <f ca="1"/>
        <v>223.61</v>
      </c>
      <c r="F277" vm="4031">
        <f ca="1"/>
        <v>159.18</v>
      </c>
      <c r="G277" vm="4032">
        <f ca="1"/>
        <v>37.76</v>
      </c>
      <c r="H277" vm="4033">
        <f ca="1"/>
        <v>113.39</v>
      </c>
      <c r="I277" vm="4034">
        <f ca="1"/>
        <v>36.28</v>
      </c>
      <c r="J277" vm="3849">
        <f ca="1"/>
        <v>25.48</v>
      </c>
      <c r="K277" vm="4035">
        <f ca="1"/>
        <v>394.78</v>
      </c>
      <c r="L277" vm="4036">
        <f ca="1"/>
        <v>200.26</v>
      </c>
      <c r="M277" vm="4037">
        <f ca="1"/>
        <v>252.68</v>
      </c>
      <c r="N277" vm="4038">
        <f ca="1"/>
        <v>429.77</v>
      </c>
      <c r="O277" vm="4039">
        <f ca="1"/>
        <v>141.16</v>
      </c>
      <c r="P277" vm="4040">
        <f ca="1"/>
        <v>403.78</v>
      </c>
    </row>
    <row r="278" spans="1:16" x14ac:dyDescent="0.25">
      <c r="A278" vm="4041">
        <f ca="1"/>
        <v>45324</v>
      </c>
      <c r="B278" vm="4042">
        <f ca="1"/>
        <v>510.36</v>
      </c>
      <c r="C278" vm="4043">
        <f ca="1"/>
        <v>320.99</v>
      </c>
      <c r="D278" vm="4044">
        <f ca="1"/>
        <v>60.54</v>
      </c>
      <c r="E278" vm="2810">
        <f ca="1"/>
        <v>222.19</v>
      </c>
      <c r="F278" vm="4045">
        <f ca="1"/>
        <v>158.09</v>
      </c>
      <c r="G278" vm="4046">
        <f ca="1"/>
        <v>37.65</v>
      </c>
      <c r="H278" vm="4047">
        <f ca="1"/>
        <v>115.75</v>
      </c>
      <c r="I278" vm="4048">
        <f ca="1"/>
        <v>36.53</v>
      </c>
      <c r="J278" vm="4049">
        <f ca="1"/>
        <v>25.04</v>
      </c>
      <c r="K278" vm="4050">
        <f ca="1"/>
        <v>474.99</v>
      </c>
      <c r="L278" vm="4051">
        <f ca="1"/>
        <v>204.5</v>
      </c>
      <c r="M278" vm="2802">
        <f ca="1"/>
        <v>250.59</v>
      </c>
      <c r="N278" vm="4052">
        <f ca="1"/>
        <v>425.97</v>
      </c>
      <c r="O278" vm="338">
        <f ca="1"/>
        <v>142.38</v>
      </c>
      <c r="P278" vm="4053">
        <f ca="1"/>
        <v>411.22</v>
      </c>
    </row>
    <row r="279" spans="1:16" x14ac:dyDescent="0.25">
      <c r="A279" vm="4054">
        <f ca="1"/>
        <v>45327</v>
      </c>
      <c r="B279" vm="4055">
        <f ca="1"/>
        <v>508.87</v>
      </c>
      <c r="C279" vm="4056">
        <f ca="1"/>
        <v>314.54000000000002</v>
      </c>
      <c r="D279" vm="723">
        <f ca="1"/>
        <v>60.04</v>
      </c>
      <c r="E279" vm="4057">
        <f ca="1"/>
        <v>219.9</v>
      </c>
      <c r="F279" vm="4058">
        <f ca="1"/>
        <v>158.21</v>
      </c>
      <c r="G279" vm="4059">
        <f ca="1"/>
        <v>37.22</v>
      </c>
      <c r="H279" vm="4060">
        <f ca="1"/>
        <v>118.79</v>
      </c>
      <c r="I279" vm="4061">
        <f ca="1"/>
        <v>36.729999999999997</v>
      </c>
      <c r="J279" vm="3537">
        <f ca="1"/>
        <v>24.03</v>
      </c>
      <c r="K279" vm="4062">
        <f ca="1"/>
        <v>459.41</v>
      </c>
      <c r="L279" vm="4063">
        <f ca="1"/>
        <v>202.19</v>
      </c>
      <c r="M279" vm="4064">
        <f ca="1"/>
        <v>247.06</v>
      </c>
      <c r="N279" vm="4065">
        <f ca="1"/>
        <v>421.7</v>
      </c>
      <c r="O279" vm="4066">
        <f ca="1"/>
        <v>143.68</v>
      </c>
      <c r="P279" vm="4067">
        <f ca="1"/>
        <v>405.65</v>
      </c>
    </row>
    <row r="280" spans="1:16" x14ac:dyDescent="0.25">
      <c r="A280" vm="4068">
        <f ca="1"/>
        <v>45328</v>
      </c>
      <c r="B280" vm="4069">
        <f ca="1"/>
        <v>511.55</v>
      </c>
      <c r="C280" vm="4070">
        <f ca="1"/>
        <v>317.61</v>
      </c>
      <c r="D280" vm="4071">
        <f ca="1"/>
        <v>59.94</v>
      </c>
      <c r="E280" vm="4072">
        <f ca="1"/>
        <v>225.92</v>
      </c>
      <c r="F280" vm="4073">
        <f ca="1"/>
        <v>158.96</v>
      </c>
      <c r="G280" vm="3971">
        <f ca="1"/>
        <v>37.21</v>
      </c>
      <c r="H280" vm="4074">
        <f ca="1"/>
        <v>119.38</v>
      </c>
      <c r="I280" vm="4075">
        <f ca="1"/>
        <v>37.020000000000003</v>
      </c>
      <c r="J280" vm="4076">
        <f ca="1"/>
        <v>24.01</v>
      </c>
      <c r="K280" vm="1520">
        <f ca="1"/>
        <v>454.72</v>
      </c>
      <c r="L280" vm="4077">
        <f ca="1"/>
        <v>206.11</v>
      </c>
      <c r="M280" vm="4078">
        <f ca="1"/>
        <v>248.65</v>
      </c>
      <c r="N280" vm="2727">
        <f ca="1"/>
        <v>426.95</v>
      </c>
      <c r="O280" vm="4079">
        <f ca="1"/>
        <v>144.1</v>
      </c>
      <c r="P280" vm="4080">
        <f ca="1"/>
        <v>405.49</v>
      </c>
    </row>
    <row r="281" spans="1:16" x14ac:dyDescent="0.25">
      <c r="A281" vm="4081">
        <f ca="1"/>
        <v>45329</v>
      </c>
      <c r="B281" vm="4082">
        <f ca="1"/>
        <v>514.22</v>
      </c>
      <c r="C281" vm="4083">
        <f ca="1"/>
        <v>341.91</v>
      </c>
      <c r="D281" vm="3859">
        <f ca="1"/>
        <v>59.99</v>
      </c>
      <c r="E281" vm="4084">
        <f ca="1"/>
        <v>225.87</v>
      </c>
      <c r="F281" vm="4085">
        <f ca="1"/>
        <v>159.12</v>
      </c>
      <c r="G281" vm="2106">
        <f ca="1"/>
        <v>36.4</v>
      </c>
      <c r="H281" vm="4086">
        <f ca="1"/>
        <v>124.98</v>
      </c>
      <c r="I281" vm="1784">
        <f ca="1"/>
        <v>36.99</v>
      </c>
      <c r="J281" vm="4087">
        <f ca="1"/>
        <v>23.87</v>
      </c>
      <c r="K281" vm="4088">
        <f ca="1"/>
        <v>469.59</v>
      </c>
      <c r="L281" vm="4089">
        <f ca="1"/>
        <v>208.9</v>
      </c>
      <c r="M281" vm="4090">
        <f ca="1"/>
        <v>244.42</v>
      </c>
      <c r="N281" vm="4091">
        <f ca="1"/>
        <v>430.1</v>
      </c>
      <c r="O281" vm="4092">
        <f ca="1"/>
        <v>145.54</v>
      </c>
      <c r="P281" vm="4093">
        <f ca="1"/>
        <v>414.05</v>
      </c>
    </row>
    <row r="282" spans="1:16" x14ac:dyDescent="0.25">
      <c r="A282" vm="4094">
        <f ca="1"/>
        <v>45330</v>
      </c>
      <c r="B282" vm="4095">
        <f ca="1"/>
        <v>515.51</v>
      </c>
      <c r="C282" vm="4096">
        <f ca="1"/>
        <v>342.74</v>
      </c>
      <c r="D282" vm="384">
        <f ca="1"/>
        <v>59.83</v>
      </c>
      <c r="E282" vm="4097">
        <f ca="1"/>
        <v>220.26</v>
      </c>
      <c r="F282" vm="4098">
        <f ca="1"/>
        <v>158.63999999999999</v>
      </c>
      <c r="G282" vm="4099">
        <f ca="1"/>
        <v>36.47</v>
      </c>
      <c r="H282" vm="4100">
        <f ca="1"/>
        <v>133.72999999999999</v>
      </c>
      <c r="I282" vm="4101">
        <f ca="1"/>
        <v>37.07</v>
      </c>
      <c r="J282" vm="4102">
        <f ca="1"/>
        <v>24.4</v>
      </c>
      <c r="K282" vm="4103">
        <f ca="1"/>
        <v>470</v>
      </c>
      <c r="L282" vm="4104">
        <f ca="1"/>
        <v>207.77</v>
      </c>
      <c r="M282" vm="4105">
        <f ca="1"/>
        <v>243.05</v>
      </c>
      <c r="N282" vm="4106">
        <f ca="1"/>
        <v>427</v>
      </c>
      <c r="O282" vm="4107">
        <f ca="1"/>
        <v>145.91</v>
      </c>
      <c r="P282" vm="4108">
        <f ca="1"/>
        <v>414.11</v>
      </c>
    </row>
    <row r="283" spans="1:16" x14ac:dyDescent="0.25">
      <c r="A283" vm="4109">
        <f ca="1"/>
        <v>45331</v>
      </c>
      <c r="B283" vm="4110">
        <f ca="1"/>
        <v>521.38</v>
      </c>
      <c r="C283" vm="4111">
        <f ca="1"/>
        <v>346.11</v>
      </c>
      <c r="D283" vm="4112">
        <f ca="1"/>
        <v>59.56</v>
      </c>
      <c r="E283" vm="4113">
        <f ca="1"/>
        <v>224.27</v>
      </c>
      <c r="F283" vm="4114">
        <f ca="1"/>
        <v>157.41999999999999</v>
      </c>
      <c r="G283" vm="4115">
        <f ca="1"/>
        <v>35.97</v>
      </c>
      <c r="H283" vm="4116">
        <f ca="1"/>
        <v>133.11000000000001</v>
      </c>
      <c r="I283" vm="4117">
        <f ca="1"/>
        <v>36.89</v>
      </c>
      <c r="J283" vm="4118">
        <f ca="1"/>
        <v>24.18</v>
      </c>
      <c r="K283" vm="4119">
        <f ca="1"/>
        <v>468.11</v>
      </c>
      <c r="L283" vm="4120">
        <f ca="1"/>
        <v>210.11</v>
      </c>
      <c r="M283" vm="4121">
        <f ca="1"/>
        <v>242.55</v>
      </c>
      <c r="N283" vm="4122">
        <f ca="1"/>
        <v>426.5</v>
      </c>
      <c r="O283" vm="4123">
        <f ca="1"/>
        <v>149</v>
      </c>
      <c r="P283" vm="4124">
        <f ca="1"/>
        <v>420.55</v>
      </c>
    </row>
    <row r="284" spans="1:16" x14ac:dyDescent="0.25">
      <c r="A284" vm="4125">
        <f ca="1"/>
        <v>45334</v>
      </c>
      <c r="B284" vm="4126">
        <f ca="1"/>
        <v>518.20000000000005</v>
      </c>
      <c r="C284" vm="4127">
        <f ca="1"/>
        <v>350.51</v>
      </c>
      <c r="D284" vm="4128">
        <f ca="1"/>
        <v>59.7</v>
      </c>
      <c r="E284" vm="4129">
        <f ca="1"/>
        <v>224.94</v>
      </c>
      <c r="F284" vm="4130">
        <f ca="1"/>
        <v>157.11000000000001</v>
      </c>
      <c r="G284" vm="2167">
        <f ca="1"/>
        <v>36.36</v>
      </c>
      <c r="H284" vm="4131">
        <f ca="1"/>
        <v>130.46</v>
      </c>
      <c r="I284" vm="1769">
        <f ca="1"/>
        <v>36.869999999999997</v>
      </c>
      <c r="J284" vm="4132">
        <f ca="1"/>
        <v>24.59</v>
      </c>
      <c r="K284" vm="883">
        <f ca="1"/>
        <v>468.9</v>
      </c>
      <c r="L284" vm="4133">
        <f ca="1"/>
        <v>211.6</v>
      </c>
      <c r="M284" vm="4134">
        <f ca="1"/>
        <v>247.08</v>
      </c>
      <c r="N284" vm="4135">
        <f ca="1"/>
        <v>428.07</v>
      </c>
      <c r="O284" vm="4136">
        <f ca="1"/>
        <v>147.53</v>
      </c>
      <c r="P284" vm="4137">
        <f ca="1"/>
        <v>415.26</v>
      </c>
    </row>
    <row r="285" spans="1:16" x14ac:dyDescent="0.25">
      <c r="A285" vm="4138">
        <f ca="1"/>
        <v>45335</v>
      </c>
      <c r="B285" vm="4139">
        <f ca="1"/>
        <v>511.63</v>
      </c>
      <c r="C285" vm="4140">
        <f ca="1"/>
        <v>343.73</v>
      </c>
      <c r="D285" vm="4141">
        <f ca="1"/>
        <v>59.35</v>
      </c>
      <c r="E285" vm="4142">
        <f ca="1"/>
        <v>224.52</v>
      </c>
      <c r="F285" vm="4143">
        <f ca="1"/>
        <v>156.27000000000001</v>
      </c>
      <c r="G285" vm="4144">
        <f ca="1"/>
        <v>36.130000000000003</v>
      </c>
      <c r="H285" vm="4145">
        <f ca="1"/>
        <v>127.55</v>
      </c>
      <c r="I285" vm="4146">
        <f ca="1"/>
        <v>36.61</v>
      </c>
      <c r="J285" vm="4147">
        <f ca="1"/>
        <v>23.36</v>
      </c>
      <c r="K285" vm="4148">
        <f ca="1"/>
        <v>460.12</v>
      </c>
      <c r="L285" vm="1029">
        <f ca="1"/>
        <v>206.84</v>
      </c>
      <c r="M285" vm="4149">
        <f ca="1"/>
        <v>244.58</v>
      </c>
      <c r="N285" vm="4150">
        <f ca="1"/>
        <v>426.52</v>
      </c>
      <c r="O285" vm="4151">
        <f ca="1"/>
        <v>145.13999999999999</v>
      </c>
      <c r="P285" vm="2380">
        <f ca="1"/>
        <v>406.32</v>
      </c>
    </row>
    <row r="286" spans="1:16" x14ac:dyDescent="0.25">
      <c r="A286" vm="4152">
        <f ca="1"/>
        <v>45336</v>
      </c>
      <c r="B286" vm="4153">
        <f ca="1"/>
        <v>521.91</v>
      </c>
      <c r="C286" vm="4154">
        <f ca="1"/>
        <v>347.42</v>
      </c>
      <c r="D286" vm="4155">
        <f ca="1"/>
        <v>59.29</v>
      </c>
      <c r="E286" vm="4156">
        <f ca="1"/>
        <v>227.61</v>
      </c>
      <c r="F286" vm="4157">
        <f ca="1"/>
        <v>155.63</v>
      </c>
      <c r="G286" vm="2751">
        <f ca="1"/>
        <v>34.159999999999997</v>
      </c>
      <c r="H286" vm="2174">
        <f ca="1"/>
        <v>129.27000000000001</v>
      </c>
      <c r="I286" vm="3576">
        <f ca="1"/>
        <v>37</v>
      </c>
      <c r="J286" vm="4158">
        <f ca="1"/>
        <v>24.51</v>
      </c>
      <c r="K286" vm="4159">
        <f ca="1"/>
        <v>473.28</v>
      </c>
      <c r="L286" vm="3586">
        <f ca="1"/>
        <v>212.64</v>
      </c>
      <c r="M286" vm="4160">
        <f ca="1"/>
        <v>243.6</v>
      </c>
      <c r="N286" vm="4161">
        <f ca="1"/>
        <v>418.19</v>
      </c>
      <c r="O286" vm="1649">
        <f ca="1"/>
        <v>145.94</v>
      </c>
      <c r="P286" vm="4162">
        <f ca="1"/>
        <v>409.49</v>
      </c>
    </row>
    <row r="287" spans="1:16" x14ac:dyDescent="0.25">
      <c r="A287" vm="4163">
        <f ca="1"/>
        <v>45337</v>
      </c>
      <c r="B287" vm="4164">
        <f ca="1"/>
        <v>521.87</v>
      </c>
      <c r="C287" vm="4165">
        <f ca="1"/>
        <v>345.28</v>
      </c>
      <c r="D287" vm="4166">
        <f ca="1"/>
        <v>59.4</v>
      </c>
      <c r="E287" vm="4167">
        <f ca="1"/>
        <v>233.05</v>
      </c>
      <c r="F287" vm="4168">
        <f ca="1"/>
        <v>157.01</v>
      </c>
      <c r="G287" vm="4169">
        <f ca="1"/>
        <v>34.97</v>
      </c>
      <c r="H287" vm="4170">
        <f ca="1"/>
        <v>129.03</v>
      </c>
      <c r="I287" vm="3576">
        <f ca="1"/>
        <v>37</v>
      </c>
      <c r="J287" vm="4171">
        <f ca="1"/>
        <v>25.55</v>
      </c>
      <c r="K287" vm="4172">
        <f ca="1"/>
        <v>484.03</v>
      </c>
      <c r="L287" vm="4173">
        <f ca="1"/>
        <v>214.06</v>
      </c>
      <c r="M287" vm="4174">
        <f ca="1"/>
        <v>244.9</v>
      </c>
      <c r="N287" vm="4175">
        <f ca="1"/>
        <v>423.12</v>
      </c>
      <c r="O287" vm="4176">
        <f ca="1"/>
        <v>142.77000000000001</v>
      </c>
      <c r="P287" vm="4177">
        <f ca="1"/>
        <v>406.56</v>
      </c>
    </row>
    <row r="288" spans="1:16" x14ac:dyDescent="0.25">
      <c r="A288" vm="4178">
        <f ca="1"/>
        <v>45338</v>
      </c>
      <c r="B288" vm="4179">
        <f ca="1"/>
        <v>520.05999999999995</v>
      </c>
      <c r="C288" vm="4180">
        <f ca="1"/>
        <v>341.92</v>
      </c>
      <c r="D288" vm="4181">
        <f ca="1"/>
        <v>59.39</v>
      </c>
      <c r="E288" vm="4182">
        <f ca="1"/>
        <v>231.23</v>
      </c>
      <c r="F288" vm="4183">
        <f ca="1"/>
        <v>157.51</v>
      </c>
      <c r="G288" vm="4184">
        <f ca="1"/>
        <v>34.81</v>
      </c>
      <c r="H288" vm="4185">
        <f ca="1"/>
        <v>126.69</v>
      </c>
      <c r="I288" vm="4186">
        <f ca="1"/>
        <v>36.72</v>
      </c>
      <c r="J288" vm="4187">
        <f ca="1"/>
        <v>25.13</v>
      </c>
      <c r="K288" vm="4188">
        <f ca="1"/>
        <v>473.32</v>
      </c>
      <c r="L288" vm="4189">
        <f ca="1"/>
        <v>211.44</v>
      </c>
      <c r="M288" vm="4190">
        <f ca="1"/>
        <v>243.84</v>
      </c>
      <c r="N288" vm="4191">
        <f ca="1"/>
        <v>424.07</v>
      </c>
      <c r="O288" vm="4192">
        <f ca="1"/>
        <v>140.52000000000001</v>
      </c>
      <c r="P288" vm="4193">
        <f ca="1"/>
        <v>404.06</v>
      </c>
    </row>
    <row r="289" spans="1:16" x14ac:dyDescent="0.25">
      <c r="A289" vm="4194">
        <f ca="1"/>
        <v>45342</v>
      </c>
      <c r="B289" vm="4195">
        <f ca="1"/>
        <v>519.53</v>
      </c>
      <c r="C289" vm="4196">
        <f ca="1"/>
        <v>346.92</v>
      </c>
      <c r="D289" vm="4197">
        <f ca="1"/>
        <v>60.7</v>
      </c>
      <c r="E289" vm="4198">
        <f ca="1"/>
        <v>229.25</v>
      </c>
      <c r="F289" vm="4199">
        <f ca="1"/>
        <v>158.51</v>
      </c>
      <c r="G289" vm="4200">
        <f ca="1"/>
        <v>35.619999999999997</v>
      </c>
      <c r="H289" vm="4201">
        <f ca="1"/>
        <v>125.33</v>
      </c>
      <c r="I289" vm="4202">
        <f ca="1"/>
        <v>36.86</v>
      </c>
      <c r="J289" vm="4203">
        <f ca="1"/>
        <v>24.27</v>
      </c>
      <c r="K289" vm="4204">
        <f ca="1"/>
        <v>471.75</v>
      </c>
      <c r="L289" vm="4205">
        <f ca="1"/>
        <v>209.2</v>
      </c>
      <c r="M289" vm="4206">
        <f ca="1"/>
        <v>245.26</v>
      </c>
      <c r="N289" vm="4207">
        <f ca="1"/>
        <v>424.27</v>
      </c>
      <c r="O289" vm="4208">
        <f ca="1"/>
        <v>141.12</v>
      </c>
      <c r="P289" vm="4209">
        <f ca="1"/>
        <v>402.79</v>
      </c>
    </row>
    <row r="290" spans="1:16" x14ac:dyDescent="0.25">
      <c r="A290" vm="4210">
        <f ca="1"/>
        <v>45343</v>
      </c>
      <c r="B290" vm="4211">
        <f ca="1"/>
        <v>523.71</v>
      </c>
      <c r="C290" vm="4212">
        <f ca="1"/>
        <v>347.44</v>
      </c>
      <c r="D290" vm="4213">
        <f ca="1"/>
        <v>61.24</v>
      </c>
      <c r="E290" vm="4214">
        <f ca="1"/>
        <v>232.85</v>
      </c>
      <c r="F290" vm="4215">
        <f ca="1"/>
        <v>160.4</v>
      </c>
      <c r="G290" vm="4216">
        <f ca="1"/>
        <v>36.39</v>
      </c>
      <c r="H290" vm="4217">
        <f ca="1"/>
        <v>125.34</v>
      </c>
      <c r="I290" vm="4218">
        <f ca="1"/>
        <v>37.1</v>
      </c>
      <c r="J290" vm="4219">
        <f ca="1"/>
        <v>24.57</v>
      </c>
      <c r="K290" vm="4220">
        <f ca="1"/>
        <v>468.03</v>
      </c>
      <c r="L290" vm="4221">
        <f ca="1"/>
        <v>211.22</v>
      </c>
      <c r="M290" vm="4222">
        <f ca="1"/>
        <v>245.61</v>
      </c>
      <c r="N290" vm="4223">
        <f ca="1"/>
        <v>427.55</v>
      </c>
      <c r="O290" vm="4224">
        <f ca="1"/>
        <v>142.55000000000001</v>
      </c>
      <c r="P290" vm="4225">
        <f ca="1"/>
        <v>402.18</v>
      </c>
    </row>
    <row r="291" spans="1:16" x14ac:dyDescent="0.25">
      <c r="A291" vm="4226">
        <f ca="1"/>
        <v>45344</v>
      </c>
      <c r="B291" vm="4227">
        <f ca="1"/>
        <v>530</v>
      </c>
      <c r="C291" vm="4228">
        <f ca="1"/>
        <v>352.86</v>
      </c>
      <c r="D291" vm="4229">
        <f ca="1"/>
        <v>61.15</v>
      </c>
      <c r="E291" vm="4230">
        <f ca="1"/>
        <v>236.03</v>
      </c>
      <c r="F291" vm="4231">
        <f ca="1"/>
        <v>160.56</v>
      </c>
      <c r="G291" vm="4232">
        <f ca="1"/>
        <v>36.409999999999997</v>
      </c>
      <c r="H291" vm="4233">
        <f ca="1"/>
        <v>129.07</v>
      </c>
      <c r="I291" vm="3821">
        <f ca="1"/>
        <v>37.89</v>
      </c>
      <c r="J291" vm="4234">
        <f ca="1"/>
        <v>24.72</v>
      </c>
      <c r="K291" vm="4235">
        <f ca="1"/>
        <v>486.13</v>
      </c>
      <c r="L291" vm="4236">
        <f ca="1"/>
        <v>232.93</v>
      </c>
      <c r="M291" vm="4237">
        <f ca="1"/>
        <v>245.7</v>
      </c>
      <c r="N291" vm="4238">
        <f ca="1"/>
        <v>428.89</v>
      </c>
      <c r="O291" vm="2896">
        <f ca="1"/>
        <v>144.09</v>
      </c>
      <c r="P291" vm="4239">
        <f ca="1"/>
        <v>411.65</v>
      </c>
    </row>
    <row r="292" spans="1:16" x14ac:dyDescent="0.25">
      <c r="A292" vm="4240">
        <f ca="1"/>
        <v>45345</v>
      </c>
      <c r="B292" vm="4241">
        <f ca="1"/>
        <v>531.07000000000005</v>
      </c>
      <c r="C292" vm="4242">
        <f ca="1"/>
        <v>356.27</v>
      </c>
      <c r="D292" vm="1839">
        <f ca="1"/>
        <v>61.2</v>
      </c>
      <c r="E292" vm="4243">
        <f ca="1"/>
        <v>235.85</v>
      </c>
      <c r="F292" vm="4244">
        <f ca="1"/>
        <v>161.03</v>
      </c>
      <c r="G292" vm="4245">
        <f ca="1"/>
        <v>36.049999999999997</v>
      </c>
      <c r="H292" vm="4246">
        <f ca="1"/>
        <v>129.53</v>
      </c>
      <c r="I292" vm="4247">
        <f ca="1"/>
        <v>38.33</v>
      </c>
      <c r="J292" vm="3864">
        <f ca="1"/>
        <v>25.03</v>
      </c>
      <c r="K292" vm="4172">
        <f ca="1"/>
        <v>484.03</v>
      </c>
      <c r="L292" vm="4248">
        <f ca="1"/>
        <v>234.39</v>
      </c>
      <c r="M292" vm="4249">
        <f ca="1"/>
        <v>247.23</v>
      </c>
      <c r="N292" vm="4250">
        <f ca="1"/>
        <v>431.12</v>
      </c>
      <c r="O292" vm="1621">
        <f ca="1"/>
        <v>143.96</v>
      </c>
      <c r="P292" vm="4251">
        <f ca="1"/>
        <v>410.34</v>
      </c>
    </row>
    <row r="293" spans="1:16" x14ac:dyDescent="0.25">
      <c r="A293" vm="4252">
        <f ca="1"/>
        <v>45348</v>
      </c>
      <c r="B293" vm="4253">
        <f ca="1"/>
        <v>530.80999999999995</v>
      </c>
      <c r="C293" vm="4254">
        <f ca="1"/>
        <v>350.29</v>
      </c>
      <c r="D293" vm="2267">
        <f ca="1"/>
        <v>60.71</v>
      </c>
      <c r="E293" vm="4255">
        <f ca="1"/>
        <v>233.71</v>
      </c>
      <c r="F293" vm="4256">
        <f ca="1"/>
        <v>160.22</v>
      </c>
      <c r="G293" vm="3650">
        <f ca="1"/>
        <v>35.96</v>
      </c>
      <c r="H293" vm="4257">
        <f ca="1"/>
        <v>130.63999999999999</v>
      </c>
      <c r="I293" vm="817">
        <f ca="1"/>
        <v>38.18</v>
      </c>
      <c r="J293" vm="4258">
        <f ca="1"/>
        <v>25.85</v>
      </c>
      <c r="K293" vm="4259">
        <f ca="1"/>
        <v>481.74</v>
      </c>
      <c r="L293" vm="4260">
        <f ca="1"/>
        <v>235.64</v>
      </c>
      <c r="M293" vm="4261">
        <f ca="1"/>
        <v>246.82</v>
      </c>
      <c r="N293" vm="4262">
        <f ca="1"/>
        <v>429.18</v>
      </c>
      <c r="O293" vm="4263">
        <f ca="1"/>
        <v>137.57</v>
      </c>
      <c r="P293" vm="4264">
        <f ca="1"/>
        <v>407.54</v>
      </c>
    </row>
    <row r="294" spans="1:16" x14ac:dyDescent="0.25">
      <c r="A294" vm="4265">
        <f ca="1"/>
        <v>45349</v>
      </c>
      <c r="B294" vm="4266">
        <f ca="1"/>
        <v>531.49</v>
      </c>
      <c r="C294" vm="4267">
        <f ca="1"/>
        <v>347.2</v>
      </c>
      <c r="D294" vm="4268">
        <f ca="1"/>
        <v>60.34</v>
      </c>
      <c r="E294" vm="4269">
        <f ca="1"/>
        <v>232.52</v>
      </c>
      <c r="F294" vm="4270">
        <f ca="1"/>
        <v>159.30000000000001</v>
      </c>
      <c r="G294" vm="4271">
        <f ca="1"/>
        <v>35.799999999999997</v>
      </c>
      <c r="H294" vm="4272">
        <f ca="1"/>
        <v>128.59</v>
      </c>
      <c r="I294" vm="4273">
        <f ca="1"/>
        <v>37.96</v>
      </c>
      <c r="J294" vm="4274">
        <f ca="1"/>
        <v>26.36</v>
      </c>
      <c r="K294" vm="4275">
        <f ca="1"/>
        <v>487.05</v>
      </c>
      <c r="L294" vm="4276">
        <f ca="1"/>
        <v>239.57</v>
      </c>
      <c r="M294" vm="4277">
        <f ca="1"/>
        <v>247.09</v>
      </c>
      <c r="N294" vm="4278">
        <f ca="1"/>
        <v>430.43</v>
      </c>
      <c r="O294" vm="4279">
        <f ca="1"/>
        <v>138.88</v>
      </c>
      <c r="P294" vm="4280">
        <f ca="1"/>
        <v>407.48</v>
      </c>
    </row>
    <row r="295" spans="1:16" x14ac:dyDescent="0.25">
      <c r="A295" vm="4281">
        <f ca="1"/>
        <v>45350</v>
      </c>
      <c r="B295" vm="4282">
        <f ca="1"/>
        <v>531.1</v>
      </c>
      <c r="C295" vm="4283">
        <f ca="1"/>
        <v>349.68</v>
      </c>
      <c r="D295" vm="4284">
        <f ca="1"/>
        <v>60.4</v>
      </c>
      <c r="E295" vm="4285">
        <f ca="1"/>
        <v>231.34</v>
      </c>
      <c r="F295" vm="668">
        <f ca="1"/>
        <v>160.05000000000001</v>
      </c>
      <c r="G295" vm="4286">
        <f ca="1"/>
        <v>35.54</v>
      </c>
      <c r="H295" vm="4287">
        <f ca="1"/>
        <v>127.38</v>
      </c>
      <c r="I295" vm="3846">
        <f ca="1"/>
        <v>37.68</v>
      </c>
      <c r="J295" vm="4288">
        <f ca="1"/>
        <v>26.3</v>
      </c>
      <c r="K295" vm="4289">
        <f ca="1"/>
        <v>484.02</v>
      </c>
      <c r="L295" vm="4290">
        <f ca="1"/>
        <v>238.63</v>
      </c>
      <c r="M295" vm="4291">
        <f ca="1"/>
        <v>247.44</v>
      </c>
      <c r="N295" vm="4292">
        <f ca="1"/>
        <v>432.48</v>
      </c>
      <c r="O295" vm="2615">
        <f ca="1"/>
        <v>136.38</v>
      </c>
      <c r="P295" vm="4293">
        <f ca="1"/>
        <v>407.72</v>
      </c>
    </row>
    <row r="296" spans="1:16" x14ac:dyDescent="0.25">
      <c r="A296" vm="4294">
        <f ca="1"/>
        <v>45351</v>
      </c>
      <c r="B296" vm="4295">
        <f ca="1"/>
        <v>535.45000000000005</v>
      </c>
      <c r="C296" vm="382">
        <f ca="1"/>
        <v>350</v>
      </c>
      <c r="D296" vm="829">
        <f ca="1"/>
        <v>60.02</v>
      </c>
      <c r="E296" vm="4296">
        <f ca="1"/>
        <v>232.91</v>
      </c>
      <c r="F296" vm="4297">
        <f ca="1"/>
        <v>158.94</v>
      </c>
      <c r="G296" vm="2270">
        <f ca="1"/>
        <v>35.28</v>
      </c>
      <c r="H296" vm="4298">
        <f ca="1"/>
        <v>128.66999999999999</v>
      </c>
      <c r="I296" vm="757">
        <f ca="1"/>
        <v>37.94</v>
      </c>
      <c r="J296" vm="4299">
        <f ca="1"/>
        <v>26.86</v>
      </c>
      <c r="K296" vm="4300">
        <f ca="1"/>
        <v>490.13</v>
      </c>
      <c r="L296" vm="4301">
        <f ca="1"/>
        <v>241.51</v>
      </c>
      <c r="M296" vm="4302">
        <f ca="1"/>
        <v>248.52</v>
      </c>
      <c r="N296" vm="4303">
        <f ca="1"/>
        <v>428.24</v>
      </c>
      <c r="O296" vm="4304">
        <f ca="1"/>
        <v>138.46</v>
      </c>
      <c r="P296" vm="4305">
        <f ca="1"/>
        <v>413.64</v>
      </c>
    </row>
    <row r="297" spans="1:16" x14ac:dyDescent="0.25">
      <c r="A297" vm="4306">
        <f ca="1"/>
        <v>45352</v>
      </c>
      <c r="B297" vm="4307">
        <f ca="1"/>
        <v>537.79999999999995</v>
      </c>
      <c r="C297" vm="4308">
        <f ca="1"/>
        <v>347.1</v>
      </c>
      <c r="D297" vm="4309">
        <f ca="1"/>
        <v>59.53</v>
      </c>
      <c r="E297" vm="4310">
        <f ca="1"/>
        <v>232.77</v>
      </c>
      <c r="F297" vm="4311">
        <f ca="1"/>
        <v>158.85</v>
      </c>
      <c r="G297" vm="4312">
        <f ca="1"/>
        <v>35.130000000000003</v>
      </c>
      <c r="H297" vm="4313">
        <f ca="1"/>
        <v>133.9</v>
      </c>
      <c r="I297" vm="4314">
        <f ca="1"/>
        <v>38.229999999999997</v>
      </c>
      <c r="J297" vm="4315">
        <f ca="1"/>
        <v>26.49</v>
      </c>
      <c r="K297" vm="4316">
        <f ca="1"/>
        <v>502.3</v>
      </c>
      <c r="L297" vm="4317">
        <f ca="1"/>
        <v>240.89</v>
      </c>
      <c r="M297" vm="3797">
        <f ca="1"/>
        <v>250</v>
      </c>
      <c r="N297" vm="4318">
        <f ca="1"/>
        <v>426.46</v>
      </c>
      <c r="O297" vm="522">
        <f ca="1"/>
        <v>137.13999999999999</v>
      </c>
      <c r="P297" vm="4319">
        <f ca="1"/>
        <v>415.5</v>
      </c>
    </row>
    <row r="298" spans="1:16" x14ac:dyDescent="0.25">
      <c r="A298" vm="4320">
        <f ca="1"/>
        <v>45355</v>
      </c>
      <c r="B298" vm="4321">
        <f ca="1"/>
        <v>535.51</v>
      </c>
      <c r="C298" vm="4322">
        <f ca="1"/>
        <v>352.49</v>
      </c>
      <c r="D298" vm="193">
        <f ca="1"/>
        <v>59.81</v>
      </c>
      <c r="E298" vm="1366">
        <f ca="1"/>
        <v>233.27</v>
      </c>
      <c r="F298" vm="4323">
        <f ca="1"/>
        <v>159.56</v>
      </c>
      <c r="G298" vm="4324">
        <f ca="1"/>
        <v>35.04</v>
      </c>
      <c r="H298" vm="461">
        <f ca="1"/>
        <v>138.26</v>
      </c>
      <c r="I298" vm="4325">
        <f ca="1"/>
        <v>38.380000000000003</v>
      </c>
      <c r="J298" vm="4326">
        <f ca="1"/>
        <v>26.51</v>
      </c>
      <c r="K298" vm="4327">
        <f ca="1"/>
        <v>498.19</v>
      </c>
      <c r="L298" vm="4328">
        <f ca="1"/>
        <v>243.34</v>
      </c>
      <c r="M298" vm="4329">
        <f ca="1"/>
        <v>248.03</v>
      </c>
      <c r="N298" vm="4330">
        <f ca="1"/>
        <v>431.94</v>
      </c>
      <c r="O298" vm="4331">
        <f ca="1"/>
        <v>133.35</v>
      </c>
      <c r="P298" vm="4332">
        <f ca="1"/>
        <v>414.92</v>
      </c>
    </row>
    <row r="299" spans="1:16" x14ac:dyDescent="0.25">
      <c r="A299" vm="4333">
        <f ca="1"/>
        <v>45356</v>
      </c>
      <c r="B299" vm="4334">
        <f ca="1"/>
        <v>528</v>
      </c>
      <c r="C299" vm="4335">
        <f ca="1"/>
        <v>355.47</v>
      </c>
      <c r="D299" vm="2003">
        <f ca="1"/>
        <v>59.52</v>
      </c>
      <c r="E299" vm="4336">
        <f ca="1"/>
        <v>228.38</v>
      </c>
      <c r="F299" vm="4337">
        <f ca="1"/>
        <v>159.32</v>
      </c>
      <c r="G299" vm="4312">
        <f ca="1"/>
        <v>35.130000000000003</v>
      </c>
      <c r="H299" vm="4338">
        <f ca="1"/>
        <v>134.97</v>
      </c>
      <c r="I299" vm="3791">
        <f ca="1"/>
        <v>38.25</v>
      </c>
      <c r="J299" vm="4339">
        <f ca="1"/>
        <v>25.86</v>
      </c>
      <c r="K299" vm="4340">
        <f ca="1"/>
        <v>490.22</v>
      </c>
      <c r="L299" vm="4341">
        <f ca="1"/>
        <v>239.71</v>
      </c>
      <c r="M299" vm="4342">
        <f ca="1"/>
        <v>248.14</v>
      </c>
      <c r="N299" vm="4343">
        <f ca="1"/>
        <v>431.98</v>
      </c>
      <c r="O299" vm="4344">
        <f ca="1"/>
        <v>132.66999999999999</v>
      </c>
      <c r="P299" vm="4345">
        <f ca="1"/>
        <v>402.65</v>
      </c>
    </row>
    <row r="300" spans="1:16" x14ac:dyDescent="0.25">
      <c r="A300" vm="4346">
        <f ca="1"/>
        <v>45357</v>
      </c>
      <c r="B300" vm="4347">
        <f ca="1"/>
        <v>531.23</v>
      </c>
      <c r="C300" vm="4348">
        <f ca="1"/>
        <v>360.64</v>
      </c>
      <c r="D300" vm="4349">
        <f ca="1"/>
        <v>59.55</v>
      </c>
      <c r="E300" vm="2047">
        <f ca="1"/>
        <v>229.08</v>
      </c>
      <c r="F300" vm="4350">
        <f ca="1"/>
        <v>159.57</v>
      </c>
      <c r="G300" vm="4351">
        <f ca="1"/>
        <v>35.35</v>
      </c>
      <c r="H300" vm="4352">
        <f ca="1"/>
        <v>141.57</v>
      </c>
      <c r="I300" vm="4353">
        <f ca="1"/>
        <v>38.090000000000003</v>
      </c>
      <c r="J300" vm="4354">
        <f ca="1"/>
        <v>24.07</v>
      </c>
      <c r="K300" vm="4355">
        <f ca="1"/>
        <v>496.09</v>
      </c>
      <c r="L300" vm="4356">
        <f ca="1"/>
        <v>241.8</v>
      </c>
      <c r="M300" vm="4357">
        <f ca="1"/>
        <v>248.4</v>
      </c>
      <c r="N300" vm="4358">
        <f ca="1"/>
        <v>433.48</v>
      </c>
      <c r="O300" vm="2307">
        <f ca="1"/>
        <v>131.4</v>
      </c>
      <c r="P300" vm="4359">
        <f ca="1"/>
        <v>402.09</v>
      </c>
    </row>
    <row r="301" spans="1:16" x14ac:dyDescent="0.25">
      <c r="A301" vm="4360">
        <f ca="1"/>
        <v>45358</v>
      </c>
      <c r="B301" vm="4361">
        <f ca="1"/>
        <v>539.48</v>
      </c>
      <c r="C301" vm="4362">
        <f ca="1"/>
        <v>365.38</v>
      </c>
      <c r="D301" vm="676">
        <f ca="1"/>
        <v>59.44</v>
      </c>
      <c r="E301" vm="2151">
        <f ca="1"/>
        <v>233.02</v>
      </c>
      <c r="F301" vm="4363">
        <f ca="1"/>
        <v>160.62</v>
      </c>
      <c r="G301" vm="2781">
        <f ca="1"/>
        <v>34.5</v>
      </c>
      <c r="H301" vm="4364">
        <f ca="1"/>
        <v>149.19999999999999</v>
      </c>
      <c r="I301" vm="4365">
        <f ca="1"/>
        <v>37.92</v>
      </c>
      <c r="J301" vm="3294">
        <f ca="1"/>
        <v>23.56</v>
      </c>
      <c r="K301" vm="4366">
        <f ca="1"/>
        <v>512.19000000000005</v>
      </c>
      <c r="L301" vm="4367">
        <f ca="1"/>
        <v>244.32</v>
      </c>
      <c r="M301" vm="4368">
        <f ca="1"/>
        <v>255.3</v>
      </c>
      <c r="N301" vm="4369">
        <f ca="1"/>
        <v>429.99</v>
      </c>
      <c r="O301" vm="4370">
        <f ca="1"/>
        <v>134.38</v>
      </c>
      <c r="P301" vm="4371">
        <f ca="1"/>
        <v>409.14</v>
      </c>
    </row>
    <row r="302" spans="1:16" x14ac:dyDescent="0.25">
      <c r="A302" vm="4372">
        <f ca="1"/>
        <v>45359</v>
      </c>
      <c r="B302" vm="4373">
        <f ca="1"/>
        <v>537.35</v>
      </c>
      <c r="C302" vm="4374">
        <f ca="1"/>
        <v>354.81</v>
      </c>
      <c r="D302" vm="2003">
        <f ca="1"/>
        <v>59.52</v>
      </c>
      <c r="E302" vm="4375">
        <f ca="1"/>
        <v>233.7</v>
      </c>
      <c r="F302" vm="4376">
        <f ca="1"/>
        <v>160.35</v>
      </c>
      <c r="G302" vm="4377">
        <f ca="1"/>
        <v>34.840000000000003</v>
      </c>
      <c r="H302" vm="4378">
        <f ca="1"/>
        <v>146.37</v>
      </c>
      <c r="I302" vm="1622">
        <f ca="1"/>
        <v>38.19</v>
      </c>
      <c r="J302" vm="4379">
        <f ca="1"/>
        <v>23.7</v>
      </c>
      <c r="K302" vm="4380">
        <f ca="1"/>
        <v>505.95</v>
      </c>
      <c r="L302" vm="4381">
        <f ca="1"/>
        <v>242.06</v>
      </c>
      <c r="M302" vm="4382">
        <f ca="1"/>
        <v>257.69</v>
      </c>
      <c r="N302" vm="4383">
        <f ca="1"/>
        <v>432.9</v>
      </c>
      <c r="O302" vm="4384">
        <f ca="1"/>
        <v>135.41</v>
      </c>
      <c r="P302" vm="4385">
        <f ca="1"/>
        <v>406.22</v>
      </c>
    </row>
    <row r="303" spans="1:16" x14ac:dyDescent="0.25">
      <c r="A303" vm="4386">
        <f ca="1"/>
        <v>45362</v>
      </c>
      <c r="B303" vm="4387">
        <f ca="1"/>
        <v>536.04</v>
      </c>
      <c r="C303" vm="4388">
        <f ca="1"/>
        <v>357</v>
      </c>
      <c r="D303" vm="4389">
        <f ca="1"/>
        <v>60.24</v>
      </c>
      <c r="E303" vm="4390">
        <f ca="1"/>
        <v>233.84</v>
      </c>
      <c r="F303" vm="4391">
        <f ca="1"/>
        <v>161.55000000000001</v>
      </c>
      <c r="G303" vm="4392">
        <f ca="1"/>
        <v>34.979999999999997</v>
      </c>
      <c r="H303" vm="4393">
        <f ca="1"/>
        <v>139.02000000000001</v>
      </c>
      <c r="I303" vm="861">
        <f ca="1"/>
        <v>38.04</v>
      </c>
      <c r="J303" vm="4394">
        <f ca="1"/>
        <v>24.22</v>
      </c>
      <c r="K303" vm="4395">
        <f ca="1"/>
        <v>483.59</v>
      </c>
      <c r="L303" vm="4396">
        <f ca="1"/>
        <v>239.14</v>
      </c>
      <c r="M303" vm="4397">
        <f ca="1"/>
        <v>261.98</v>
      </c>
      <c r="N303" vm="4398">
        <f ca="1"/>
        <v>434.75</v>
      </c>
      <c r="O303" vm="4399">
        <f ca="1"/>
        <v>137.66999999999999</v>
      </c>
      <c r="P303" vm="4400">
        <f ca="1"/>
        <v>404.52</v>
      </c>
    </row>
    <row r="304" spans="1:16" x14ac:dyDescent="0.25">
      <c r="A304" vm="4401">
        <f ca="1"/>
        <v>45363</v>
      </c>
      <c r="B304" vm="4402">
        <f ca="1"/>
        <v>538.28</v>
      </c>
      <c r="C304" vm="4403">
        <f ca="1"/>
        <v>361.56</v>
      </c>
      <c r="D304" vm="2506">
        <f ca="1"/>
        <v>60.5</v>
      </c>
      <c r="E304" vm="1428">
        <f ca="1"/>
        <v>233.81</v>
      </c>
      <c r="F304" vm="4404">
        <f ca="1"/>
        <v>161.93</v>
      </c>
      <c r="G304" vm="4405">
        <f ca="1"/>
        <v>34.6</v>
      </c>
      <c r="H304" vm="4406">
        <f ca="1"/>
        <v>144.4</v>
      </c>
      <c r="I304" vm="4407">
        <f ca="1"/>
        <v>37.82</v>
      </c>
      <c r="J304" vm="4408">
        <f ca="1"/>
        <v>24.21</v>
      </c>
      <c r="K304" vm="4409">
        <f ca="1"/>
        <v>499.75</v>
      </c>
      <c r="L304" vm="3413">
        <f ca="1"/>
        <v>241.77</v>
      </c>
      <c r="M304" vm="4410">
        <f ca="1"/>
        <v>261.86</v>
      </c>
      <c r="N304" vm="4411">
        <f ca="1"/>
        <v>434.91</v>
      </c>
      <c r="O304" vm="4412">
        <f ca="1"/>
        <v>138.5</v>
      </c>
      <c r="P304" vm="4413">
        <f ca="1"/>
        <v>415.28</v>
      </c>
    </row>
    <row r="305" spans="1:16" x14ac:dyDescent="0.25">
      <c r="A305" vm="4414">
        <f ca="1"/>
        <v>45364</v>
      </c>
      <c r="B305" vm="4415">
        <f ca="1"/>
        <v>539.55999999999995</v>
      </c>
      <c r="C305" vm="4416">
        <f ca="1"/>
        <v>362.89</v>
      </c>
      <c r="D305" vm="4417">
        <f ca="1"/>
        <v>61.12</v>
      </c>
      <c r="E305" vm="4418">
        <f ca="1"/>
        <v>233.79</v>
      </c>
      <c r="F305" vm="4419">
        <f ca="1"/>
        <v>162.30000000000001</v>
      </c>
      <c r="G305" vm="4420">
        <f ca="1"/>
        <v>34.53</v>
      </c>
      <c r="H305" vm="4421">
        <f ca="1"/>
        <v>142.13999999999999</v>
      </c>
      <c r="I305" vm="3763">
        <f ca="1"/>
        <v>37.78</v>
      </c>
      <c r="J305" vm="4422">
        <f ca="1"/>
        <v>25.01</v>
      </c>
      <c r="K305" vm="4423">
        <f ca="1"/>
        <v>495.57</v>
      </c>
      <c r="L305" vm="4424">
        <f ca="1"/>
        <v>241.83</v>
      </c>
      <c r="M305" vm="4425">
        <f ca="1"/>
        <v>263.7</v>
      </c>
      <c r="N305" vm="4426">
        <f ca="1"/>
        <v>434.6</v>
      </c>
      <c r="O305" vm="4427">
        <f ca="1"/>
        <v>139.79</v>
      </c>
      <c r="P305" vm="4428">
        <f ca="1"/>
        <v>415.1</v>
      </c>
    </row>
    <row r="306" spans="1:16" x14ac:dyDescent="0.25">
      <c r="A306" vm="4429">
        <f ca="1"/>
        <v>45365</v>
      </c>
      <c r="B306" vm="4430">
        <f ca="1"/>
        <v>536.25</v>
      </c>
      <c r="C306" vm="4431">
        <f ca="1"/>
        <v>363.41</v>
      </c>
      <c r="D306" vm="2506">
        <f ca="1"/>
        <v>60.5</v>
      </c>
      <c r="E306" vm="4432">
        <f ca="1"/>
        <v>231.56</v>
      </c>
      <c r="F306" vm="4433">
        <f ca="1"/>
        <v>161.5</v>
      </c>
      <c r="G306" vm="2766">
        <f ca="1"/>
        <v>34.32</v>
      </c>
      <c r="H306" vm="4434">
        <f ca="1"/>
        <v>139.62</v>
      </c>
      <c r="I306" vm="4435">
        <f ca="1"/>
        <v>37.03</v>
      </c>
      <c r="J306" vm="4436">
        <f ca="1"/>
        <v>24.7</v>
      </c>
      <c r="K306" vm="4437">
        <f ca="1"/>
        <v>491.83</v>
      </c>
      <c r="L306" vm="4438">
        <f ca="1"/>
        <v>242.36</v>
      </c>
      <c r="M306" vm="4439">
        <f ca="1"/>
        <v>260.83</v>
      </c>
      <c r="N306" vm="4440">
        <f ca="1"/>
        <v>435.77</v>
      </c>
      <c r="O306" vm="4441">
        <f ca="1"/>
        <v>143.1</v>
      </c>
      <c r="P306" vm="4442">
        <f ca="1"/>
        <v>425.22</v>
      </c>
    </row>
    <row r="307" spans="1:16" x14ac:dyDescent="0.25">
      <c r="A307" vm="4443">
        <f ca="1"/>
        <v>45366</v>
      </c>
      <c r="B307" vm="4444">
        <f ca="1"/>
        <v>535.41999999999996</v>
      </c>
      <c r="C307" vm="4445">
        <f ca="1"/>
        <v>371.48</v>
      </c>
      <c r="D307" vm="4446">
        <f ca="1"/>
        <v>59.88</v>
      </c>
      <c r="E307" vm="4447">
        <f ca="1"/>
        <v>230.05</v>
      </c>
      <c r="F307" vm="4448">
        <f ca="1"/>
        <v>161.38</v>
      </c>
      <c r="G307" vm="4449">
        <f ca="1"/>
        <v>34.369999999999997</v>
      </c>
      <c r="H307" vm="169">
        <f ca="1"/>
        <v>136.97999999999999</v>
      </c>
      <c r="I307" vm="4450">
        <f ca="1"/>
        <v>36.97</v>
      </c>
      <c r="J307" vm="4451">
        <f ca="1"/>
        <v>26.02</v>
      </c>
      <c r="K307" vm="4452">
        <f ca="1"/>
        <v>484.1</v>
      </c>
      <c r="L307" vm="4453">
        <f ca="1"/>
        <v>242.75</v>
      </c>
      <c r="M307" vm="4454">
        <f ca="1"/>
        <v>267.64</v>
      </c>
      <c r="N307" vm="4455">
        <f ca="1"/>
        <v>435.82</v>
      </c>
      <c r="O307" vm="4456">
        <f ca="1"/>
        <v>141.18</v>
      </c>
      <c r="P307" vm="4457">
        <f ca="1"/>
        <v>416.42</v>
      </c>
    </row>
    <row r="308" spans="1:16" x14ac:dyDescent="0.25">
      <c r="A308" vm="4458">
        <f ca="1"/>
        <v>45369</v>
      </c>
      <c r="B308" vm="4459">
        <f ca="1"/>
        <v>536.26</v>
      </c>
      <c r="C308" vm="4460">
        <f ca="1"/>
        <v>367.14</v>
      </c>
      <c r="D308" vm="4461">
        <f ca="1"/>
        <v>60.13</v>
      </c>
      <c r="E308" vm="4462">
        <f ca="1"/>
        <v>230</v>
      </c>
      <c r="F308" vm="4463">
        <f ca="1"/>
        <v>161.21</v>
      </c>
      <c r="G308" vm="4464">
        <f ca="1"/>
        <v>34.92</v>
      </c>
      <c r="H308" vm="4465">
        <f ca="1"/>
        <v>136.63999999999999</v>
      </c>
      <c r="I308" vm="3985">
        <f ca="1"/>
        <v>37.31</v>
      </c>
      <c r="J308" vm="4466">
        <f ca="1"/>
        <v>26.03</v>
      </c>
      <c r="K308" vm="4467">
        <f ca="1"/>
        <v>496.98</v>
      </c>
      <c r="L308" vm="4468">
        <f ca="1"/>
        <v>243.81</v>
      </c>
      <c r="M308" vm="4469">
        <f ca="1"/>
        <v>266.35000000000002</v>
      </c>
      <c r="N308" vm="4470">
        <f ca="1"/>
        <v>433.2</v>
      </c>
      <c r="O308" vm="4471">
        <f ca="1"/>
        <v>147.68</v>
      </c>
      <c r="P308" vm="4472">
        <f ca="1"/>
        <v>417.32</v>
      </c>
    </row>
    <row r="309" spans="1:16" x14ac:dyDescent="0.25">
      <c r="A309" vm="4473">
        <f ca="1"/>
        <v>45370</v>
      </c>
      <c r="B309" vm="4474">
        <f ca="1"/>
        <v>538.84</v>
      </c>
      <c r="C309" vm="4475">
        <f ca="1"/>
        <v>372.36</v>
      </c>
      <c r="D309" vm="241">
        <f ca="1"/>
        <v>60.23</v>
      </c>
      <c r="E309" vm="4476">
        <f ca="1"/>
        <v>230.14</v>
      </c>
      <c r="F309" vm="4477">
        <f ca="1"/>
        <v>161.83000000000001</v>
      </c>
      <c r="G309" vm="4478">
        <f ca="1"/>
        <v>35.270000000000003</v>
      </c>
      <c r="H309" vm="4479">
        <f ca="1"/>
        <v>134.87</v>
      </c>
      <c r="I309" vm="3721">
        <f ca="1"/>
        <v>36.979999999999997</v>
      </c>
      <c r="J309" vm="4480">
        <f ca="1"/>
        <v>26.23</v>
      </c>
      <c r="K309" vm="4481">
        <f ca="1"/>
        <v>496.24</v>
      </c>
      <c r="L309" vm="4482">
        <f ca="1"/>
        <v>246.39</v>
      </c>
      <c r="M309" vm="2102">
        <f ca="1"/>
        <v>268.75</v>
      </c>
      <c r="N309" vm="4483">
        <f ca="1"/>
        <v>437.19</v>
      </c>
      <c r="O309" vm="4484">
        <f ca="1"/>
        <v>147.03</v>
      </c>
      <c r="P309" vm="4485">
        <f ca="1"/>
        <v>421.41</v>
      </c>
    </row>
    <row r="310" spans="1:16" x14ac:dyDescent="0.25">
      <c r="A310" vm="4486">
        <f ca="1"/>
        <v>45371</v>
      </c>
      <c r="B310" vm="4487">
        <f ca="1"/>
        <v>546.46</v>
      </c>
      <c r="C310" vm="4488">
        <f ca="1"/>
        <v>379.25</v>
      </c>
      <c r="D310" vm="1647">
        <f ca="1"/>
        <v>60.75</v>
      </c>
      <c r="E310" vm="1366">
        <f ca="1"/>
        <v>233.27</v>
      </c>
      <c r="F310" vm="4489">
        <f ca="1"/>
        <v>161.99</v>
      </c>
      <c r="G310" vm="4351">
        <f ca="1"/>
        <v>35.35</v>
      </c>
      <c r="H310" vm="4490">
        <f ca="1"/>
        <v>136.75</v>
      </c>
      <c r="I310" vm="3862">
        <f ca="1"/>
        <v>37.61</v>
      </c>
      <c r="J310" vm="4491">
        <f ca="1"/>
        <v>26.98</v>
      </c>
      <c r="K310" vm="4492">
        <f ca="1"/>
        <v>505.52</v>
      </c>
      <c r="L310" vm="4493">
        <f ca="1"/>
        <v>249.51</v>
      </c>
      <c r="M310" vm="4494">
        <f ca="1"/>
        <v>268.5</v>
      </c>
      <c r="N310" vm="2988">
        <f ca="1"/>
        <v>440.41</v>
      </c>
      <c r="O310" vm="3734">
        <f ca="1"/>
        <v>148.74</v>
      </c>
      <c r="P310" vm="4495">
        <f ca="1"/>
        <v>425.23</v>
      </c>
    </row>
    <row r="311" spans="1:16" x14ac:dyDescent="0.25">
      <c r="A311" vm="4496">
        <f ca="1"/>
        <v>45372</v>
      </c>
      <c r="B311" vm="4497">
        <f ca="1"/>
        <v>560.64</v>
      </c>
      <c r="C311" vm="4498">
        <f ca="1"/>
        <v>388.65</v>
      </c>
      <c r="D311" vm="1708">
        <f ca="1"/>
        <v>60.47</v>
      </c>
      <c r="E311" vm="4499">
        <f ca="1"/>
        <v>227.09</v>
      </c>
      <c r="F311" vm="4500">
        <f ca="1"/>
        <v>161.86000000000001</v>
      </c>
      <c r="G311" vm="4501">
        <f ca="1"/>
        <v>35.6</v>
      </c>
      <c r="H311" vm="4502">
        <f ca="1"/>
        <v>139.44999999999999</v>
      </c>
      <c r="I311" vm="4503">
        <f ca="1"/>
        <v>37.869999999999997</v>
      </c>
      <c r="J311" vm="4504">
        <f ca="1"/>
        <v>27.66</v>
      </c>
      <c r="K311" vm="4505">
        <f ca="1"/>
        <v>507.76</v>
      </c>
      <c r="L311" vm="4506">
        <f ca="1"/>
        <v>256.3</v>
      </c>
      <c r="M311" vm="4507">
        <f ca="1"/>
        <v>269.35000000000002</v>
      </c>
      <c r="N311" vm="4508">
        <f ca="1"/>
        <v>443.16</v>
      </c>
      <c r="O311" vm="4509">
        <f ca="1"/>
        <v>147.6</v>
      </c>
      <c r="P311" vm="4510">
        <f ca="1"/>
        <v>429.37</v>
      </c>
    </row>
    <row r="312" spans="1:16" x14ac:dyDescent="0.25">
      <c r="A312" vm="4511">
        <f ca="1"/>
        <v>45373</v>
      </c>
      <c r="B312" vm="4512">
        <f ca="1"/>
        <v>554.89</v>
      </c>
      <c r="C312" vm="4513">
        <f ca="1"/>
        <v>387.02</v>
      </c>
      <c r="D312" vm="304">
        <f ca="1"/>
        <v>60.49</v>
      </c>
      <c r="E312" vm="4514">
        <f ca="1"/>
        <v>229</v>
      </c>
      <c r="F312" vm="4515">
        <f ca="1"/>
        <v>161.66</v>
      </c>
      <c r="G312" vm="1944">
        <f ca="1"/>
        <v>35.85</v>
      </c>
      <c r="H312" vm="4516">
        <f ca="1"/>
        <v>140.54</v>
      </c>
      <c r="I312" vm="4001">
        <f ca="1"/>
        <v>37.35</v>
      </c>
      <c r="J312" vm="3824">
        <f ca="1"/>
        <v>25.66</v>
      </c>
      <c r="K312" vm="4517">
        <f ca="1"/>
        <v>509.58</v>
      </c>
      <c r="L312" vm="4518">
        <f ca="1"/>
        <v>255.92</v>
      </c>
      <c r="M312" vm="4519">
        <f ca="1"/>
        <v>268.24</v>
      </c>
      <c r="N312" vm="4520">
        <f ca="1"/>
        <v>445.88</v>
      </c>
      <c r="O312" vm="4521">
        <f ca="1"/>
        <v>150.77000000000001</v>
      </c>
      <c r="P312" vm="4522">
        <f ca="1"/>
        <v>428.74</v>
      </c>
    </row>
    <row r="313" spans="1:16" x14ac:dyDescent="0.25">
      <c r="A313" vm="4523">
        <f ca="1"/>
        <v>45376</v>
      </c>
      <c r="B313" vm="4524">
        <f ca="1"/>
        <v>550.53</v>
      </c>
      <c r="C313" vm="4525">
        <f ca="1"/>
        <v>387.31</v>
      </c>
      <c r="D313" vm="4284">
        <f ca="1"/>
        <v>60.4</v>
      </c>
      <c r="E313" vm="2734">
        <f ca="1"/>
        <v>220.67</v>
      </c>
      <c r="F313" vm="4526">
        <f ca="1"/>
        <v>160.19</v>
      </c>
      <c r="G313" vm="2211">
        <f ca="1"/>
        <v>36.18</v>
      </c>
      <c r="H313" vm="3713">
        <f ca="1"/>
        <v>140.22999999999999</v>
      </c>
      <c r="I313" vm="4527">
        <f ca="1"/>
        <v>36.840000000000003</v>
      </c>
      <c r="J313" vm="4528">
        <f ca="1"/>
        <v>26.2</v>
      </c>
      <c r="K313" vm="4529">
        <f ca="1"/>
        <v>503.02</v>
      </c>
      <c r="L313" vm="4530">
        <f ca="1"/>
        <v>255.54</v>
      </c>
      <c r="M313" vm="4531">
        <f ca="1"/>
        <v>270.44</v>
      </c>
      <c r="N313" vm="4532">
        <f ca="1"/>
        <v>446.31</v>
      </c>
      <c r="O313" vm="3178">
        <f ca="1"/>
        <v>150.07</v>
      </c>
      <c r="P313" vm="4533">
        <f ca="1"/>
        <v>422.86</v>
      </c>
    </row>
    <row r="314" spans="1:16" x14ac:dyDescent="0.25">
      <c r="A314" vm="4534">
        <f ca="1"/>
        <v>45377</v>
      </c>
      <c r="B314" vm="4535">
        <f ca="1"/>
        <v>549.16</v>
      </c>
      <c r="C314" vm="4536">
        <f ca="1"/>
        <v>388.5</v>
      </c>
      <c r="D314" vm="4044">
        <f ca="1"/>
        <v>60.54</v>
      </c>
      <c r="E314" vm="4537">
        <f ca="1"/>
        <v>221.52</v>
      </c>
      <c r="F314" vm="746">
        <f ca="1"/>
        <v>160.55000000000001</v>
      </c>
      <c r="G314" vm="4538">
        <f ca="1"/>
        <v>36.369999999999997</v>
      </c>
      <c r="H314" vm="3799">
        <f ca="1"/>
        <v>138.84</v>
      </c>
      <c r="I314" vm="4144">
        <f ca="1"/>
        <v>36.130000000000003</v>
      </c>
      <c r="J314" vm="4539">
        <f ca="1"/>
        <v>25.805</v>
      </c>
      <c r="K314" vm="4540">
        <f ca="1"/>
        <v>495.89</v>
      </c>
      <c r="L314" vm="4541">
        <f ca="1"/>
        <v>259.18</v>
      </c>
      <c r="M314" vm="4542">
        <f ca="1"/>
        <v>269.29000000000002</v>
      </c>
      <c r="N314" vm="4543">
        <f ca="1"/>
        <v>445.99</v>
      </c>
      <c r="O314" vm="4544">
        <f ca="1"/>
        <v>150.66999999999999</v>
      </c>
      <c r="P314" vm="4545">
        <f ca="1"/>
        <v>421.65</v>
      </c>
    </row>
    <row r="315" spans="1:16" x14ac:dyDescent="0.25">
      <c r="A315" vm="4546">
        <f ca="1"/>
        <v>45378</v>
      </c>
      <c r="B315" vm="4547">
        <f ca="1"/>
        <v>558.04999999999995</v>
      </c>
      <c r="C315" vm="4548">
        <f ca="1"/>
        <v>388.62</v>
      </c>
      <c r="D315" vm="1941">
        <f ca="1"/>
        <v>61.03</v>
      </c>
      <c r="E315" vm="2455">
        <f ca="1"/>
        <v>225.52</v>
      </c>
      <c r="F315" vm="4549">
        <f ca="1"/>
        <v>162.61000000000001</v>
      </c>
      <c r="G315" vm="4048">
        <f ca="1"/>
        <v>36.53</v>
      </c>
      <c r="H315" vm="3387">
        <f ca="1"/>
        <v>136.69</v>
      </c>
      <c r="I315" vm="4527">
        <f ca="1"/>
        <v>36.840000000000003</v>
      </c>
      <c r="J315" vm="4550">
        <f ca="1"/>
        <v>26.47</v>
      </c>
      <c r="K315" vm="4551">
        <f ca="1"/>
        <v>493.86</v>
      </c>
      <c r="L315" vm="4552">
        <f ca="1"/>
        <v>259.75</v>
      </c>
      <c r="M315" vm="4553">
        <f ca="1"/>
        <v>272.04000000000002</v>
      </c>
      <c r="N315" vm="4554">
        <f ca="1"/>
        <v>456.78</v>
      </c>
      <c r="O315" vm="4555">
        <f ca="1"/>
        <v>150.87</v>
      </c>
      <c r="P315" vm="4556">
        <f ca="1"/>
        <v>421.43</v>
      </c>
    </row>
    <row r="316" spans="1:16" x14ac:dyDescent="0.25">
      <c r="A316" vm="4557">
        <f ca="1"/>
        <v>45379</v>
      </c>
      <c r="B316" vm="4558">
        <f ca="1"/>
        <v>555.79</v>
      </c>
      <c r="C316" vm="4559">
        <f ca="1"/>
        <v>391.85</v>
      </c>
      <c r="D316" vm="4560">
        <f ca="1"/>
        <v>61.18</v>
      </c>
      <c r="E316" vm="4561">
        <f ca="1"/>
        <v>224.82</v>
      </c>
      <c r="F316" vm="4562">
        <f ca="1"/>
        <v>162.25</v>
      </c>
      <c r="G316" vm="4563">
        <f ca="1"/>
        <v>36.9</v>
      </c>
      <c r="H316" vm="4564">
        <f ca="1"/>
        <v>136.05000000000001</v>
      </c>
      <c r="I316" vm="4101">
        <f ca="1"/>
        <v>37.07</v>
      </c>
      <c r="J316" vm="4565">
        <f ca="1"/>
        <v>26.68</v>
      </c>
      <c r="K316" vm="4566">
        <f ca="1"/>
        <v>485.58</v>
      </c>
      <c r="L316" vm="4567">
        <f ca="1"/>
        <v>259.8</v>
      </c>
      <c r="M316" vm="4568">
        <f ca="1"/>
        <v>271.76</v>
      </c>
      <c r="N316" vm="4569">
        <f ca="1"/>
        <v>454.87</v>
      </c>
      <c r="O316" vm="4570">
        <f ca="1"/>
        <v>150.93</v>
      </c>
      <c r="P316" vm="4571">
        <f ca="1"/>
        <v>420.72</v>
      </c>
    </row>
    <row r="317" spans="1:16" x14ac:dyDescent="0.25">
      <c r="A317" vm="4572">
        <f ca="1"/>
        <v>45383</v>
      </c>
      <c r="B317" vm="4573">
        <f ca="1"/>
        <v>551.01</v>
      </c>
      <c r="C317" vm="4574">
        <f ca="1"/>
        <v>393.91</v>
      </c>
      <c r="D317" vm="4575">
        <f ca="1"/>
        <v>60.68</v>
      </c>
      <c r="E317" vm="4576">
        <f ca="1"/>
        <v>221.03</v>
      </c>
      <c r="F317" vm="4577">
        <f ca="1"/>
        <v>160.58000000000001</v>
      </c>
      <c r="G317" vm="4578">
        <f ca="1"/>
        <v>37.06</v>
      </c>
      <c r="H317" vm="3670">
        <f ca="1"/>
        <v>141.49</v>
      </c>
      <c r="I317" vm="3535">
        <f ca="1"/>
        <v>36.78</v>
      </c>
      <c r="J317" vm="4550">
        <f ca="1"/>
        <v>26.47</v>
      </c>
      <c r="K317" vm="4579">
        <f ca="1"/>
        <v>491.35</v>
      </c>
      <c r="L317" vm="2823">
        <f ca="1"/>
        <v>259.26</v>
      </c>
      <c r="M317" vm="4580">
        <f ca="1"/>
        <v>266</v>
      </c>
      <c r="N317" vm="4581">
        <f ca="1"/>
        <v>452.79</v>
      </c>
      <c r="O317" vm="4582">
        <f ca="1"/>
        <v>155.49</v>
      </c>
      <c r="P317" vm="4583">
        <f ca="1"/>
        <v>424.57</v>
      </c>
    </row>
    <row r="318" spans="1:16" x14ac:dyDescent="0.25">
      <c r="A318" vm="4584">
        <f ca="1"/>
        <v>45384</v>
      </c>
      <c r="B318" vm="4585">
        <f ca="1"/>
        <v>547.44000000000005</v>
      </c>
      <c r="C318" vm="4586">
        <f ca="1"/>
        <v>391.19</v>
      </c>
      <c r="D318" vm="4587">
        <f ca="1"/>
        <v>60.15</v>
      </c>
      <c r="E318" vm="4588">
        <f ca="1"/>
        <v>216.27</v>
      </c>
      <c r="F318" vm="4589">
        <f ca="1"/>
        <v>160.57</v>
      </c>
      <c r="G318" vm="4590">
        <f ca="1"/>
        <v>37.39</v>
      </c>
      <c r="H318" vm="4591">
        <f ca="1"/>
        <v>140.22</v>
      </c>
      <c r="I318" vm="4592">
        <f ca="1"/>
        <v>36.51</v>
      </c>
      <c r="J318" vm="4339">
        <f ca="1"/>
        <v>25.86</v>
      </c>
      <c r="K318" vm="4593">
        <f ca="1"/>
        <v>497.37</v>
      </c>
      <c r="L318" vm="4594">
        <f ca="1"/>
        <v>256.10000000000002</v>
      </c>
      <c r="M318" vm="4595">
        <f ca="1"/>
        <v>267.41000000000003</v>
      </c>
      <c r="N318" vm="3727">
        <f ca="1"/>
        <v>453.24</v>
      </c>
      <c r="O318" vm="4596">
        <f ca="1"/>
        <v>154.56</v>
      </c>
      <c r="P318" vm="4597">
        <f ca="1"/>
        <v>421.44</v>
      </c>
    </row>
    <row r="319" spans="1:16" x14ac:dyDescent="0.25">
      <c r="A319" vm="4598">
        <f ca="1"/>
        <v>45385</v>
      </c>
      <c r="B319" vm="4599">
        <f ca="1"/>
        <v>558.57000000000005</v>
      </c>
      <c r="C319" vm="4600">
        <f ca="1"/>
        <v>395.93</v>
      </c>
      <c r="D319" vm="384">
        <f ca="1"/>
        <v>59.83</v>
      </c>
      <c r="E319" vm="4601">
        <f ca="1"/>
        <v>216.65</v>
      </c>
      <c r="F319" vm="4602">
        <f ca="1"/>
        <v>156.15</v>
      </c>
      <c r="G319" vm="4603">
        <f ca="1"/>
        <v>37.369999999999997</v>
      </c>
      <c r="H319" vm="4604">
        <f ca="1"/>
        <v>142</v>
      </c>
      <c r="I319" vm="4605">
        <f ca="1"/>
        <v>36.42</v>
      </c>
      <c r="J319" vm="4606">
        <f ca="1"/>
        <v>26.01</v>
      </c>
      <c r="K319" vm="4607">
        <f ca="1"/>
        <v>506.74</v>
      </c>
      <c r="L319" vm="4608">
        <f ca="1"/>
        <v>262.29000000000002</v>
      </c>
      <c r="M319" vm="4609">
        <f ca="1"/>
        <v>266.95</v>
      </c>
      <c r="N319" vm="4610">
        <f ca="1"/>
        <v>447.9</v>
      </c>
      <c r="O319" vm="4611">
        <f ca="1"/>
        <v>154.91999999999999</v>
      </c>
      <c r="P319" vm="4612">
        <f ca="1"/>
        <v>420.45</v>
      </c>
    </row>
    <row r="320" spans="1:16" x14ac:dyDescent="0.25">
      <c r="A320" vm="4613">
        <f ca="1"/>
        <v>45386</v>
      </c>
      <c r="B320" vm="4614">
        <f ca="1"/>
        <v>555.65</v>
      </c>
      <c r="C320" vm="4615">
        <f ca="1"/>
        <v>390.41</v>
      </c>
      <c r="D320" vm="4616">
        <f ca="1"/>
        <v>59.3</v>
      </c>
      <c r="E320" vm="4617">
        <f ca="1"/>
        <v>213.4</v>
      </c>
      <c r="F320" vm="4618">
        <f ca="1"/>
        <v>155.44999999999999</v>
      </c>
      <c r="G320" vm="4619">
        <f ca="1"/>
        <v>37.25</v>
      </c>
      <c r="H320" vm="4620">
        <f ca="1"/>
        <v>139.66</v>
      </c>
      <c r="I320" vm="4621">
        <f ca="1"/>
        <v>36.119999999999997</v>
      </c>
      <c r="J320" vm="4622">
        <f ca="1"/>
        <v>25.99</v>
      </c>
      <c r="K320" vm="4623">
        <f ca="1"/>
        <v>510.92</v>
      </c>
      <c r="L320" vm="4624">
        <f ca="1"/>
        <v>258.29000000000002</v>
      </c>
      <c r="M320" vm="4625">
        <f ca="1"/>
        <v>264.31</v>
      </c>
      <c r="N320" vm="4626">
        <f ca="1"/>
        <v>454.04</v>
      </c>
      <c r="O320" vm="4627">
        <f ca="1"/>
        <v>150.53</v>
      </c>
      <c r="P320" vm="4628">
        <f ca="1"/>
        <v>417.88</v>
      </c>
    </row>
    <row r="321" spans="1:16" x14ac:dyDescent="0.25">
      <c r="A321" vm="4629">
        <f ca="1"/>
        <v>45387</v>
      </c>
      <c r="B321" vm="4630">
        <f ca="1"/>
        <v>566.66999999999996</v>
      </c>
      <c r="C321" vm="4631">
        <f ca="1"/>
        <v>399</v>
      </c>
      <c r="D321" vm="631">
        <f ca="1"/>
        <v>59.51</v>
      </c>
      <c r="E321" vm="4632">
        <f ca="1"/>
        <v>213.48</v>
      </c>
      <c r="F321" vm="4633">
        <f ca="1"/>
        <v>156.1</v>
      </c>
      <c r="G321" vm="4578">
        <f ca="1"/>
        <v>37.06</v>
      </c>
      <c r="H321" vm="4634">
        <f ca="1"/>
        <v>141.36000000000001</v>
      </c>
      <c r="I321" vm="4635">
        <f ca="1"/>
        <v>36.299999999999997</v>
      </c>
      <c r="J321" vm="4258">
        <f ca="1"/>
        <v>25.85</v>
      </c>
      <c r="K321" vm="4636">
        <f ca="1"/>
        <v>527.34</v>
      </c>
      <c r="L321" vm="4637">
        <f ca="1"/>
        <v>263.2</v>
      </c>
      <c r="M321" vm="4638">
        <f ca="1"/>
        <v>265.63</v>
      </c>
      <c r="N321" vm="4639">
        <f ca="1"/>
        <v>455.38</v>
      </c>
      <c r="O321" vm="1927">
        <f ca="1"/>
        <v>152.5</v>
      </c>
      <c r="P321" vm="4640">
        <f ca="1"/>
        <v>425.52</v>
      </c>
    </row>
    <row r="322" spans="1:16" x14ac:dyDescent="0.25">
      <c r="A322" vm="4641">
        <f ca="1"/>
        <v>45390</v>
      </c>
      <c r="B322" vm="4642">
        <f ca="1"/>
        <v>565.92999999999995</v>
      </c>
      <c r="C322" vm="4643">
        <f ca="1"/>
        <v>400.5</v>
      </c>
      <c r="D322" vm="4644">
        <f ca="1"/>
        <v>59.27</v>
      </c>
      <c r="E322" vm="4645">
        <f ca="1"/>
        <v>212.65</v>
      </c>
      <c r="F322" vm="4646">
        <f ca="1"/>
        <v>156.04</v>
      </c>
      <c r="G322" vm="4647">
        <f ca="1"/>
        <v>37.049999999999997</v>
      </c>
      <c r="H322" vm="4648">
        <f ca="1"/>
        <v>142.79</v>
      </c>
      <c r="I322" vm="4245">
        <f ca="1"/>
        <v>36.049999999999997</v>
      </c>
      <c r="J322" vm="4649">
        <f ca="1"/>
        <v>26.18</v>
      </c>
      <c r="K322" vm="4650">
        <f ca="1"/>
        <v>519.25</v>
      </c>
      <c r="L322" vm="4651">
        <f ca="1"/>
        <v>262.26</v>
      </c>
      <c r="M322" vm="4580">
        <f ca="1"/>
        <v>266</v>
      </c>
      <c r="N322" vm="3157">
        <f ca="1"/>
        <v>452.38</v>
      </c>
      <c r="O322" vm="4652">
        <f ca="1"/>
        <v>154.85</v>
      </c>
      <c r="P322" vm="4653">
        <f ca="1"/>
        <v>424.59</v>
      </c>
    </row>
    <row r="323" spans="1:16" x14ac:dyDescent="0.25">
      <c r="A323" vm="4654">
        <f ca="1"/>
        <v>45391</v>
      </c>
      <c r="B323" vm="4655">
        <f ca="1"/>
        <v>561.35</v>
      </c>
      <c r="C323" vm="4656">
        <f ca="1"/>
        <v>392.15</v>
      </c>
      <c r="D323" vm="209">
        <f ca="1"/>
        <v>59.72</v>
      </c>
      <c r="E323" vm="1021">
        <f ca="1"/>
        <v>214.72</v>
      </c>
      <c r="F323" vm="4657">
        <f ca="1"/>
        <v>156.66</v>
      </c>
      <c r="G323" vm="4658">
        <f ca="1"/>
        <v>37.159999999999997</v>
      </c>
      <c r="H323" vm="1574">
        <f ca="1"/>
        <v>145.4</v>
      </c>
      <c r="I323" vm="4659">
        <f ca="1"/>
        <v>35.950000000000003</v>
      </c>
      <c r="J323" vm="4660">
        <f ca="1"/>
        <v>25.58</v>
      </c>
      <c r="K323" vm="4661">
        <f ca="1"/>
        <v>516.9</v>
      </c>
      <c r="L323" vm="4662">
        <f ca="1"/>
        <v>256.39999999999998</v>
      </c>
      <c r="M323" vm="4663">
        <f ca="1"/>
        <v>262.97000000000003</v>
      </c>
      <c r="N323" vm="4664">
        <f ca="1"/>
        <v>447.57</v>
      </c>
      <c r="O323" vm="4665">
        <f ca="1"/>
        <v>156.6</v>
      </c>
      <c r="P323" vm="4666">
        <f ca="1"/>
        <v>426.28</v>
      </c>
    </row>
    <row r="324" spans="1:16" x14ac:dyDescent="0.25">
      <c r="A324" vm="4667">
        <f ca="1"/>
        <v>45392</v>
      </c>
      <c r="B324" vm="4668">
        <f ca="1"/>
        <v>555.37</v>
      </c>
      <c r="C324" vm="4669">
        <f ca="1"/>
        <v>382.9</v>
      </c>
      <c r="D324" vm="4670">
        <f ca="1"/>
        <v>58.92</v>
      </c>
      <c r="E324" vm="4671">
        <f ca="1"/>
        <v>209.21</v>
      </c>
      <c r="F324" vm="4672">
        <f ca="1"/>
        <v>157.24</v>
      </c>
      <c r="G324" vm="3944">
        <f ca="1"/>
        <v>36.82</v>
      </c>
      <c r="H324" vm="4673">
        <f ca="1"/>
        <v>146.22</v>
      </c>
      <c r="I324" vm="4674">
        <f ca="1"/>
        <v>35.409999999999997</v>
      </c>
      <c r="J324" vm="4675">
        <f ca="1"/>
        <v>25.6</v>
      </c>
      <c r="K324" vm="4676">
        <f ca="1"/>
        <v>519.83000000000004</v>
      </c>
      <c r="L324" vm="4677">
        <f ca="1"/>
        <v>254.3</v>
      </c>
      <c r="M324" vm="4678">
        <f ca="1"/>
        <v>264.92</v>
      </c>
      <c r="N324" vm="4679">
        <f ca="1"/>
        <v>451.71</v>
      </c>
      <c r="O324" vm="3970">
        <f ca="1"/>
        <v>156.13999999999999</v>
      </c>
      <c r="P324" vm="4680">
        <f ca="1"/>
        <v>423.26</v>
      </c>
    </row>
    <row r="325" spans="1:16" x14ac:dyDescent="0.25">
      <c r="A325" vm="4681">
        <f ca="1"/>
        <v>45393</v>
      </c>
      <c r="B325" vm="4558">
        <f ca="1"/>
        <v>555.79</v>
      </c>
      <c r="C325" vm="4682">
        <f ca="1"/>
        <v>377.64</v>
      </c>
      <c r="D325" vm="4683">
        <f ca="1"/>
        <v>59.05</v>
      </c>
      <c r="E325" vm="4684">
        <f ca="1"/>
        <v>206.28</v>
      </c>
      <c r="F325" vm="4685">
        <f ca="1"/>
        <v>155.84</v>
      </c>
      <c r="G325" vm="1725">
        <f ca="1"/>
        <v>36.58</v>
      </c>
      <c r="H325" vm="4686">
        <f ca="1"/>
        <v>147.19999999999999</v>
      </c>
      <c r="I325" vm="4687">
        <f ca="1"/>
        <v>35.43</v>
      </c>
      <c r="J325" vm="4688">
        <f ca="1"/>
        <v>25.54</v>
      </c>
      <c r="K325" vm="4689">
        <f ca="1"/>
        <v>523.16</v>
      </c>
      <c r="L325" vm="4690">
        <f ca="1"/>
        <v>258</v>
      </c>
      <c r="M325" vm="4691">
        <f ca="1"/>
        <v>268.33999999999997</v>
      </c>
      <c r="N325" vm="2500">
        <f ca="1"/>
        <v>452.32</v>
      </c>
      <c r="O325" vm="4692">
        <f ca="1"/>
        <v>159.41</v>
      </c>
      <c r="P325" vm="4693">
        <f ca="1"/>
        <v>427.93</v>
      </c>
    </row>
    <row r="326" spans="1:16" x14ac:dyDescent="0.25">
      <c r="A326" vm="4694">
        <f ca="1"/>
        <v>45394</v>
      </c>
      <c r="B326" vm="4695">
        <f ca="1"/>
        <v>550.32000000000005</v>
      </c>
      <c r="C326" vm="4696">
        <f ca="1"/>
        <v>373.14</v>
      </c>
      <c r="D326" vm="4697">
        <f ca="1"/>
        <v>58.28</v>
      </c>
      <c r="E326" vm="4698">
        <f ca="1"/>
        <v>204</v>
      </c>
      <c r="F326" vm="4699">
        <f ca="1"/>
        <v>155.33000000000001</v>
      </c>
      <c r="G326" vm="4700">
        <f ca="1"/>
        <v>35.94</v>
      </c>
      <c r="H326" vm="4701">
        <f ca="1"/>
        <v>142.52000000000001</v>
      </c>
      <c r="I326" vm="4702">
        <f ca="1"/>
        <v>35.340000000000003</v>
      </c>
      <c r="J326" vm="3876">
        <f ca="1"/>
        <v>25.27</v>
      </c>
      <c r="K326" vm="4703">
        <f ca="1"/>
        <v>511.9</v>
      </c>
      <c r="L326" vm="4704">
        <f ca="1"/>
        <v>254.69</v>
      </c>
      <c r="M326" vm="4705">
        <f ca="1"/>
        <v>262.24</v>
      </c>
      <c r="N326" vm="3371">
        <f ca="1"/>
        <v>450.4</v>
      </c>
      <c r="O326" vm="4706">
        <f ca="1"/>
        <v>157.72999999999999</v>
      </c>
      <c r="P326" vm="4707">
        <f ca="1"/>
        <v>421.9</v>
      </c>
    </row>
    <row r="327" spans="1:16" x14ac:dyDescent="0.25">
      <c r="A327" vm="4708">
        <f ca="1"/>
        <v>45397</v>
      </c>
      <c r="B327" vm="4709">
        <f ca="1"/>
        <v>543.37</v>
      </c>
      <c r="C327" vm="4710">
        <f ca="1"/>
        <v>373.12</v>
      </c>
      <c r="D327" vm="4711">
        <f ca="1"/>
        <v>58.14</v>
      </c>
      <c r="E327" vm="1559">
        <f ca="1"/>
        <v>201.21</v>
      </c>
      <c r="F327" vm="4618">
        <f ca="1"/>
        <v>155.44999999999999</v>
      </c>
      <c r="G327" vm="4712">
        <f ca="1"/>
        <v>36.31</v>
      </c>
      <c r="H327" vm="4713">
        <f ca="1"/>
        <v>140.13999999999999</v>
      </c>
      <c r="I327" vm="4714">
        <f ca="1"/>
        <v>35.14</v>
      </c>
      <c r="J327" vm="4715">
        <f ca="1"/>
        <v>24.36</v>
      </c>
      <c r="K327" vm="4716">
        <f ca="1"/>
        <v>500.23</v>
      </c>
      <c r="L327" vm="4717">
        <f ca="1"/>
        <v>248.89</v>
      </c>
      <c r="M327" vm="4718">
        <f ca="1"/>
        <v>258.52</v>
      </c>
      <c r="N327" vm="4719">
        <f ca="1"/>
        <v>453.08</v>
      </c>
      <c r="O327" vm="4720">
        <f ca="1"/>
        <v>154.86000000000001</v>
      </c>
      <c r="P327" vm="4305">
        <f ca="1"/>
        <v>413.64</v>
      </c>
    </row>
    <row r="328" spans="1:16" x14ac:dyDescent="0.25">
      <c r="A328" vm="4721">
        <f ca="1"/>
        <v>45398</v>
      </c>
      <c r="B328" vm="4722">
        <f ca="1"/>
        <v>544.14</v>
      </c>
      <c r="C328" vm="4723">
        <f ca="1"/>
        <v>374.24</v>
      </c>
      <c r="D328" vm="4724">
        <f ca="1"/>
        <v>58.06</v>
      </c>
      <c r="E328" vm="4725">
        <f ca="1"/>
        <v>199.01</v>
      </c>
      <c r="F328" vm="4726">
        <f ca="1"/>
        <v>155.94999999999999</v>
      </c>
      <c r="G328" vm="3587">
        <f ca="1"/>
        <v>36.590000000000003</v>
      </c>
      <c r="H328" vm="4727">
        <f ca="1"/>
        <v>139.80000000000001</v>
      </c>
      <c r="I328" vm="4377">
        <f ca="1"/>
        <v>34.840000000000003</v>
      </c>
      <c r="J328" vm="4728">
        <f ca="1"/>
        <v>24.14</v>
      </c>
      <c r="K328" vm="4729">
        <f ca="1"/>
        <v>499.76</v>
      </c>
      <c r="L328" vm="4730">
        <f ca="1"/>
        <v>248.69</v>
      </c>
      <c r="M328" vm="4731">
        <f ca="1"/>
        <v>257.77999999999997</v>
      </c>
      <c r="N328" vm="4732">
        <f ca="1"/>
        <v>454.31</v>
      </c>
      <c r="O328" vm="4733">
        <f ca="1"/>
        <v>154.4</v>
      </c>
      <c r="P328" vm="4734">
        <f ca="1"/>
        <v>414.58</v>
      </c>
    </row>
    <row r="329" spans="1:16" x14ac:dyDescent="0.25">
      <c r="A329" vm="4735">
        <f ca="1"/>
        <v>45399</v>
      </c>
      <c r="B329" vm="4736">
        <f ca="1"/>
        <v>540.57000000000005</v>
      </c>
      <c r="C329" vm="17">
        <f ca="1"/>
        <v>368.84</v>
      </c>
      <c r="D329" vm="4737">
        <f ca="1"/>
        <v>58.51</v>
      </c>
      <c r="E329" vm="4738">
        <f ca="1"/>
        <v>200.24</v>
      </c>
      <c r="F329" vm="4739">
        <f ca="1"/>
        <v>156.96</v>
      </c>
      <c r="G329" vm="4563">
        <f ca="1"/>
        <v>36.9</v>
      </c>
      <c r="H329" vm="4740">
        <f ca="1"/>
        <v>139.03</v>
      </c>
      <c r="I329" vm="2751">
        <f ca="1"/>
        <v>34.159999999999997</v>
      </c>
      <c r="J329" vm="4741">
        <f ca="1"/>
        <v>23.31</v>
      </c>
      <c r="K329" vm="4742">
        <f ca="1"/>
        <v>494.17</v>
      </c>
      <c r="L329" vm="4743">
        <f ca="1"/>
        <v>245.96</v>
      </c>
      <c r="M329" vm="4744">
        <f ca="1"/>
        <v>257.31</v>
      </c>
      <c r="N329" vm="3872">
        <f ca="1"/>
        <v>456.05</v>
      </c>
      <c r="O329" vm="4745">
        <f ca="1"/>
        <v>155.47</v>
      </c>
      <c r="P329" vm="4746">
        <f ca="1"/>
        <v>411.84</v>
      </c>
    </row>
    <row r="330" spans="1:16" x14ac:dyDescent="0.25">
      <c r="A330" vm="4747">
        <f ca="1"/>
        <v>45400</v>
      </c>
      <c r="B330" vm="4748">
        <f ca="1"/>
        <v>538.09</v>
      </c>
      <c r="C330" vm="4749">
        <f ca="1"/>
        <v>367.41</v>
      </c>
      <c r="D330" vm="3942">
        <f ca="1"/>
        <v>58.91</v>
      </c>
      <c r="E330" vm="4750">
        <f ca="1"/>
        <v>200.81</v>
      </c>
      <c r="F330" vm="850">
        <f ca="1"/>
        <v>157.29</v>
      </c>
      <c r="G330" vm="4751">
        <f ca="1"/>
        <v>37.11</v>
      </c>
      <c r="H330" vm="4752">
        <f ca="1"/>
        <v>132.27000000000001</v>
      </c>
      <c r="I330" vm="2328">
        <f ca="1"/>
        <v>34.39</v>
      </c>
      <c r="J330" vm="4753">
        <f ca="1"/>
        <v>23.08</v>
      </c>
      <c r="K330" vm="4754">
        <f ca="1"/>
        <v>501.8</v>
      </c>
      <c r="L330" vm="4755">
        <f ca="1"/>
        <v>245.68</v>
      </c>
      <c r="M330" vm="4756">
        <f ca="1"/>
        <v>258.68</v>
      </c>
      <c r="N330" vm="4757">
        <f ca="1"/>
        <v>456.09</v>
      </c>
      <c r="O330" vm="1439">
        <f ca="1"/>
        <v>156.01</v>
      </c>
      <c r="P330" vm="4758">
        <f ca="1"/>
        <v>404.27</v>
      </c>
    </row>
    <row r="331" spans="1:16" x14ac:dyDescent="0.25">
      <c r="A331" vm="4759">
        <f ca="1"/>
        <v>45401</v>
      </c>
      <c r="B331" vm="4760">
        <f ca="1"/>
        <v>534.65</v>
      </c>
      <c r="C331" vm="4749">
        <f ca="1"/>
        <v>367.41</v>
      </c>
      <c r="D331" vm="399">
        <f ca="1"/>
        <v>60.17</v>
      </c>
      <c r="E331" vm="4761">
        <f ca="1"/>
        <v>199.51</v>
      </c>
      <c r="F331" vm="4762">
        <f ca="1"/>
        <v>158.13999999999999</v>
      </c>
      <c r="G331" vm="3763">
        <f ca="1"/>
        <v>37.78</v>
      </c>
      <c r="H331" vm="4763">
        <f ca="1"/>
        <v>127.7</v>
      </c>
      <c r="I331" vm="1930">
        <f ca="1"/>
        <v>34.340000000000003</v>
      </c>
      <c r="J331" vm="4764">
        <f ca="1"/>
        <v>23.9</v>
      </c>
      <c r="K331" vm="4765">
        <f ca="1"/>
        <v>481.07</v>
      </c>
      <c r="L331" vm="4766">
        <f ca="1"/>
        <v>243.26</v>
      </c>
      <c r="M331" vm="4767">
        <f ca="1"/>
        <v>260.7</v>
      </c>
      <c r="N331" vm="4768">
        <f ca="1"/>
        <v>463.87</v>
      </c>
      <c r="O331" vm="4769">
        <f ca="1"/>
        <v>154.09</v>
      </c>
      <c r="P331" vm="4770">
        <f ca="1"/>
        <v>399.12</v>
      </c>
    </row>
    <row r="332" spans="1:16" x14ac:dyDescent="0.25">
      <c r="A332" vm="4771">
        <f ca="1"/>
        <v>45404</v>
      </c>
      <c r="B332" vm="4772">
        <f ca="1"/>
        <v>539.72</v>
      </c>
      <c r="C332" vm="4773">
        <f ca="1"/>
        <v>370.29</v>
      </c>
      <c r="D332" vm="257">
        <f ca="1"/>
        <v>60.55</v>
      </c>
      <c r="E332" vm="4774">
        <f ca="1"/>
        <v>200.9</v>
      </c>
      <c r="F332" vm="4775">
        <f ca="1"/>
        <v>160.54</v>
      </c>
      <c r="G332" vm="4776">
        <f ca="1"/>
        <v>38.15</v>
      </c>
      <c r="H332" vm="4777">
        <f ca="1"/>
        <v>129.75</v>
      </c>
      <c r="I332" vm="3736">
        <f ca="1"/>
        <v>34.619999999999997</v>
      </c>
      <c r="J332" vm="4778">
        <f ca="1"/>
        <v>23.55</v>
      </c>
      <c r="K332" vm="4779">
        <f ca="1"/>
        <v>481.73</v>
      </c>
      <c r="L332" vm="4780">
        <f ca="1"/>
        <v>245.56</v>
      </c>
      <c r="M332" vm="4781">
        <f ca="1"/>
        <v>259.74</v>
      </c>
      <c r="N332" vm="4782">
        <f ca="1"/>
        <v>461.33</v>
      </c>
      <c r="O332" vm="4783">
        <f ca="1"/>
        <v>156.28</v>
      </c>
      <c r="P332" vm="4784">
        <f ca="1"/>
        <v>400.96</v>
      </c>
    </row>
    <row r="333" spans="1:16" x14ac:dyDescent="0.25">
      <c r="A333" vm="4785">
        <f ca="1"/>
        <v>45405</v>
      </c>
      <c r="B333" vm="4786">
        <f ca="1"/>
        <v>550.4</v>
      </c>
      <c r="C333" vm="4787">
        <f ca="1"/>
        <v>379.33</v>
      </c>
      <c r="D333" vm="320">
        <f ca="1"/>
        <v>60.64</v>
      </c>
      <c r="E333" vm="4788">
        <f ca="1"/>
        <v>205.99</v>
      </c>
      <c r="F333" vm="4433">
        <f ca="1"/>
        <v>161.5</v>
      </c>
      <c r="G333" vm="4789">
        <f ca="1"/>
        <v>38.07</v>
      </c>
      <c r="H333" vm="4790">
        <f ca="1"/>
        <v>133.43</v>
      </c>
      <c r="I333" vm="3765">
        <f ca="1"/>
        <v>34.72</v>
      </c>
      <c r="J333" vm="4791">
        <f ca="1"/>
        <v>23.91</v>
      </c>
      <c r="K333" vm="4792">
        <f ca="1"/>
        <v>496.1</v>
      </c>
      <c r="L333" vm="4793">
        <f ca="1"/>
        <v>251.95</v>
      </c>
      <c r="M333" vm="4794">
        <f ca="1"/>
        <v>261.66000000000003</v>
      </c>
      <c r="N333" vm="4795">
        <f ca="1"/>
        <v>460.08</v>
      </c>
      <c r="O333" vm="4796">
        <f ca="1"/>
        <v>158.26</v>
      </c>
      <c r="P333" vm="4797">
        <f ca="1"/>
        <v>407.57</v>
      </c>
    </row>
    <row r="334" spans="1:16" x14ac:dyDescent="0.25">
      <c r="A334" vm="4798">
        <f ca="1"/>
        <v>45406</v>
      </c>
      <c r="B334" vm="4799">
        <f ca="1"/>
        <v>546.35</v>
      </c>
      <c r="C334" vm="4800">
        <f ca="1"/>
        <v>375.3</v>
      </c>
      <c r="D334" vm="4801">
        <f ca="1"/>
        <v>61.55</v>
      </c>
      <c r="E334" vm="4802">
        <f ca="1"/>
        <v>202.8</v>
      </c>
      <c r="F334" vm="4803">
        <f ca="1"/>
        <v>162.6</v>
      </c>
      <c r="G334" vm="4804">
        <f ca="1"/>
        <v>38.57</v>
      </c>
      <c r="H334" vm="4805">
        <f ca="1"/>
        <v>132.97</v>
      </c>
      <c r="I334" vm="2522">
        <f ca="1"/>
        <v>33.67</v>
      </c>
      <c r="J334" vm="4806">
        <f ca="1"/>
        <v>23.96</v>
      </c>
      <c r="K334" vm="4807">
        <f ca="1"/>
        <v>493.5</v>
      </c>
      <c r="L334" vm="4808">
        <f ca="1"/>
        <v>253.18</v>
      </c>
      <c r="M334" vm="4809">
        <f ca="1"/>
        <v>261.55</v>
      </c>
      <c r="N334" vm="4810">
        <f ca="1"/>
        <v>459.14</v>
      </c>
      <c r="O334" vm="1054">
        <f ca="1"/>
        <v>159.13</v>
      </c>
      <c r="P334" vm="4811">
        <f ca="1"/>
        <v>409.06</v>
      </c>
    </row>
    <row r="335" spans="1:16" x14ac:dyDescent="0.25">
      <c r="A335" vm="4812">
        <f ca="1"/>
        <v>45407</v>
      </c>
      <c r="B335" vm="4813">
        <f ca="1"/>
        <v>549.38</v>
      </c>
      <c r="C335" vm="4814">
        <f ca="1"/>
        <v>382.03</v>
      </c>
      <c r="D335" vm="4815">
        <f ca="1"/>
        <v>61.74</v>
      </c>
      <c r="E335" vm="4816">
        <f ca="1"/>
        <v>201.54</v>
      </c>
      <c r="F335" vm="4817">
        <f ca="1"/>
        <v>162.55000000000001</v>
      </c>
      <c r="G335" vm="4818">
        <f ca="1"/>
        <v>38.369999999999997</v>
      </c>
      <c r="H335" vm="4819">
        <f ca="1"/>
        <v>136.58000000000001</v>
      </c>
      <c r="I335" vm="2797">
        <f ca="1"/>
        <v>34.03</v>
      </c>
      <c r="J335" vm="4820">
        <f ca="1"/>
        <v>23.39</v>
      </c>
      <c r="K335" vm="4821">
        <f ca="1"/>
        <v>441.38</v>
      </c>
      <c r="L335" vm="4822">
        <f ca="1"/>
        <v>255.19</v>
      </c>
      <c r="M335" vm="4823">
        <f ca="1"/>
        <v>261.70999999999998</v>
      </c>
      <c r="N335" vm="4824">
        <f ca="1"/>
        <v>464.78</v>
      </c>
      <c r="O335" vm="513">
        <f ca="1"/>
        <v>156</v>
      </c>
      <c r="P335" vm="4825">
        <f ca="1"/>
        <v>399.04</v>
      </c>
    </row>
    <row r="336" spans="1:16" x14ac:dyDescent="0.25">
      <c r="A336" vm="4826">
        <f ca="1"/>
        <v>45408</v>
      </c>
      <c r="B336" vm="4827">
        <f ca="1"/>
        <v>553.64</v>
      </c>
      <c r="C336" vm="4828">
        <f ca="1"/>
        <v>400.56</v>
      </c>
      <c r="D336" vm="4815">
        <f ca="1"/>
        <v>61.74</v>
      </c>
      <c r="E336" vm="4829">
        <f ca="1"/>
        <v>203.9</v>
      </c>
      <c r="F336" vm="4830">
        <f ca="1"/>
        <v>161.29</v>
      </c>
      <c r="G336" vm="4831">
        <f ca="1"/>
        <v>38.159999999999997</v>
      </c>
      <c r="H336" vm="4832">
        <f ca="1"/>
        <v>138.30000000000001</v>
      </c>
      <c r="I336" vm="4833">
        <f ca="1"/>
        <v>33.99</v>
      </c>
      <c r="J336" vm="4834">
        <f ca="1"/>
        <v>24.09</v>
      </c>
      <c r="K336" vm="4835">
        <f ca="1"/>
        <v>443.29</v>
      </c>
      <c r="L336" vm="4794">
        <f ca="1"/>
        <v>261.66000000000003</v>
      </c>
      <c r="M336" vm="4836">
        <f ca="1"/>
        <v>260.04000000000002</v>
      </c>
      <c r="N336" vm="4837">
        <f ca="1"/>
        <v>461.29</v>
      </c>
      <c r="O336" vm="4838">
        <f ca="1"/>
        <v>171.95</v>
      </c>
      <c r="P336" vm="2380">
        <f ca="1"/>
        <v>406.32</v>
      </c>
    </row>
    <row r="337" spans="1:16" x14ac:dyDescent="0.25">
      <c r="A337" vm="4839">
        <f ca="1"/>
        <v>45411</v>
      </c>
      <c r="B337" vm="4840">
        <f ca="1"/>
        <v>554.44000000000005</v>
      </c>
      <c r="C337" vm="4841">
        <f ca="1"/>
        <v>397</v>
      </c>
      <c r="D337" vm="4842">
        <f ca="1"/>
        <v>62.04</v>
      </c>
      <c r="E337" vm="4843">
        <f ca="1"/>
        <v>205.42</v>
      </c>
      <c r="F337" vm="4515">
        <f ca="1"/>
        <v>161.66</v>
      </c>
      <c r="G337" vm="4844">
        <f ca="1"/>
        <v>38.65</v>
      </c>
      <c r="H337" vm="4412">
        <f ca="1"/>
        <v>138.5</v>
      </c>
      <c r="I337" vm="4845">
        <f ca="1"/>
        <v>33.950000000000003</v>
      </c>
      <c r="J337" vm="4846">
        <f ca="1"/>
        <v>24.56</v>
      </c>
      <c r="K337" vm="4847">
        <f ca="1"/>
        <v>432.62</v>
      </c>
      <c r="L337" vm="4848">
        <f ca="1"/>
        <v>262.33999999999997</v>
      </c>
      <c r="M337" vm="4849">
        <f ca="1"/>
        <v>261.19</v>
      </c>
      <c r="N337" vm="4850">
        <f ca="1"/>
        <v>467.55</v>
      </c>
      <c r="O337" vm="4851">
        <f ca="1"/>
        <v>166.15</v>
      </c>
      <c r="P337" vm="4852">
        <f ca="1"/>
        <v>402.25</v>
      </c>
    </row>
    <row r="338" spans="1:16" x14ac:dyDescent="0.25">
      <c r="A338" vm="4853">
        <f ca="1"/>
        <v>45412</v>
      </c>
      <c r="B338" vm="4854">
        <f ca="1"/>
        <v>544.91</v>
      </c>
      <c r="C338" vm="4855">
        <f ca="1"/>
        <v>388.25</v>
      </c>
      <c r="D338" vm="2223">
        <f ca="1"/>
        <v>61.77</v>
      </c>
      <c r="E338" vm="4856">
        <f ca="1"/>
        <v>204.56</v>
      </c>
      <c r="F338" vm="4857">
        <f ca="1"/>
        <v>163.19999999999999</v>
      </c>
      <c r="G338" vm="1017">
        <f ca="1"/>
        <v>38.61</v>
      </c>
      <c r="H338" vm="4858">
        <f ca="1"/>
        <v>137.34</v>
      </c>
      <c r="I338" vm="2065">
        <f ca="1"/>
        <v>33.22</v>
      </c>
      <c r="J338" vm="4859">
        <f ca="1"/>
        <v>25.53</v>
      </c>
      <c r="K338" vm="4860">
        <f ca="1"/>
        <v>430.17</v>
      </c>
      <c r="L338" vm="4861">
        <f ca="1"/>
        <v>258.56</v>
      </c>
      <c r="M338" vm="4862">
        <f ca="1"/>
        <v>253.46</v>
      </c>
      <c r="N338" vm="4863">
        <f ca="1"/>
        <v>464.93</v>
      </c>
      <c r="O338" vm="4864">
        <f ca="1"/>
        <v>162.78</v>
      </c>
      <c r="P338" vm="4865">
        <f ca="1"/>
        <v>389.33</v>
      </c>
    </row>
    <row r="339" spans="1:16" x14ac:dyDescent="0.25">
      <c r="A339" vm="4866">
        <f ca="1"/>
        <v>45413</v>
      </c>
      <c r="B339" vm="4867">
        <f ca="1"/>
        <v>542.96</v>
      </c>
      <c r="C339" vm="4868">
        <f ca="1"/>
        <v>385.18</v>
      </c>
      <c r="D339" vm="2208">
        <f ca="1"/>
        <v>61.93</v>
      </c>
      <c r="E339" vm="2627">
        <f ca="1"/>
        <v>205.04</v>
      </c>
      <c r="F339" vm="4869">
        <f ca="1"/>
        <v>163.4</v>
      </c>
      <c r="G339" vm="4034">
        <f ca="1"/>
        <v>36.28</v>
      </c>
      <c r="H339" vm="4870">
        <f ca="1"/>
        <v>134.94</v>
      </c>
      <c r="I339" vm="3536">
        <f ca="1"/>
        <v>33.200000000000003</v>
      </c>
      <c r="J339" vm="4871">
        <f ca="1"/>
        <v>25.9</v>
      </c>
      <c r="K339" vm="4872">
        <f ca="1"/>
        <v>439.19</v>
      </c>
      <c r="L339" vm="4873">
        <f ca="1"/>
        <v>256.01</v>
      </c>
      <c r="M339" vm="3906">
        <f ca="1"/>
        <v>253.95</v>
      </c>
      <c r="N339" vm="4874">
        <f ca="1"/>
        <v>461.73</v>
      </c>
      <c r="O339" vm="4875">
        <f ca="1"/>
        <v>163.86</v>
      </c>
      <c r="P339" vm="4876">
        <f ca="1"/>
        <v>394.94</v>
      </c>
    </row>
    <row r="340" spans="1:16" x14ac:dyDescent="0.25">
      <c r="A340" vm="4877">
        <f ca="1"/>
        <v>45414</v>
      </c>
      <c r="B340" vm="4878">
        <f ca="1"/>
        <v>530.67999999999995</v>
      </c>
      <c r="C340" vm="4879">
        <f ca="1"/>
        <v>395.07</v>
      </c>
      <c r="D340" vm="4880">
        <f ca="1"/>
        <v>61.99</v>
      </c>
      <c r="E340" vm="4881">
        <f ca="1"/>
        <v>206.24</v>
      </c>
      <c r="F340" vm="4882">
        <f ca="1"/>
        <v>163.84</v>
      </c>
      <c r="G340" vm="4186">
        <f ca="1"/>
        <v>36.72</v>
      </c>
      <c r="H340" vm="4883">
        <f ca="1"/>
        <v>136.22999999999999</v>
      </c>
      <c r="I340" vm="4884">
        <f ca="1"/>
        <v>33.57</v>
      </c>
      <c r="J340" vm="4885">
        <f ca="1"/>
        <v>26.53</v>
      </c>
      <c r="K340" vm="4886">
        <f ca="1"/>
        <v>441.68</v>
      </c>
      <c r="L340" vm="4887">
        <f ca="1"/>
        <v>255</v>
      </c>
      <c r="M340" vm="4888">
        <f ca="1"/>
        <v>254.08</v>
      </c>
      <c r="N340" vm="4889">
        <f ca="1"/>
        <v>463.2</v>
      </c>
      <c r="O340" vm="4890">
        <f ca="1"/>
        <v>166.62</v>
      </c>
      <c r="P340" vm="4891">
        <f ca="1"/>
        <v>397.84</v>
      </c>
    </row>
    <row r="341" spans="1:16" x14ac:dyDescent="0.25">
      <c r="A341" vm="4892">
        <f ca="1"/>
        <v>45415</v>
      </c>
      <c r="B341" vm="4893">
        <f ca="1"/>
        <v>536.17999999999995</v>
      </c>
      <c r="C341" vm="4894">
        <f ca="1"/>
        <v>398.47</v>
      </c>
      <c r="D341" vm="4895">
        <f ca="1"/>
        <v>62.17</v>
      </c>
      <c r="E341" vm="4896">
        <f ca="1"/>
        <v>207.82</v>
      </c>
      <c r="F341" vm="4897">
        <f ca="1"/>
        <v>164.46</v>
      </c>
      <c r="G341" vm="2138">
        <f ca="1"/>
        <v>36.35</v>
      </c>
      <c r="H341" vm="4898">
        <f ca="1"/>
        <v>141.56</v>
      </c>
      <c r="I341" vm="2483">
        <f ca="1"/>
        <v>33.85</v>
      </c>
      <c r="J341" vm="4899">
        <f ca="1"/>
        <v>26.07</v>
      </c>
      <c r="K341" vm="4900">
        <f ca="1"/>
        <v>451.96</v>
      </c>
      <c r="L341" vm="4901">
        <f ca="1"/>
        <v>256.33</v>
      </c>
      <c r="M341" vm="4902">
        <f ca="1"/>
        <v>256.08</v>
      </c>
      <c r="N341" vm="4903">
        <f ca="1"/>
        <v>461.91</v>
      </c>
      <c r="O341" vm="4904">
        <f ca="1"/>
        <v>167.24</v>
      </c>
      <c r="P341" vm="4905">
        <f ca="1"/>
        <v>406.66</v>
      </c>
    </row>
    <row r="342" spans="1:16" x14ac:dyDescent="0.25">
      <c r="A342" vm="4906">
        <f ca="1"/>
        <v>45418</v>
      </c>
      <c r="B342" vm="4907">
        <f ca="1"/>
        <v>550.79</v>
      </c>
      <c r="C342" vm="4908">
        <f ca="1"/>
        <v>405.47</v>
      </c>
      <c r="D342" vm="4909">
        <f ca="1"/>
        <v>62.35</v>
      </c>
      <c r="E342" vm="4910">
        <f ca="1"/>
        <v>209.52</v>
      </c>
      <c r="F342" vm="4911">
        <f ca="1"/>
        <v>164.44</v>
      </c>
      <c r="G342" vm="4912">
        <f ca="1"/>
        <v>35.74</v>
      </c>
      <c r="H342" vm="4913">
        <f ca="1"/>
        <v>142.83000000000001</v>
      </c>
      <c r="I342" vm="4914">
        <f ca="1"/>
        <v>33.68</v>
      </c>
      <c r="J342" vm="4675">
        <f ca="1"/>
        <v>25.6</v>
      </c>
      <c r="K342" vm="4915">
        <f ca="1"/>
        <v>465.68</v>
      </c>
      <c r="L342" vm="2128">
        <f ca="1"/>
        <v>269.5</v>
      </c>
      <c r="M342" vm="4744">
        <f ca="1"/>
        <v>257.31</v>
      </c>
      <c r="N342" vm="4916">
        <f ca="1"/>
        <v>462.78</v>
      </c>
      <c r="O342" vm="4917">
        <f ca="1"/>
        <v>168.1</v>
      </c>
      <c r="P342" vm="4918">
        <f ca="1"/>
        <v>413.54</v>
      </c>
    </row>
    <row r="343" spans="1:16" x14ac:dyDescent="0.25">
      <c r="A343" vm="4919">
        <f ca="1"/>
        <v>45419</v>
      </c>
      <c r="B343" vm="4920">
        <f ca="1"/>
        <v>550.17999999999995</v>
      </c>
      <c r="C343" vm="4921">
        <f ca="1"/>
        <v>405.55</v>
      </c>
      <c r="D343" vm="4922">
        <f ca="1"/>
        <v>62.62</v>
      </c>
      <c r="E343" vm="4923">
        <f ca="1"/>
        <v>212.87</v>
      </c>
      <c r="F343" vm="4924">
        <f ca="1"/>
        <v>165.76</v>
      </c>
      <c r="G343" vm="1928">
        <f ca="1"/>
        <v>35.81</v>
      </c>
      <c r="H343" vm="4925">
        <f ca="1"/>
        <v>141.11000000000001</v>
      </c>
      <c r="I343" vm="4926">
        <f ca="1"/>
        <v>33.96</v>
      </c>
      <c r="J343" vm="4258">
        <f ca="1"/>
        <v>25.85</v>
      </c>
      <c r="K343" vm="4927">
        <f ca="1"/>
        <v>468.24</v>
      </c>
      <c r="L343" vm="4928">
        <f ca="1"/>
        <v>266.88</v>
      </c>
      <c r="M343" vm="4929">
        <f ca="1"/>
        <v>258.49</v>
      </c>
      <c r="N343" vm="4930">
        <f ca="1"/>
        <v>466.68</v>
      </c>
      <c r="O343" vm="4931">
        <f ca="1"/>
        <v>171.25</v>
      </c>
      <c r="P343" vm="4932">
        <f ca="1"/>
        <v>409.34</v>
      </c>
    </row>
    <row r="344" spans="1:16" x14ac:dyDescent="0.25">
      <c r="A344" vm="4933">
        <f ca="1"/>
        <v>45420</v>
      </c>
      <c r="B344" vm="4934">
        <f ca="1"/>
        <v>554.91</v>
      </c>
      <c r="C344" vm="4935">
        <f ca="1"/>
        <v>408.49</v>
      </c>
      <c r="D344" vm="4936">
        <f ca="1"/>
        <v>62.85</v>
      </c>
      <c r="E344" vm="4937">
        <f ca="1"/>
        <v>210.09</v>
      </c>
      <c r="F344" vm="4938">
        <f ca="1"/>
        <v>165.07</v>
      </c>
      <c r="G344" vm="4939">
        <f ca="1"/>
        <v>35.89</v>
      </c>
      <c r="H344" vm="4940">
        <f ca="1"/>
        <v>143.6</v>
      </c>
      <c r="I344" vm="4941">
        <f ca="1"/>
        <v>34.22</v>
      </c>
      <c r="J344" vm="4942">
        <f ca="1"/>
        <v>25.97</v>
      </c>
      <c r="K344" vm="4943">
        <f ca="1"/>
        <v>472.6</v>
      </c>
      <c r="L344" vm="4944">
        <f ca="1"/>
        <v>264.98</v>
      </c>
      <c r="M344" vm="4945">
        <f ca="1"/>
        <v>258.36</v>
      </c>
      <c r="N344" vm="4946">
        <f ca="1"/>
        <v>466.16</v>
      </c>
      <c r="O344" vm="4947">
        <f ca="1"/>
        <v>169.38</v>
      </c>
      <c r="P344" vm="4948">
        <f ca="1"/>
        <v>410.54</v>
      </c>
    </row>
    <row r="345" spans="1:16" x14ac:dyDescent="0.25">
      <c r="A345" vm="4949">
        <f ca="1"/>
        <v>45421</v>
      </c>
      <c r="B345" vm="4950">
        <f ca="1"/>
        <v>560.69000000000005</v>
      </c>
      <c r="C345" vm="4951">
        <f ca="1"/>
        <v>417.61</v>
      </c>
      <c r="D345" vm="4952">
        <f ca="1"/>
        <v>62.88</v>
      </c>
      <c r="E345" vm="4953">
        <f ca="1"/>
        <v>225.99</v>
      </c>
      <c r="F345" vm="4954">
        <f ca="1"/>
        <v>166.04</v>
      </c>
      <c r="G345" vm="4955">
        <f ca="1"/>
        <v>35.71</v>
      </c>
      <c r="H345" vm="4648">
        <f ca="1"/>
        <v>142.79</v>
      </c>
      <c r="I345" vm="2781">
        <f ca="1"/>
        <v>34.5</v>
      </c>
      <c r="J345" vm="4956">
        <f ca="1"/>
        <v>26.16</v>
      </c>
      <c r="K345" vm="4957">
        <f ca="1"/>
        <v>475.42</v>
      </c>
      <c r="L345" vm="4958">
        <f ca="1"/>
        <v>270.17</v>
      </c>
      <c r="M345" vm="4767">
        <f ca="1"/>
        <v>260.7</v>
      </c>
      <c r="N345" vm="4959">
        <f ca="1"/>
        <v>468.39</v>
      </c>
      <c r="O345" vm="4960">
        <f ca="1"/>
        <v>169.96</v>
      </c>
      <c r="P345" vm="4961">
        <f ca="1"/>
        <v>412.32</v>
      </c>
    </row>
    <row r="346" spans="1:16" x14ac:dyDescent="0.25">
      <c r="A346" vm="4962">
        <f ca="1"/>
        <v>45422</v>
      </c>
      <c r="B346" vm="4963">
        <f ca="1"/>
        <v>561.13</v>
      </c>
      <c r="C346" vm="4964">
        <f ca="1"/>
        <v>416.63</v>
      </c>
      <c r="D346" vm="4965">
        <f ca="1"/>
        <v>63.26</v>
      </c>
      <c r="E346" vm="4966">
        <f ca="1"/>
        <v>231.33</v>
      </c>
      <c r="F346" vm="1142">
        <f ca="1"/>
        <v>166.85</v>
      </c>
      <c r="G346" vm="4967">
        <f ca="1"/>
        <v>36.24</v>
      </c>
      <c r="H346" vm="3121">
        <f ca="1"/>
        <v>149.26</v>
      </c>
      <c r="I346" vm="4968">
        <f ca="1"/>
        <v>34.380000000000003</v>
      </c>
      <c r="J346" vm="4969">
        <f ca="1"/>
        <v>27.11</v>
      </c>
      <c r="K346" vm="4970">
        <f ca="1"/>
        <v>476.2</v>
      </c>
      <c r="L346" vm="4971">
        <f ca="1"/>
        <v>271.48</v>
      </c>
      <c r="M346" vm="4972">
        <f ca="1"/>
        <v>261.95</v>
      </c>
      <c r="N346" vm="4973">
        <f ca="1"/>
        <v>468.88</v>
      </c>
      <c r="O346" vm="4974">
        <f ca="1"/>
        <v>168.65</v>
      </c>
      <c r="P346" vm="4975">
        <f ca="1"/>
        <v>414.74</v>
      </c>
    </row>
    <row r="347" spans="1:16" x14ac:dyDescent="0.25">
      <c r="A347" vm="4976">
        <f ca="1"/>
        <v>45425</v>
      </c>
      <c r="B347" vm="4977">
        <f ca="1"/>
        <v>551.03</v>
      </c>
      <c r="C347" vm="4978">
        <f ca="1"/>
        <v>414.69</v>
      </c>
      <c r="D347" vm="4979">
        <f ca="1"/>
        <v>63.58</v>
      </c>
      <c r="E347" vm="4980">
        <f ca="1"/>
        <v>232.56</v>
      </c>
      <c r="F347" vm="4981">
        <f ca="1"/>
        <v>165.87</v>
      </c>
      <c r="G347" vm="3618">
        <f ca="1"/>
        <v>36.49</v>
      </c>
      <c r="H347" vm="195">
        <f ca="1"/>
        <v>146.41</v>
      </c>
      <c r="I347" vm="2315">
        <f ca="1"/>
        <v>34.520000000000003</v>
      </c>
      <c r="J347" vm="3958">
        <f ca="1"/>
        <v>26.35</v>
      </c>
      <c r="K347" vm="4982">
        <f ca="1"/>
        <v>468.01</v>
      </c>
      <c r="L347" vm="4983">
        <f ca="1"/>
        <v>265.43</v>
      </c>
      <c r="M347" vm="4984">
        <f ca="1"/>
        <v>258.77</v>
      </c>
      <c r="N347" vm="4985">
        <f ca="1"/>
        <v>470.56</v>
      </c>
      <c r="O347" vm="4986">
        <f ca="1"/>
        <v>169.14</v>
      </c>
      <c r="P347" vm="4987">
        <f ca="1"/>
        <v>413.72</v>
      </c>
    </row>
    <row r="348" spans="1:16" x14ac:dyDescent="0.25">
      <c r="A348" vm="4988">
        <f ca="1"/>
        <v>45426</v>
      </c>
      <c r="B348" vm="4989">
        <f ca="1"/>
        <v>549.4</v>
      </c>
      <c r="C348" vm="4990">
        <f ca="1"/>
        <v>418.92</v>
      </c>
      <c r="D348" vm="4991">
        <f ca="1"/>
        <v>63.1</v>
      </c>
      <c r="E348" vm="4992">
        <f ca="1"/>
        <v>236</v>
      </c>
      <c r="F348" vm="4924">
        <f ca="1"/>
        <v>165.76</v>
      </c>
      <c r="G348" vm="4993">
        <f ca="1"/>
        <v>36.19</v>
      </c>
      <c r="H348" vm="4994">
        <f ca="1"/>
        <v>151.94999999999999</v>
      </c>
      <c r="I348" vm="4995">
        <f ca="1"/>
        <v>33.93</v>
      </c>
      <c r="J348" vm="4996">
        <f ca="1"/>
        <v>25.98</v>
      </c>
      <c r="K348" vm="4997">
        <f ca="1"/>
        <v>471.85</v>
      </c>
      <c r="L348" vm="4998">
        <f ca="1"/>
        <v>263.36</v>
      </c>
      <c r="M348" vm="4999">
        <f ca="1"/>
        <v>253.99</v>
      </c>
      <c r="N348" vm="5000">
        <f ca="1"/>
        <v>467.18</v>
      </c>
      <c r="O348" vm="5001">
        <f ca="1"/>
        <v>170.34</v>
      </c>
      <c r="P348" vm="5002">
        <f ca="1"/>
        <v>416.56</v>
      </c>
    </row>
    <row r="349" spans="1:16" x14ac:dyDescent="0.25">
      <c r="A349" vm="5003">
        <f ca="1"/>
        <v>45427</v>
      </c>
      <c r="B349" vm="5004">
        <f ca="1"/>
        <v>553.27</v>
      </c>
      <c r="C349" vm="5005">
        <f ca="1"/>
        <v>421.35</v>
      </c>
      <c r="D349" vm="5006">
        <f ca="1"/>
        <v>63.13</v>
      </c>
      <c r="E349" vm="1519">
        <f ca="1"/>
        <v>235.46</v>
      </c>
      <c r="F349" vm="5007">
        <f ca="1"/>
        <v>166.51</v>
      </c>
      <c r="G349" vm="1944">
        <f ca="1"/>
        <v>35.85</v>
      </c>
      <c r="H349" vm="5008">
        <f ca="1"/>
        <v>155.58000000000001</v>
      </c>
      <c r="I349" vm="2495">
        <f ca="1"/>
        <v>33.840000000000003</v>
      </c>
      <c r="J349" vm="5009">
        <f ca="1"/>
        <v>26.42</v>
      </c>
      <c r="K349" vm="5010">
        <f ca="1"/>
        <v>481.54</v>
      </c>
      <c r="L349" vm="5011">
        <f ca="1"/>
        <v>270.79000000000002</v>
      </c>
      <c r="M349" vm="5012">
        <f ca="1"/>
        <v>252.29</v>
      </c>
      <c r="N349" vm="5013">
        <f ca="1"/>
        <v>464.08</v>
      </c>
      <c r="O349" vm="5014">
        <f ca="1"/>
        <v>172.51</v>
      </c>
      <c r="P349" vm="5015">
        <f ca="1"/>
        <v>423.08</v>
      </c>
    </row>
    <row r="350" spans="1:16" x14ac:dyDescent="0.25">
      <c r="A350" vm="5016">
        <f ca="1"/>
        <v>45428</v>
      </c>
      <c r="B350" vm="5017">
        <f ca="1"/>
        <v>539.49</v>
      </c>
      <c r="C350" vm="5018">
        <f ca="1"/>
        <v>415.05</v>
      </c>
      <c r="D350" vm="5019">
        <f ca="1"/>
        <v>63.32</v>
      </c>
      <c r="E350" vm="5020">
        <f ca="1"/>
        <v>230.73</v>
      </c>
      <c r="F350" vm="5021">
        <f ca="1"/>
        <v>167.86</v>
      </c>
      <c r="G350" vm="1813">
        <f ca="1"/>
        <v>36.07</v>
      </c>
      <c r="H350" vm="52">
        <f ca="1"/>
        <v>152.22999999999999</v>
      </c>
      <c r="I350" vm="4995">
        <f ca="1"/>
        <v>33.93</v>
      </c>
      <c r="J350" vm="5022">
        <f ca="1"/>
        <v>27.2</v>
      </c>
      <c r="K350" vm="5023">
        <f ca="1"/>
        <v>473.23</v>
      </c>
      <c r="L350" vm="5024">
        <f ca="1"/>
        <v>263.82</v>
      </c>
      <c r="M350" vm="5025">
        <f ca="1"/>
        <v>255.39</v>
      </c>
      <c r="N350" vm="5026">
        <f ca="1"/>
        <v>464.83</v>
      </c>
      <c r="O350" vm="5027">
        <f ca="1"/>
        <v>174.18</v>
      </c>
      <c r="P350" vm="2659">
        <f ca="1"/>
        <v>420.99</v>
      </c>
    </row>
    <row r="351" spans="1:16" x14ac:dyDescent="0.25">
      <c r="A351" vm="5028">
        <f ca="1"/>
        <v>45429</v>
      </c>
      <c r="B351" vm="5029">
        <f ca="1"/>
        <v>545.11</v>
      </c>
      <c r="C351" vm="5030">
        <f ca="1"/>
        <v>417.63</v>
      </c>
      <c r="D351" vm="5031">
        <f ca="1"/>
        <v>63.03</v>
      </c>
      <c r="E351" vm="5032">
        <f ca="1"/>
        <v>232.69</v>
      </c>
      <c r="F351" vm="5033">
        <f ca="1"/>
        <v>167.64</v>
      </c>
      <c r="G351" vm="5034">
        <f ca="1"/>
        <v>36</v>
      </c>
      <c r="H351" vm="376">
        <f ca="1"/>
        <v>151.68</v>
      </c>
      <c r="I351" vm="2470">
        <f ca="1"/>
        <v>33.520000000000003</v>
      </c>
      <c r="J351" vm="5035">
        <f ca="1"/>
        <v>26.97</v>
      </c>
      <c r="K351" vm="5036">
        <f ca="1"/>
        <v>471.91</v>
      </c>
      <c r="L351" vm="5037">
        <f ca="1"/>
        <v>264.39999999999998</v>
      </c>
      <c r="M351" vm="5038">
        <f ca="1"/>
        <v>255.43</v>
      </c>
      <c r="N351" vm="5039">
        <f ca="1"/>
        <v>466.2</v>
      </c>
      <c r="O351" vm="5040">
        <f ca="1"/>
        <v>176.06</v>
      </c>
      <c r="P351" vm="5041">
        <f ca="1"/>
        <v>420.21</v>
      </c>
    </row>
    <row r="352" spans="1:16" x14ac:dyDescent="0.25">
      <c r="A352" vm="5042">
        <f ca="1"/>
        <v>45432</v>
      </c>
      <c r="B352" vm="5043">
        <f ca="1"/>
        <v>548</v>
      </c>
      <c r="C352" vm="5044">
        <f ca="1"/>
        <v>419.82</v>
      </c>
      <c r="D352" vm="5045">
        <f ca="1"/>
        <v>62.57</v>
      </c>
      <c r="E352" vm="5046">
        <f ca="1"/>
        <v>232.75</v>
      </c>
      <c r="F352" vm="5047">
        <f ca="1"/>
        <v>167.31</v>
      </c>
      <c r="G352" vm="5048">
        <f ca="1"/>
        <v>35.78</v>
      </c>
      <c r="H352" vm="5049">
        <f ca="1"/>
        <v>153.55000000000001</v>
      </c>
      <c r="I352" vm="5050">
        <f ca="1"/>
        <v>33.409999999999997</v>
      </c>
      <c r="J352" vm="5051">
        <f ca="1"/>
        <v>26.19</v>
      </c>
      <c r="K352" vm="5052">
        <f ca="1"/>
        <v>468.84</v>
      </c>
      <c r="L352" vm="5053">
        <f ca="1"/>
        <v>267.66000000000003</v>
      </c>
      <c r="M352" vm="5054">
        <f ca="1"/>
        <v>250.56</v>
      </c>
      <c r="N352" vm="5055">
        <f ca="1"/>
        <v>467.08</v>
      </c>
      <c r="O352" vm="5056">
        <f ca="1"/>
        <v>176.92</v>
      </c>
      <c r="P352" vm="5057">
        <f ca="1"/>
        <v>425.34</v>
      </c>
    </row>
    <row r="353" spans="1:16" x14ac:dyDescent="0.25">
      <c r="A353" vm="5058">
        <f ca="1"/>
        <v>45433</v>
      </c>
      <c r="B353" vm="5059">
        <f ca="1"/>
        <v>546.87</v>
      </c>
      <c r="C353" vm="5060">
        <f ca="1"/>
        <v>426.8</v>
      </c>
      <c r="D353" vm="5061">
        <f ca="1"/>
        <v>62.91</v>
      </c>
      <c r="E353" vm="5062">
        <f ca="1"/>
        <v>230.6</v>
      </c>
      <c r="F353" vm="5063">
        <f ca="1"/>
        <v>168.35</v>
      </c>
      <c r="G353" vm="5064">
        <f ca="1"/>
        <v>35.92</v>
      </c>
      <c r="H353" vm="5065">
        <f ca="1"/>
        <v>153.66999999999999</v>
      </c>
      <c r="I353" vm="5066">
        <f ca="1"/>
        <v>33.07</v>
      </c>
      <c r="J353" vm="3665">
        <f ca="1"/>
        <v>26.65</v>
      </c>
      <c r="K353" vm="5067">
        <f ca="1"/>
        <v>464.63</v>
      </c>
      <c r="L353" vm="5068">
        <f ca="1"/>
        <v>272.05</v>
      </c>
      <c r="M353" vm="5069">
        <f ca="1"/>
        <v>250.98</v>
      </c>
      <c r="N353" vm="5070">
        <f ca="1"/>
        <v>468.31</v>
      </c>
      <c r="O353" vm="5071">
        <f ca="1"/>
        <v>177.85</v>
      </c>
      <c r="P353" vm="5072">
        <f ca="1"/>
        <v>429.04</v>
      </c>
    </row>
    <row r="354" spans="1:16" x14ac:dyDescent="0.25">
      <c r="A354" vm="5073">
        <f ca="1"/>
        <v>45434</v>
      </c>
      <c r="B354" vm="5074">
        <f ca="1"/>
        <v>546.07000000000005</v>
      </c>
      <c r="C354" vm="5075">
        <f ca="1"/>
        <v>423.52</v>
      </c>
      <c r="D354" vm="5076">
        <f ca="1"/>
        <v>63</v>
      </c>
      <c r="E354" vm="5062">
        <f ca="1"/>
        <v>230.6</v>
      </c>
      <c r="F354" vm="5077">
        <f ca="1"/>
        <v>167.81</v>
      </c>
      <c r="G354" vm="5078">
        <f ca="1"/>
        <v>36.380000000000003</v>
      </c>
      <c r="H354" vm="4602">
        <f ca="1"/>
        <v>156.15</v>
      </c>
      <c r="I354" vm="5079">
        <f ca="1"/>
        <v>34.01</v>
      </c>
      <c r="J354" vm="5080">
        <f ca="1"/>
        <v>26.41</v>
      </c>
      <c r="K354" vm="5081">
        <f ca="1"/>
        <v>467.78</v>
      </c>
      <c r="L354" vm="5082">
        <f ca="1"/>
        <v>271.10000000000002</v>
      </c>
      <c r="M354" vm="5083">
        <f ca="1"/>
        <v>248.94</v>
      </c>
      <c r="N354" vm="5084">
        <f ca="1"/>
        <v>469.71</v>
      </c>
      <c r="O354" vm="2986">
        <f ca="1"/>
        <v>176.38</v>
      </c>
      <c r="P354" vm="5085">
        <f ca="1"/>
        <v>430.52</v>
      </c>
    </row>
    <row r="355" spans="1:16" x14ac:dyDescent="0.25">
      <c r="A355" vm="5086">
        <f ca="1"/>
        <v>45435</v>
      </c>
      <c r="B355" vm="5087">
        <f ca="1"/>
        <v>526.57000000000005</v>
      </c>
      <c r="C355" vm="5088">
        <f ca="1"/>
        <v>423.2</v>
      </c>
      <c r="D355" vm="5089">
        <f ca="1"/>
        <v>62.09</v>
      </c>
      <c r="E355" vm="5090">
        <f ca="1"/>
        <v>226.81</v>
      </c>
      <c r="F355" vm="5091">
        <f ca="1"/>
        <v>165.49</v>
      </c>
      <c r="G355" vm="4271">
        <f ca="1"/>
        <v>35.799999999999997</v>
      </c>
      <c r="H355" vm="2300">
        <f ca="1"/>
        <v>157.09</v>
      </c>
      <c r="I355" vm="3509">
        <f ca="1"/>
        <v>33.5</v>
      </c>
      <c r="J355" vm="5092">
        <f ca="1"/>
        <v>25.91</v>
      </c>
      <c r="K355" vm="5093">
        <f ca="1"/>
        <v>465.78</v>
      </c>
      <c r="L355" vm="5094">
        <f ca="1"/>
        <v>276.55</v>
      </c>
      <c r="M355" vm="5095">
        <f ca="1"/>
        <v>245.12</v>
      </c>
      <c r="N355" vm="5055">
        <f ca="1"/>
        <v>467.08</v>
      </c>
      <c r="O355" vm="5096">
        <f ca="1"/>
        <v>173.55</v>
      </c>
      <c r="P355" vm="4106">
        <f ca="1"/>
        <v>427</v>
      </c>
    </row>
    <row r="356" spans="1:16" x14ac:dyDescent="0.25">
      <c r="A356" vm="5097">
        <f ca="1"/>
        <v>45436</v>
      </c>
      <c r="B356" vm="5098">
        <f ca="1"/>
        <v>529.83000000000004</v>
      </c>
      <c r="C356" vm="5099">
        <f ca="1"/>
        <v>427.92</v>
      </c>
      <c r="D356" vm="5100">
        <f ca="1"/>
        <v>62</v>
      </c>
      <c r="E356" vm="5101">
        <f ca="1"/>
        <v>229.17</v>
      </c>
      <c r="F356" vm="5102">
        <f ca="1"/>
        <v>165.33</v>
      </c>
      <c r="G356" vm="1944">
        <f ca="1"/>
        <v>35.85</v>
      </c>
      <c r="H356" vm="5103">
        <f ca="1"/>
        <v>160</v>
      </c>
      <c r="I356" vm="5104">
        <f ca="1"/>
        <v>33.78</v>
      </c>
      <c r="J356" vm="4451">
        <f ca="1"/>
        <v>26.02</v>
      </c>
      <c r="K356" vm="5105">
        <f ca="1"/>
        <v>478.22</v>
      </c>
      <c r="L356" vm="5106">
        <f ca="1"/>
        <v>283.43</v>
      </c>
      <c r="M356" vm="5107">
        <f ca="1"/>
        <v>248.51</v>
      </c>
      <c r="N356" vm="5108">
        <f ca="1"/>
        <v>467.35</v>
      </c>
      <c r="O356" vm="5109">
        <f ca="1"/>
        <v>174.99</v>
      </c>
      <c r="P356" vm="5110">
        <f ca="1"/>
        <v>430.16</v>
      </c>
    </row>
    <row r="357" spans="1:16" x14ac:dyDescent="0.25">
      <c r="A357" vm="5111">
        <f ca="1"/>
        <v>45440</v>
      </c>
      <c r="B357" vm="5112">
        <f ca="1"/>
        <v>526.54</v>
      </c>
      <c r="C357" vm="5113">
        <f ca="1"/>
        <v>421.42</v>
      </c>
      <c r="D357" vm="5114">
        <f ca="1"/>
        <v>61.82</v>
      </c>
      <c r="E357" vm="5115">
        <f ca="1"/>
        <v>223.39</v>
      </c>
      <c r="F357" vm="5116">
        <f ca="1"/>
        <v>163.11000000000001</v>
      </c>
      <c r="G357" vm="5117">
        <f ca="1"/>
        <v>35.049999999999997</v>
      </c>
      <c r="H357" vm="4692">
        <f ca="1"/>
        <v>159.41</v>
      </c>
      <c r="I357" vm="2427">
        <f ca="1"/>
        <v>33.479999999999997</v>
      </c>
      <c r="J357" vm="3752">
        <f ca="1"/>
        <v>26.08</v>
      </c>
      <c r="K357" vm="5118">
        <f ca="1"/>
        <v>479.92</v>
      </c>
      <c r="L357" vm="5119">
        <f ca="1"/>
        <v>279.64</v>
      </c>
      <c r="M357" vm="5120">
        <f ca="1"/>
        <v>245.49</v>
      </c>
      <c r="N357" vm="5121">
        <f ca="1"/>
        <v>458.48</v>
      </c>
      <c r="O357" vm="5122">
        <f ca="1"/>
        <v>176.4</v>
      </c>
      <c r="P357" vm="5123">
        <f ca="1"/>
        <v>430.32</v>
      </c>
    </row>
    <row r="358" spans="1:16" x14ac:dyDescent="0.25">
      <c r="A358" vm="5124">
        <f ca="1"/>
        <v>45441</v>
      </c>
      <c r="B358" vm="5125">
        <f ca="1"/>
        <v>523.19000000000005</v>
      </c>
      <c r="C358" vm="5126">
        <f ca="1"/>
        <v>414.54</v>
      </c>
      <c r="D358" vm="5127">
        <f ca="1"/>
        <v>61.7</v>
      </c>
      <c r="E358" vm="5128">
        <f ca="1"/>
        <v>223.42</v>
      </c>
      <c r="F358" vm="5129">
        <f ca="1"/>
        <v>161.65</v>
      </c>
      <c r="G358" vm="3751">
        <f ca="1"/>
        <v>34.659999999999997</v>
      </c>
      <c r="H358" vm="2536">
        <f ca="1"/>
        <v>154.34</v>
      </c>
      <c r="I358" vm="3263">
        <f ca="1"/>
        <v>33.24</v>
      </c>
      <c r="J358" vm="4688">
        <f ca="1"/>
        <v>25.54</v>
      </c>
      <c r="K358" vm="5130">
        <f ca="1"/>
        <v>474.36</v>
      </c>
      <c r="L358" vm="5131">
        <f ca="1"/>
        <v>277.97000000000003</v>
      </c>
      <c r="M358" vm="5132">
        <f ca="1"/>
        <v>243.97</v>
      </c>
      <c r="N358" vm="1552">
        <f ca="1"/>
        <v>452.72</v>
      </c>
      <c r="O358" vm="5133">
        <f ca="1"/>
        <v>175.9</v>
      </c>
      <c r="P358" vm="5134">
        <f ca="1"/>
        <v>429.17</v>
      </c>
    </row>
    <row r="359" spans="1:16" x14ac:dyDescent="0.25">
      <c r="A359" vm="5135">
        <f ca="1"/>
        <v>45442</v>
      </c>
      <c r="B359" vm="5136">
        <f ca="1"/>
        <v>524.46</v>
      </c>
      <c r="C359" vm="5137">
        <f ca="1"/>
        <v>417.17</v>
      </c>
      <c r="D359" vm="5138">
        <f ca="1"/>
        <v>61.97</v>
      </c>
      <c r="E359" vm="5139">
        <f ca="1"/>
        <v>223.22</v>
      </c>
      <c r="F359" vm="5140">
        <f ca="1"/>
        <v>162.58000000000001</v>
      </c>
      <c r="G359" vm="3693">
        <f ca="1"/>
        <v>34.65</v>
      </c>
      <c r="H359" vm="5141">
        <f ca="1"/>
        <v>152.96</v>
      </c>
      <c r="I359" vm="1977">
        <f ca="1"/>
        <v>33.299999999999997</v>
      </c>
      <c r="J359" vm="4606">
        <f ca="1"/>
        <v>26.01</v>
      </c>
      <c r="K359" vm="5142">
        <f ca="1"/>
        <v>467.05</v>
      </c>
      <c r="L359" vm="5143">
        <f ca="1"/>
        <v>279.76</v>
      </c>
      <c r="M359" vm="5144">
        <f ca="1"/>
        <v>246.59</v>
      </c>
      <c r="N359" vm="5145">
        <f ca="1"/>
        <v>460.94</v>
      </c>
      <c r="O359" vm="5146">
        <f ca="1"/>
        <v>172.11</v>
      </c>
      <c r="P359" vm="5147">
        <f ca="1"/>
        <v>414.67</v>
      </c>
    </row>
    <row r="360" spans="1:16" x14ac:dyDescent="0.25">
      <c r="A360" vm="5148">
        <f ca="1"/>
        <v>45443</v>
      </c>
      <c r="B360" vm="5149">
        <f ca="1"/>
        <v>531.52</v>
      </c>
      <c r="C360" vm="5150">
        <f ca="1"/>
        <v>418.29</v>
      </c>
      <c r="D360" vm="5151">
        <f ca="1"/>
        <v>62.93</v>
      </c>
      <c r="E360" vm="5152">
        <f ca="1"/>
        <v>222.88</v>
      </c>
      <c r="F360" vm="5153">
        <f ca="1"/>
        <v>164.54</v>
      </c>
      <c r="G360" vm="5154">
        <f ca="1"/>
        <v>35.369999999999997</v>
      </c>
      <c r="H360" vm="5155">
        <f ca="1"/>
        <v>151.04</v>
      </c>
      <c r="I360" vm="2077">
        <f ca="1"/>
        <v>33.75</v>
      </c>
      <c r="J360" vm="5156">
        <f ca="1"/>
        <v>26.15</v>
      </c>
      <c r="K360" vm="5157">
        <f ca="1"/>
        <v>466.83</v>
      </c>
      <c r="L360" vm="5158">
        <f ca="1"/>
        <v>275.94</v>
      </c>
      <c r="M360" vm="5159">
        <f ca="1"/>
        <v>250.23</v>
      </c>
      <c r="N360" vm="5160">
        <f ca="1"/>
        <v>470.34</v>
      </c>
      <c r="O360" vm="5161">
        <f ca="1"/>
        <v>172.5</v>
      </c>
      <c r="P360" vm="5162">
        <f ca="1"/>
        <v>415.13</v>
      </c>
    </row>
    <row r="361" spans="1:16" x14ac:dyDescent="0.25">
      <c r="A361" vm="5163">
        <f ca="1"/>
        <v>45446</v>
      </c>
      <c r="B361" vm="5164">
        <f ca="1"/>
        <v>513.08000000000004</v>
      </c>
      <c r="C361" vm="5165">
        <f ca="1"/>
        <v>405.32</v>
      </c>
      <c r="D361" vm="5151">
        <f ca="1"/>
        <v>62.93</v>
      </c>
      <c r="E361" vm="5166">
        <f ca="1"/>
        <v>228.37</v>
      </c>
      <c r="F361" vm="5167">
        <f ca="1"/>
        <v>164.65</v>
      </c>
      <c r="G361" vm="5168">
        <f ca="1"/>
        <v>35.1</v>
      </c>
      <c r="H361" vm="5169">
        <f ca="1"/>
        <v>154.94999999999999</v>
      </c>
      <c r="I361" vm="5170">
        <f ca="1"/>
        <v>33.18</v>
      </c>
      <c r="J361" vm="3621">
        <f ca="1"/>
        <v>25.46</v>
      </c>
      <c r="K361" vm="5171">
        <f ca="1"/>
        <v>477.49</v>
      </c>
      <c r="L361" vm="5172">
        <f ca="1"/>
        <v>271.97000000000003</v>
      </c>
      <c r="M361" vm="5173">
        <f ca="1"/>
        <v>250.32</v>
      </c>
      <c r="N361" vm="5174">
        <f ca="1"/>
        <v>467.6</v>
      </c>
      <c r="O361" vm="5175">
        <f ca="1"/>
        <v>173.17</v>
      </c>
      <c r="P361" vm="5176">
        <f ca="1"/>
        <v>413.52</v>
      </c>
    </row>
    <row r="362" spans="1:16" x14ac:dyDescent="0.25">
      <c r="A362" vm="5177">
        <f ca="1"/>
        <v>45447</v>
      </c>
      <c r="B362" vm="5178">
        <f ca="1"/>
        <v>512.45000000000005</v>
      </c>
      <c r="C362" vm="5179">
        <f ca="1"/>
        <v>402.69</v>
      </c>
      <c r="D362" vm="1437">
        <f ca="1"/>
        <v>63.94</v>
      </c>
      <c r="E362" vm="297">
        <f ca="1"/>
        <v>228.5</v>
      </c>
      <c r="F362" vm="5180">
        <f ca="1"/>
        <v>167.01</v>
      </c>
      <c r="G362" vm="2005">
        <f ca="1"/>
        <v>35.630000000000003</v>
      </c>
      <c r="H362" vm="5181">
        <f ca="1"/>
        <v>152.47</v>
      </c>
      <c r="I362" vm="5182">
        <f ca="1"/>
        <v>32.770000000000003</v>
      </c>
      <c r="J362" vm="5183">
        <f ca="1"/>
        <v>24.92</v>
      </c>
      <c r="K362" vm="5184">
        <f ca="1"/>
        <v>476.99</v>
      </c>
      <c r="L362" vm="5185">
        <f ca="1"/>
        <v>270.02</v>
      </c>
      <c r="M362" vm="5186">
        <f ca="1"/>
        <v>250.34</v>
      </c>
      <c r="N362" vm="5187">
        <f ca="1"/>
        <v>468.89</v>
      </c>
      <c r="O362" vm="5188">
        <f ca="1"/>
        <v>173.79</v>
      </c>
      <c r="P362" vm="5189">
        <f ca="1"/>
        <v>416.07</v>
      </c>
    </row>
    <row r="363" spans="1:16" x14ac:dyDescent="0.25">
      <c r="A363" vm="5190">
        <f ca="1"/>
        <v>45448</v>
      </c>
      <c r="B363" vm="5191">
        <f ca="1"/>
        <v>523.20000000000005</v>
      </c>
      <c r="C363" vm="5192">
        <f ca="1"/>
        <v>407.22</v>
      </c>
      <c r="D363" vm="1359">
        <f ca="1"/>
        <v>63.92</v>
      </c>
      <c r="E363" vm="5193">
        <f ca="1"/>
        <v>229.91</v>
      </c>
      <c r="F363" vm="5194">
        <f ca="1"/>
        <v>166.05</v>
      </c>
      <c r="G363" vm="3723">
        <f ca="1"/>
        <v>34.67</v>
      </c>
      <c r="H363" vm="5195">
        <f ca="1"/>
        <v>162.91999999999999</v>
      </c>
      <c r="I363" vm="5196">
        <f ca="1"/>
        <v>33.049999999999997</v>
      </c>
      <c r="J363" vm="3864">
        <f ca="1"/>
        <v>25.03</v>
      </c>
      <c r="K363" vm="5197">
        <f ca="1"/>
        <v>495.06</v>
      </c>
      <c r="L363" vm="5198">
        <f ca="1"/>
        <v>275.93</v>
      </c>
      <c r="M363" vm="5199">
        <f ca="1"/>
        <v>250.03</v>
      </c>
      <c r="N363" vm="5200">
        <f ca="1"/>
        <v>465.23</v>
      </c>
      <c r="O363" vm="5201">
        <f ca="1"/>
        <v>175.41</v>
      </c>
      <c r="P363" vm="5202">
        <f ca="1"/>
        <v>424.01</v>
      </c>
    </row>
    <row r="364" spans="1:16" x14ac:dyDescent="0.25">
      <c r="A364" vm="5203">
        <f ca="1"/>
        <v>45449</v>
      </c>
      <c r="B364" vm="5204">
        <f ca="1"/>
        <v>515.22</v>
      </c>
      <c r="C364" vm="5205">
        <f ca="1"/>
        <v>407.5</v>
      </c>
      <c r="D364" vm="1270">
        <f ca="1"/>
        <v>64.150000000000006</v>
      </c>
      <c r="E364" vm="5206">
        <f ca="1"/>
        <v>230.48</v>
      </c>
      <c r="F364" vm="5207">
        <f ca="1"/>
        <v>168.47</v>
      </c>
      <c r="G364" vm="3835">
        <f ca="1"/>
        <v>34.57</v>
      </c>
      <c r="H364" vm="5208">
        <f ca="1"/>
        <v>162.07</v>
      </c>
      <c r="I364" vm="5209">
        <f ca="1"/>
        <v>32.99</v>
      </c>
      <c r="J364" vm="5210">
        <f ca="1"/>
        <v>23.61</v>
      </c>
      <c r="K364" vm="5211">
        <f ca="1"/>
        <v>493.76</v>
      </c>
      <c r="L364" vm="5212">
        <f ca="1"/>
        <v>267.27999999999997</v>
      </c>
      <c r="M364" vm="5213">
        <f ca="1"/>
        <v>250.11</v>
      </c>
      <c r="N364" vm="5214">
        <f ca="1"/>
        <v>468.62</v>
      </c>
      <c r="O364" vm="5215">
        <f ca="1"/>
        <v>176.73</v>
      </c>
      <c r="P364" vm="5216">
        <f ca="1"/>
        <v>424.52</v>
      </c>
    </row>
    <row r="365" spans="1:16" x14ac:dyDescent="0.25">
      <c r="A365" vm="5217">
        <f ca="1"/>
        <v>45450</v>
      </c>
      <c r="B365" vm="5218">
        <f ca="1"/>
        <v>516.14</v>
      </c>
      <c r="C365" vm="5219">
        <f ca="1"/>
        <v>408.85</v>
      </c>
      <c r="D365" vm="5220">
        <f ca="1"/>
        <v>63.91</v>
      </c>
      <c r="E365" vm="2709">
        <f ca="1"/>
        <v>226.85</v>
      </c>
      <c r="F365" vm="5221">
        <f ca="1"/>
        <v>167.06</v>
      </c>
      <c r="G365" vm="2328">
        <f ca="1"/>
        <v>34.39</v>
      </c>
      <c r="H365" vm="5222">
        <f ca="1"/>
        <v>164.39</v>
      </c>
      <c r="I365" vm="5223">
        <f ca="1"/>
        <v>32.75</v>
      </c>
      <c r="J365" vm="5224">
        <f ca="1"/>
        <v>23.97</v>
      </c>
      <c r="K365" vm="5225">
        <f ca="1"/>
        <v>492.96</v>
      </c>
      <c r="L365" vm="516">
        <f ca="1"/>
        <v>269.32</v>
      </c>
      <c r="M365" vm="5226">
        <f ca="1"/>
        <v>250.93</v>
      </c>
      <c r="N365" vm="5227">
        <f ca="1"/>
        <v>470.13</v>
      </c>
      <c r="O365" vm="5228">
        <f ca="1"/>
        <v>174.46</v>
      </c>
      <c r="P365" vm="5229">
        <f ca="1"/>
        <v>423.85</v>
      </c>
    </row>
    <row r="366" spans="1:16" x14ac:dyDescent="0.25">
      <c r="A366" vm="5230">
        <f ca="1"/>
        <v>45453</v>
      </c>
      <c r="B366" vm="5231">
        <f ca="1"/>
        <v>526</v>
      </c>
      <c r="C366" vm="5232">
        <f ca="1"/>
        <v>408.98</v>
      </c>
      <c r="D366" vm="5233">
        <f ca="1"/>
        <v>63.59</v>
      </c>
      <c r="E366" vm="5234">
        <f ca="1"/>
        <v>224.79</v>
      </c>
      <c r="F366" vm="5235">
        <f ca="1"/>
        <v>167.35</v>
      </c>
      <c r="G366" vm="5236">
        <f ca="1"/>
        <v>33.549999999999997</v>
      </c>
      <c r="H366" vm="5237">
        <f ca="1"/>
        <v>168.16</v>
      </c>
      <c r="I366" vm="5238">
        <f ca="1"/>
        <v>32.93</v>
      </c>
      <c r="J366" vm="4728">
        <f ca="1"/>
        <v>24.14</v>
      </c>
      <c r="K366" vm="5239">
        <f ca="1"/>
        <v>502.6</v>
      </c>
      <c r="L366" vm="5240">
        <f ca="1"/>
        <v>271.57</v>
      </c>
      <c r="M366" vm="5241">
        <f ca="1"/>
        <v>251.68</v>
      </c>
      <c r="N366" vm="5242">
        <f ca="1"/>
        <v>467.46</v>
      </c>
      <c r="O366" vm="5243">
        <f ca="1"/>
        <v>175.01</v>
      </c>
      <c r="P366" vm="5244">
        <f ca="1"/>
        <v>427.87</v>
      </c>
    </row>
    <row r="367" spans="1:16" x14ac:dyDescent="0.25">
      <c r="A367" vm="5245">
        <f ca="1"/>
        <v>45454</v>
      </c>
      <c r="B367" vm="5246">
        <f ca="1"/>
        <v>523</v>
      </c>
      <c r="C367" vm="5247">
        <f ca="1"/>
        <v>408.94</v>
      </c>
      <c r="D367" vm="1242">
        <f ca="1"/>
        <v>63.55</v>
      </c>
      <c r="E367" vm="1250">
        <f ca="1"/>
        <v>225.44</v>
      </c>
      <c r="F367" vm="5248">
        <f ca="1"/>
        <v>167.48</v>
      </c>
      <c r="G367" vm="5249">
        <f ca="1"/>
        <v>33.65</v>
      </c>
      <c r="H367" vm="5250">
        <f ca="1"/>
        <v>165.71</v>
      </c>
      <c r="I367" vm="5251">
        <f ca="1"/>
        <v>32.67</v>
      </c>
      <c r="J367" vm="5252">
        <f ca="1"/>
        <v>25.57</v>
      </c>
      <c r="K367" vm="5253">
        <f ca="1"/>
        <v>507.47</v>
      </c>
      <c r="L367" vm="5254">
        <f ca="1"/>
        <v>271.56</v>
      </c>
      <c r="M367" vm="5255">
        <f ca="1"/>
        <v>251.03</v>
      </c>
      <c r="N367" vm="5256">
        <f ca="1"/>
        <v>462.8</v>
      </c>
      <c r="O367" vm="5257">
        <f ca="1"/>
        <v>176.62</v>
      </c>
      <c r="P367" vm="5258">
        <f ca="1"/>
        <v>432.68</v>
      </c>
    </row>
    <row r="368" spans="1:16" x14ac:dyDescent="0.25">
      <c r="A368" vm="5259">
        <f ca="1"/>
        <v>45455</v>
      </c>
      <c r="B368" vm="5260">
        <f ca="1"/>
        <v>532.96</v>
      </c>
      <c r="C368" vm="5261">
        <f ca="1"/>
        <v>415.59</v>
      </c>
      <c r="D368" vm="4952">
        <f ca="1"/>
        <v>62.88</v>
      </c>
      <c r="E368" vm="5262">
        <f ca="1"/>
        <v>225.84</v>
      </c>
      <c r="F368" vm="5263">
        <f ca="1"/>
        <v>165.18</v>
      </c>
      <c r="G368" vm="5264">
        <f ca="1"/>
        <v>32.92</v>
      </c>
      <c r="H368" vm="5265">
        <f ca="1"/>
        <v>172.98</v>
      </c>
      <c r="I368" vm="5266">
        <f ca="1"/>
        <v>32.76</v>
      </c>
      <c r="J368" vm="5267">
        <f ca="1"/>
        <v>25.89</v>
      </c>
      <c r="K368" vm="5268">
        <f ca="1"/>
        <v>508.84</v>
      </c>
      <c r="L368" vm="2178">
        <f ca="1"/>
        <v>276.79000000000002</v>
      </c>
      <c r="M368" vm="5269">
        <f ca="1"/>
        <v>252.51</v>
      </c>
      <c r="N368" vm="5270">
        <f ca="1"/>
        <v>459.11</v>
      </c>
      <c r="O368" vm="5271">
        <f ca="1"/>
        <v>177.79</v>
      </c>
      <c r="P368" vm="2973">
        <f ca="1"/>
        <v>441.06</v>
      </c>
    </row>
    <row r="369" spans="1:16" x14ac:dyDescent="0.25">
      <c r="A369" vm="5272">
        <f ca="1"/>
        <v>45456</v>
      </c>
      <c r="B369" vm="5273">
        <f ca="1"/>
        <v>528.9</v>
      </c>
      <c r="C369" vm="5274">
        <f ca="1"/>
        <v>413.59</v>
      </c>
      <c r="D369" vm="5275">
        <f ca="1"/>
        <v>62.99</v>
      </c>
      <c r="E369" vm="5276">
        <f ca="1"/>
        <v>221.05</v>
      </c>
      <c r="F369" vm="5277">
        <f ca="1"/>
        <v>166.41</v>
      </c>
      <c r="G369" vm="5278">
        <f ca="1"/>
        <v>32.54</v>
      </c>
      <c r="H369" vm="5279">
        <f ca="1"/>
        <v>172.91</v>
      </c>
      <c r="I369" vm="5280">
        <f ca="1"/>
        <v>32.53</v>
      </c>
      <c r="J369" vm="4451">
        <f ca="1"/>
        <v>26.02</v>
      </c>
      <c r="K369" vm="5281">
        <f ca="1"/>
        <v>504.1</v>
      </c>
      <c r="L369" vm="5282">
        <f ca="1"/>
        <v>276.7</v>
      </c>
      <c r="M369" vm="5283">
        <f ca="1"/>
        <v>254.62</v>
      </c>
      <c r="N369" vm="5284">
        <f ca="1"/>
        <v>458.56</v>
      </c>
      <c r="O369" vm="5285">
        <f ca="1"/>
        <v>175.16</v>
      </c>
      <c r="P369" vm="5286">
        <f ca="1"/>
        <v>441.58</v>
      </c>
    </row>
    <row r="370" spans="1:16" x14ac:dyDescent="0.25">
      <c r="A370" vm="5287">
        <f ca="1"/>
        <v>45457</v>
      </c>
      <c r="B370" vm="5288">
        <f ca="1"/>
        <v>503.3</v>
      </c>
      <c r="C370" vm="5289">
        <f ca="1"/>
        <v>405.3</v>
      </c>
      <c r="D370" vm="5290">
        <f ca="1"/>
        <v>62.55</v>
      </c>
      <c r="E370" vm="5291">
        <f ca="1"/>
        <v>218.29</v>
      </c>
      <c r="F370" vm="5292">
        <f ca="1"/>
        <v>166.79</v>
      </c>
      <c r="G370" vm="5293">
        <f ca="1"/>
        <v>32.380000000000003</v>
      </c>
      <c r="H370" vm="5014">
        <f ca="1"/>
        <v>172.51</v>
      </c>
      <c r="I370" vm="5294">
        <f ca="1"/>
        <v>32.18</v>
      </c>
      <c r="J370" vm="5295">
        <f ca="1"/>
        <v>25.19</v>
      </c>
      <c r="K370" vm="5296">
        <f ca="1"/>
        <v>504.16</v>
      </c>
      <c r="L370" vm="5297">
        <f ca="1"/>
        <v>273.29000000000002</v>
      </c>
      <c r="M370" vm="5298">
        <f ca="1"/>
        <v>253.5</v>
      </c>
      <c r="N370" vm="5299">
        <f ca="1"/>
        <v>458.34</v>
      </c>
      <c r="O370" vm="5300">
        <f ca="1"/>
        <v>176.79</v>
      </c>
      <c r="P370" vm="5301">
        <f ca="1"/>
        <v>442.57</v>
      </c>
    </row>
    <row r="371" spans="1:16" x14ac:dyDescent="0.25">
      <c r="A371" vm="5302">
        <f ca="1"/>
        <v>45460</v>
      </c>
      <c r="B371" vm="5303">
        <f ca="1"/>
        <v>506.03</v>
      </c>
      <c r="C371" vm="5304">
        <f ca="1"/>
        <v>415.17</v>
      </c>
      <c r="D371" vm="4922">
        <f ca="1"/>
        <v>62.62</v>
      </c>
      <c r="E371" vm="5305">
        <f ca="1"/>
        <v>216.12</v>
      </c>
      <c r="F371" vm="5306">
        <f ca="1"/>
        <v>167.5</v>
      </c>
      <c r="G371" vm="5264">
        <f ca="1"/>
        <v>32.92</v>
      </c>
      <c r="H371" vm="5307">
        <f ca="1"/>
        <v>177.24</v>
      </c>
      <c r="I371" vm="5308">
        <f ca="1"/>
        <v>32.61</v>
      </c>
      <c r="J371" vm="5309">
        <f ca="1"/>
        <v>25.2</v>
      </c>
      <c r="K371" vm="5310">
        <f ca="1"/>
        <v>506.63</v>
      </c>
      <c r="L371" vm="5311">
        <f ca="1"/>
        <v>276.58</v>
      </c>
      <c r="M371" vm="4848">
        <f ca="1"/>
        <v>262.33999999999997</v>
      </c>
      <c r="N371" vm="5312">
        <f ca="1"/>
        <v>459.01</v>
      </c>
      <c r="O371" vm="5307">
        <f ca="1"/>
        <v>177.24</v>
      </c>
      <c r="P371" vm="5313">
        <f ca="1"/>
        <v>448.37</v>
      </c>
    </row>
    <row r="372" spans="1:16" x14ac:dyDescent="0.25">
      <c r="A372" vm="5314">
        <f ca="1"/>
        <v>45461</v>
      </c>
      <c r="B372" vm="5315">
        <f ca="1"/>
        <v>506.83</v>
      </c>
      <c r="C372" vm="5316">
        <f ca="1"/>
        <v>422.12</v>
      </c>
      <c r="D372" vm="5317">
        <f ca="1"/>
        <v>62.63</v>
      </c>
      <c r="E372" vm="1618">
        <f ca="1"/>
        <v>216.5</v>
      </c>
      <c r="F372" vm="5318">
        <f ca="1"/>
        <v>168.56</v>
      </c>
      <c r="G372" vm="5251">
        <f ca="1"/>
        <v>32.67</v>
      </c>
      <c r="H372" vm="5319">
        <f ca="1"/>
        <v>179.69</v>
      </c>
      <c r="I372" vm="2183">
        <f ca="1"/>
        <v>33.03</v>
      </c>
      <c r="J372" vm="5320">
        <f ca="1"/>
        <v>25.23</v>
      </c>
      <c r="K372" vm="5321">
        <f ca="1"/>
        <v>499.49</v>
      </c>
      <c r="L372" vm="5322">
        <f ca="1"/>
        <v>281.2</v>
      </c>
      <c r="M372" vm="5323">
        <f ca="1"/>
        <v>263.64999999999998</v>
      </c>
      <c r="N372" vm="5324">
        <f ca="1"/>
        <v>460</v>
      </c>
      <c r="O372" vm="5325">
        <f ca="1"/>
        <v>175.09</v>
      </c>
      <c r="P372" vm="5326">
        <f ca="1"/>
        <v>446.34</v>
      </c>
    </row>
    <row r="373" spans="1:16" x14ac:dyDescent="0.25">
      <c r="A373" vm="5327">
        <f ca="1"/>
        <v>45463</v>
      </c>
      <c r="B373" vm="5328">
        <f ca="1"/>
        <v>507.99</v>
      </c>
      <c r="C373" vm="5329">
        <f ca="1"/>
        <v>419.98</v>
      </c>
      <c r="D373" vm="5330">
        <f ca="1"/>
        <v>62.18</v>
      </c>
      <c r="E373" vm="5331">
        <f ca="1"/>
        <v>219.31</v>
      </c>
      <c r="F373" vm="5332">
        <f ca="1"/>
        <v>167.67</v>
      </c>
      <c r="G373" vm="373">
        <f ca="1"/>
        <v>32.64</v>
      </c>
      <c r="H373" vm="5333">
        <f ca="1"/>
        <v>175.38</v>
      </c>
      <c r="I373" vm="2228">
        <f ca="1"/>
        <v>33.31</v>
      </c>
      <c r="J373" vm="3590">
        <f ca="1"/>
        <v>25.05</v>
      </c>
      <c r="K373" vm="5334">
        <f ca="1"/>
        <v>501.7</v>
      </c>
      <c r="L373" vm="5335">
        <f ca="1"/>
        <v>273.97000000000003</v>
      </c>
      <c r="M373" vm="5336">
        <f ca="1"/>
        <v>262.83</v>
      </c>
      <c r="N373" vm="5337">
        <f ca="1"/>
        <v>466.34</v>
      </c>
      <c r="O373" vm="5338">
        <f ca="1"/>
        <v>176.3</v>
      </c>
      <c r="P373" vm="5339">
        <f ca="1"/>
        <v>445.7</v>
      </c>
    </row>
    <row r="374" spans="1:16" x14ac:dyDescent="0.25">
      <c r="A374" vm="5340">
        <f ca="1"/>
        <v>45464</v>
      </c>
      <c r="B374" vm="5296">
        <f ca="1"/>
        <v>504.16</v>
      </c>
      <c r="C374" vm="5341">
        <f ca="1"/>
        <v>417.22</v>
      </c>
      <c r="D374" vm="5342">
        <f ca="1"/>
        <v>62.77</v>
      </c>
      <c r="E374" vm="5343">
        <f ca="1"/>
        <v>218.12</v>
      </c>
      <c r="F374" vm="5344">
        <f ca="1"/>
        <v>168.26</v>
      </c>
      <c r="G374" vm="2168">
        <f ca="1"/>
        <v>32.950000000000003</v>
      </c>
      <c r="H374" vm="5345">
        <f ca="1"/>
        <v>173.96</v>
      </c>
      <c r="I374" vm="5050">
        <f ca="1"/>
        <v>33.409999999999997</v>
      </c>
      <c r="J374" vm="5346">
        <f ca="1"/>
        <v>25.08</v>
      </c>
      <c r="K374" vm="5347">
        <f ca="1"/>
        <v>494.78</v>
      </c>
      <c r="L374" vm="5348">
        <f ca="1"/>
        <v>274</v>
      </c>
      <c r="M374" vm="5349">
        <f ca="1"/>
        <v>263.5</v>
      </c>
      <c r="N374" vm="5174">
        <f ca="1"/>
        <v>467.6</v>
      </c>
      <c r="O374" vm="5350">
        <f ca="1"/>
        <v>179.63</v>
      </c>
      <c r="P374" vm="2292">
        <f ca="1"/>
        <v>449.78</v>
      </c>
    </row>
    <row r="375" spans="1:16" x14ac:dyDescent="0.25">
      <c r="A375" vm="5351">
        <f ca="1"/>
        <v>45467</v>
      </c>
      <c r="B375" vm="5352">
        <f ca="1"/>
        <v>510.29</v>
      </c>
      <c r="C375" vm="5353">
        <f ca="1"/>
        <v>426.43</v>
      </c>
      <c r="D375" vm="5354">
        <f ca="1"/>
        <v>63.97</v>
      </c>
      <c r="E375" vm="5355">
        <f ca="1"/>
        <v>216.56</v>
      </c>
      <c r="F375" vm="5356">
        <f ca="1"/>
        <v>168.45</v>
      </c>
      <c r="G375" vm="1786">
        <f ca="1"/>
        <v>33.21</v>
      </c>
      <c r="H375" vm="5077">
        <f ca="1"/>
        <v>167.81</v>
      </c>
      <c r="I375" vm="1786">
        <f ca="1"/>
        <v>33.21</v>
      </c>
      <c r="J375" vm="3621">
        <f ca="1"/>
        <v>25.46</v>
      </c>
      <c r="K375" vm="5357">
        <f ca="1"/>
        <v>498.91</v>
      </c>
      <c r="L375" vm="5358">
        <f ca="1"/>
        <v>274.23</v>
      </c>
      <c r="M375" vm="5359">
        <f ca="1"/>
        <v>265.13</v>
      </c>
      <c r="N375" vm="5360">
        <f ca="1"/>
        <v>471.51</v>
      </c>
      <c r="O375" vm="5361">
        <f ca="1"/>
        <v>179.22</v>
      </c>
      <c r="P375" vm="5362">
        <f ca="1"/>
        <v>447.67</v>
      </c>
    </row>
    <row r="376" spans="1:16" x14ac:dyDescent="0.25">
      <c r="A376" vm="5363">
        <f ca="1"/>
        <v>45468</v>
      </c>
      <c r="B376" vm="5364">
        <f ca="1"/>
        <v>505.3</v>
      </c>
      <c r="C376" vm="5365">
        <f ca="1"/>
        <v>415.42</v>
      </c>
      <c r="D376" vm="5366">
        <f ca="1"/>
        <v>63.84</v>
      </c>
      <c r="E376" vm="5367">
        <f ca="1"/>
        <v>215.43</v>
      </c>
      <c r="F376" vm="1142">
        <f ca="1"/>
        <v>166.85</v>
      </c>
      <c r="G376" vm="5368">
        <f ca="1"/>
        <v>32.799999999999997</v>
      </c>
      <c r="H376" vm="5369">
        <f ca="1"/>
        <v>172.6</v>
      </c>
      <c r="I376" vm="5370">
        <f ca="1"/>
        <v>32.71</v>
      </c>
      <c r="J376" vm="5371">
        <f ca="1"/>
        <v>25.4</v>
      </c>
      <c r="K376" vm="5372">
        <f ca="1"/>
        <v>510.6</v>
      </c>
      <c r="L376" vm="5373">
        <f ca="1"/>
        <v>272.97000000000003</v>
      </c>
      <c r="M376" vm="5374">
        <f ca="1"/>
        <v>261.68</v>
      </c>
      <c r="N376" vm="5375">
        <f ca="1"/>
        <v>468.07</v>
      </c>
      <c r="O376" vm="5376">
        <f ca="1"/>
        <v>184.03</v>
      </c>
      <c r="P376" vm="5377">
        <f ca="1"/>
        <v>450.95</v>
      </c>
    </row>
    <row r="377" spans="1:16" x14ac:dyDescent="0.25">
      <c r="A377" vm="5378">
        <f ca="1"/>
        <v>45469</v>
      </c>
      <c r="B377" vm="5379">
        <f ca="1"/>
        <v>502.63</v>
      </c>
      <c r="C377" vm="5380">
        <f ca="1"/>
        <v>412.43</v>
      </c>
      <c r="D377" vm="1195">
        <f ca="1"/>
        <v>64.05</v>
      </c>
      <c r="E377" vm="3969">
        <f ca="1"/>
        <v>216.09</v>
      </c>
      <c r="F377" vm="5381">
        <f ca="1"/>
        <v>167.45</v>
      </c>
      <c r="G377" vm="2882">
        <f ca="1"/>
        <v>32.32</v>
      </c>
      <c r="H377" vm="5382">
        <f ca="1"/>
        <v>172.07</v>
      </c>
      <c r="I377" vm="5383">
        <f ca="1"/>
        <v>33.01</v>
      </c>
      <c r="J377" vm="5384">
        <f ca="1"/>
        <v>25.33</v>
      </c>
      <c r="K377" vm="5385">
        <f ca="1"/>
        <v>513.12</v>
      </c>
      <c r="L377" vm="5386">
        <f ca="1"/>
        <v>266.57</v>
      </c>
      <c r="M377" vm="5387">
        <f ca="1"/>
        <v>261.07</v>
      </c>
      <c r="N377" vm="5388">
        <f ca="1"/>
        <v>466.99</v>
      </c>
      <c r="O377" vm="5389">
        <f ca="1"/>
        <v>183.88</v>
      </c>
      <c r="P377" vm="5390">
        <f ca="1"/>
        <v>452.16</v>
      </c>
    </row>
    <row r="378" spans="1:16" x14ac:dyDescent="0.25">
      <c r="A378" vm="5391">
        <f ca="1"/>
        <v>45470</v>
      </c>
      <c r="B378" vm="5392">
        <f ca="1"/>
        <v>504.22</v>
      </c>
      <c r="C378" vm="5393">
        <f ca="1"/>
        <v>411.23</v>
      </c>
      <c r="D378" vm="5220">
        <f ca="1"/>
        <v>63.91</v>
      </c>
      <c r="E378" vm="1283">
        <f ca="1"/>
        <v>216.44</v>
      </c>
      <c r="F378" vm="4890">
        <f ca="1"/>
        <v>166.62</v>
      </c>
      <c r="G378" vm="23">
        <f ca="1"/>
        <v>32.270000000000003</v>
      </c>
      <c r="H378" vm="5394">
        <f ca="1"/>
        <v>171.63</v>
      </c>
      <c r="I378" vm="2183">
        <f ca="1"/>
        <v>33.03</v>
      </c>
      <c r="J378" vm="5346">
        <f ca="1"/>
        <v>25.08</v>
      </c>
      <c r="K378" vm="5395">
        <f ca="1"/>
        <v>519.55999999999995</v>
      </c>
      <c r="L378" vm="5396">
        <f ca="1"/>
        <v>267.06</v>
      </c>
      <c r="M378" vm="2732">
        <f ca="1"/>
        <v>255.91</v>
      </c>
      <c r="N378" vm="5397">
        <f ca="1"/>
        <v>467.13</v>
      </c>
      <c r="O378" vm="5398">
        <f ca="1"/>
        <v>185.41</v>
      </c>
      <c r="P378" vm="5399">
        <f ca="1"/>
        <v>452.85</v>
      </c>
    </row>
    <row r="379" spans="1:16" x14ac:dyDescent="0.25">
      <c r="A379" vm="5400">
        <f ca="1"/>
        <v>45471</v>
      </c>
      <c r="B379" vm="5401">
        <f ca="1"/>
        <v>505.81</v>
      </c>
      <c r="C379" vm="5402">
        <f ca="1"/>
        <v>405.21</v>
      </c>
      <c r="D379" vm="1314">
        <f ca="1"/>
        <v>63.65</v>
      </c>
      <c r="E379" vm="5403">
        <f ca="1"/>
        <v>219.54</v>
      </c>
      <c r="F379" vm="5404">
        <f ca="1"/>
        <v>164.92</v>
      </c>
      <c r="G379" vm="5405">
        <f ca="1"/>
        <v>32.22</v>
      </c>
      <c r="H379" vm="5406">
        <f ca="1"/>
        <v>173.81</v>
      </c>
      <c r="I379" vm="2681">
        <f ca="1"/>
        <v>33.450000000000003</v>
      </c>
      <c r="J379" vm="5267">
        <f ca="1"/>
        <v>25.89</v>
      </c>
      <c r="K379" vm="5392">
        <f ca="1"/>
        <v>504.22</v>
      </c>
      <c r="L379" vm="3134">
        <f ca="1"/>
        <v>254.09</v>
      </c>
      <c r="M379" vm="5407">
        <f ca="1"/>
        <v>257.27999999999997</v>
      </c>
      <c r="N379" vm="5408">
        <f ca="1"/>
        <v>467.1</v>
      </c>
      <c r="O379" vm="5409">
        <f ca="1"/>
        <v>182.15</v>
      </c>
      <c r="P379" vm="5410">
        <f ca="1"/>
        <v>446.95</v>
      </c>
    </row>
    <row r="380" spans="1:16" x14ac:dyDescent="0.25">
      <c r="A380" vm="5411">
        <f ca="1"/>
        <v>45474</v>
      </c>
      <c r="B380" vm="5412">
        <f ca="1"/>
        <v>501.01</v>
      </c>
      <c r="C380" vm="5413">
        <f ca="1"/>
        <v>397.61</v>
      </c>
      <c r="D380" vm="5414">
        <f ca="1"/>
        <v>63.28</v>
      </c>
      <c r="E380" vm="5415">
        <f ca="1"/>
        <v>218.54</v>
      </c>
      <c r="F380" vm="5416">
        <f ca="1"/>
        <v>162.72</v>
      </c>
      <c r="G380" vm="262">
        <f ca="1"/>
        <v>31.86</v>
      </c>
      <c r="H380" vm="5417">
        <f ca="1"/>
        <v>172.33</v>
      </c>
      <c r="I380" vm="1888">
        <f ca="1"/>
        <v>33.590000000000003</v>
      </c>
      <c r="J380" vm="5418">
        <f ca="1"/>
        <v>24.97</v>
      </c>
      <c r="K380" vm="5419">
        <f ca="1"/>
        <v>504.68</v>
      </c>
      <c r="L380" vm="5420">
        <f ca="1"/>
        <v>247.61</v>
      </c>
      <c r="M380" vm="5421">
        <f ca="1"/>
        <v>256.29000000000002</v>
      </c>
      <c r="N380" vm="5422">
        <f ca="1"/>
        <v>466.44</v>
      </c>
      <c r="O380" vm="5423">
        <f ca="1"/>
        <v>182.99</v>
      </c>
      <c r="P380" vm="5424">
        <f ca="1"/>
        <v>456.73</v>
      </c>
    </row>
    <row r="381" spans="1:16" x14ac:dyDescent="0.25">
      <c r="A381" vm="5425">
        <f ca="1"/>
        <v>45475</v>
      </c>
      <c r="B381" vm="5426">
        <f ca="1"/>
        <v>510.03</v>
      </c>
      <c r="C381" vm="5427">
        <f ca="1"/>
        <v>405.46</v>
      </c>
      <c r="D381" vm="1106">
        <f ca="1"/>
        <v>63.15</v>
      </c>
      <c r="E381" vm="5428">
        <f ca="1"/>
        <v>218.34</v>
      </c>
      <c r="F381" vm="5429">
        <f ca="1"/>
        <v>163.9</v>
      </c>
      <c r="G381" vm="5430">
        <f ca="1"/>
        <v>32</v>
      </c>
      <c r="H381" vm="5431">
        <f ca="1"/>
        <v>175.7</v>
      </c>
      <c r="I381" vm="2370">
        <f ca="1"/>
        <v>33.76</v>
      </c>
      <c r="J381" vm="5432">
        <f ca="1"/>
        <v>25</v>
      </c>
      <c r="K381" vm="5433">
        <f ca="1"/>
        <v>509.5</v>
      </c>
      <c r="L381" vm="5434">
        <f ca="1"/>
        <v>247.78</v>
      </c>
      <c r="M381" vm="5435">
        <f ca="1"/>
        <v>258.94</v>
      </c>
      <c r="N381" vm="3884">
        <f ca="1"/>
        <v>465.7</v>
      </c>
      <c r="O381" vm="5436">
        <f ca="1"/>
        <v>185.24</v>
      </c>
      <c r="P381" vm="5437">
        <f ca="1"/>
        <v>459.28</v>
      </c>
    </row>
    <row r="382" spans="1:16" x14ac:dyDescent="0.25">
      <c r="A382" vm="5438">
        <f ca="1"/>
        <v>45476</v>
      </c>
      <c r="B382" vm="5439">
        <f ca="1"/>
        <v>512.72</v>
      </c>
      <c r="C382" vm="5219">
        <f ca="1"/>
        <v>408.85</v>
      </c>
      <c r="D382" vm="5440">
        <f ca="1"/>
        <v>63.33</v>
      </c>
      <c r="E382" vm="5441">
        <f ca="1"/>
        <v>217.38</v>
      </c>
      <c r="F382" vm="5442">
        <f ca="1"/>
        <v>163.83000000000001</v>
      </c>
      <c r="G382" vm="5443">
        <f ca="1"/>
        <v>32.090000000000003</v>
      </c>
      <c r="H382" vm="5444">
        <f ca="1"/>
        <v>182.49</v>
      </c>
      <c r="I382" vm="5236">
        <f ca="1"/>
        <v>33.549999999999997</v>
      </c>
      <c r="J382" vm="5445">
        <f ca="1"/>
        <v>25.15</v>
      </c>
      <c r="K382" vm="5446">
        <f ca="1"/>
        <v>509.96</v>
      </c>
      <c r="L382" vm="5447">
        <f ca="1"/>
        <v>254.6</v>
      </c>
      <c r="M382" vm="5448">
        <f ca="1"/>
        <v>250.37</v>
      </c>
      <c r="N382" vm="5449">
        <f ca="1"/>
        <v>466.03</v>
      </c>
      <c r="O382" vm="5450">
        <f ca="1"/>
        <v>185.82</v>
      </c>
      <c r="P382" vm="5451">
        <f ca="1"/>
        <v>460.77</v>
      </c>
    </row>
    <row r="383" spans="1:16" x14ac:dyDescent="0.25">
      <c r="A383" vm="5452">
        <f ca="1"/>
        <v>45478</v>
      </c>
      <c r="B383" vm="5453">
        <f ca="1"/>
        <v>505.5</v>
      </c>
      <c r="C383" vm="5454">
        <f ca="1"/>
        <v>406.95</v>
      </c>
      <c r="D383" vm="5455">
        <f ca="1"/>
        <v>63.76</v>
      </c>
      <c r="E383" vm="5456">
        <f ca="1"/>
        <v>220.05</v>
      </c>
      <c r="F383" vm="5457">
        <f ca="1"/>
        <v>165.21</v>
      </c>
      <c r="G383" vm="5443">
        <f ca="1"/>
        <v>32.090000000000003</v>
      </c>
      <c r="H383" vm="5458">
        <f ca="1"/>
        <v>183.99</v>
      </c>
      <c r="I383" vm="1977">
        <f ca="1"/>
        <v>33.299999999999997</v>
      </c>
      <c r="J383" vm="5459">
        <f ca="1"/>
        <v>24.41</v>
      </c>
      <c r="K383" vm="5460">
        <f ca="1"/>
        <v>539.91</v>
      </c>
      <c r="L383" vm="5461">
        <f ca="1"/>
        <v>252.53</v>
      </c>
      <c r="M383" vm="5462">
        <f ca="1"/>
        <v>259.14</v>
      </c>
      <c r="N383" vm="5463">
        <f ca="1"/>
        <v>462.16</v>
      </c>
      <c r="O383" vm="5464">
        <f ca="1"/>
        <v>190.6</v>
      </c>
      <c r="P383" vm="5465">
        <f ca="1"/>
        <v>467.56</v>
      </c>
    </row>
    <row r="384" spans="1:16" x14ac:dyDescent="0.25">
      <c r="A384" vm="5466">
        <f ca="1"/>
        <v>45481</v>
      </c>
      <c r="B384" vm="5467">
        <f ca="1"/>
        <v>508.77</v>
      </c>
      <c r="C384" vm="5468">
        <f ca="1"/>
        <v>410.13</v>
      </c>
      <c r="D384" vm="5469">
        <f ca="1"/>
        <v>62.96</v>
      </c>
      <c r="E384" vm="5470">
        <f ca="1"/>
        <v>219.83</v>
      </c>
      <c r="F384" vm="975">
        <f ca="1"/>
        <v>166.52</v>
      </c>
      <c r="G384" vm="5471">
        <f ca="1"/>
        <v>32.1</v>
      </c>
      <c r="H384" vm="5472">
        <f ca="1"/>
        <v>186.63</v>
      </c>
      <c r="I384" vm="5473">
        <f ca="1"/>
        <v>33.39</v>
      </c>
      <c r="J384" vm="5474">
        <f ca="1"/>
        <v>24.37</v>
      </c>
      <c r="K384" vm="5475">
        <f ca="1"/>
        <v>529.32000000000005</v>
      </c>
      <c r="L384" vm="5476">
        <f ca="1"/>
        <v>254.66</v>
      </c>
      <c r="M384" vm="5477">
        <f ca="1"/>
        <v>253.84</v>
      </c>
      <c r="N384" vm="5478">
        <f ca="1"/>
        <v>461.76</v>
      </c>
      <c r="O384" vm="5479">
        <f ca="1"/>
        <v>189.03</v>
      </c>
      <c r="P384" vm="5480">
        <f ca="1"/>
        <v>466.24</v>
      </c>
    </row>
    <row r="385" spans="1:16" x14ac:dyDescent="0.25">
      <c r="A385" vm="5481">
        <f ca="1"/>
        <v>45482</v>
      </c>
      <c r="B385" vm="5482">
        <f ca="1"/>
        <v>508.68</v>
      </c>
      <c r="C385" vm="5483">
        <f ca="1"/>
        <v>407.6</v>
      </c>
      <c r="D385" vm="1062">
        <f ca="1"/>
        <v>62.69</v>
      </c>
      <c r="E385" vm="5484">
        <f ca="1"/>
        <v>213.51</v>
      </c>
      <c r="F385" vm="5485">
        <f ca="1"/>
        <v>165.66</v>
      </c>
      <c r="G385" vm="5486">
        <f ca="1"/>
        <v>31.93</v>
      </c>
      <c r="H385" vm="5487">
        <f ca="1"/>
        <v>184.52</v>
      </c>
      <c r="I385" vm="5488">
        <f ca="1"/>
        <v>32.479999999999997</v>
      </c>
      <c r="J385" vm="5489">
        <f ca="1"/>
        <v>22.87</v>
      </c>
      <c r="K385" vm="4227">
        <f ca="1"/>
        <v>530</v>
      </c>
      <c r="L385" vm="5490">
        <f ca="1"/>
        <v>254.79</v>
      </c>
      <c r="M385" vm="5491">
        <f ca="1"/>
        <v>252.09</v>
      </c>
      <c r="N385" vm="5492">
        <f ca="1"/>
        <v>460.3</v>
      </c>
      <c r="O385" vm="1360">
        <f ca="1"/>
        <v>188.98</v>
      </c>
      <c r="P385" vm="5493">
        <f ca="1"/>
        <v>459.54</v>
      </c>
    </row>
    <row r="386" spans="1:16" x14ac:dyDescent="0.25">
      <c r="A386" vm="5494">
        <f ca="1"/>
        <v>45483</v>
      </c>
      <c r="B386" vm="5495">
        <f ca="1"/>
        <v>523.16999999999996</v>
      </c>
      <c r="C386" vm="5496">
        <f ca="1"/>
        <v>416.88</v>
      </c>
      <c r="D386" vm="1495">
        <f ca="1"/>
        <v>62.83</v>
      </c>
      <c r="E386" vm="851">
        <f ca="1"/>
        <v>215.4</v>
      </c>
      <c r="F386" vm="5497">
        <f ca="1"/>
        <v>166.8</v>
      </c>
      <c r="G386" vm="1638">
        <f ca="1"/>
        <v>31.92</v>
      </c>
      <c r="H386" vm="5498">
        <f ca="1"/>
        <v>191.05</v>
      </c>
      <c r="I386" vm="5264">
        <f ca="1"/>
        <v>32.92</v>
      </c>
      <c r="J386" vm="5499">
        <f ca="1"/>
        <v>23.17</v>
      </c>
      <c r="K386" vm="5500">
        <f ca="1"/>
        <v>534.69000000000005</v>
      </c>
      <c r="L386" vm="2561">
        <f ca="1"/>
        <v>257.87</v>
      </c>
      <c r="M386" vm="5501">
        <f ca="1"/>
        <v>253.08</v>
      </c>
      <c r="N386" vm="5502">
        <f ca="1"/>
        <v>461.01</v>
      </c>
      <c r="O386" vm="5503">
        <f ca="1"/>
        <v>191.18</v>
      </c>
      <c r="P386" vm="5504">
        <f ca="1"/>
        <v>466.25</v>
      </c>
    </row>
    <row r="387" spans="1:16" x14ac:dyDescent="0.25">
      <c r="A387" vm="5505">
        <f ca="1"/>
        <v>45484</v>
      </c>
      <c r="B387" vm="5506">
        <f ca="1"/>
        <v>528.16</v>
      </c>
      <c r="C387" vm="5507">
        <f ca="1"/>
        <v>426.05</v>
      </c>
      <c r="D387" vm="4991">
        <f ca="1"/>
        <v>63.1</v>
      </c>
      <c r="E387" vm="5508">
        <f ca="1"/>
        <v>217.84</v>
      </c>
      <c r="F387" vm="5509">
        <f ca="1"/>
        <v>165.54</v>
      </c>
      <c r="G387" vm="5294">
        <f ca="1"/>
        <v>32.18</v>
      </c>
      <c r="H387" vm="5510">
        <f ca="1"/>
        <v>184.5</v>
      </c>
      <c r="I387" vm="5511">
        <f ca="1"/>
        <v>33.74</v>
      </c>
      <c r="J387" vm="5512">
        <f ca="1"/>
        <v>23.86</v>
      </c>
      <c r="K387" vm="5513">
        <f ca="1"/>
        <v>512.70000000000005</v>
      </c>
      <c r="L387" vm="5514">
        <f ca="1"/>
        <v>264.14</v>
      </c>
      <c r="M387" vm="5515">
        <f ca="1"/>
        <v>259.37</v>
      </c>
      <c r="N387" vm="1919">
        <f ca="1"/>
        <v>460.38</v>
      </c>
      <c r="O387" vm="5516">
        <f ca="1"/>
        <v>185.57</v>
      </c>
      <c r="P387" vm="5517">
        <f ca="1"/>
        <v>454.7</v>
      </c>
    </row>
    <row r="388" spans="1:16" x14ac:dyDescent="0.25">
      <c r="A388" vm="5518">
        <f ca="1"/>
        <v>45485</v>
      </c>
      <c r="B388" vm="5519">
        <f ca="1"/>
        <v>537.9</v>
      </c>
      <c r="C388" vm="5520">
        <f ca="1"/>
        <v>430.54</v>
      </c>
      <c r="D388" vm="5521">
        <f ca="1"/>
        <v>63.7</v>
      </c>
      <c r="E388" vm="5522">
        <f ca="1"/>
        <v>221.72</v>
      </c>
      <c r="F388" vm="1534">
        <f ca="1"/>
        <v>166.61</v>
      </c>
      <c r="G388" vm="5523">
        <f ca="1"/>
        <v>32.07</v>
      </c>
      <c r="H388" vm="5524">
        <f ca="1"/>
        <v>187.35</v>
      </c>
      <c r="I388" vm="3334">
        <f ca="1"/>
        <v>33.79</v>
      </c>
      <c r="J388" vm="5525">
        <f ca="1"/>
        <v>24.94</v>
      </c>
      <c r="K388" vm="5526">
        <f ca="1"/>
        <v>498.87</v>
      </c>
      <c r="L388" vm="5527">
        <f ca="1"/>
        <v>268.81</v>
      </c>
      <c r="M388" vm="5528">
        <f ca="1"/>
        <v>259.82</v>
      </c>
      <c r="N388" vm="5529">
        <f ca="1"/>
        <v>463.73</v>
      </c>
      <c r="O388" vm="5530">
        <f ca="1"/>
        <v>185.07</v>
      </c>
      <c r="P388" vm="3774">
        <f ca="1"/>
        <v>453.55</v>
      </c>
    </row>
    <row r="389" spans="1:16" x14ac:dyDescent="0.25">
      <c r="A389" vm="5531">
        <f ca="1"/>
        <v>45488</v>
      </c>
      <c r="B389" vm="5532">
        <f ca="1"/>
        <v>544.74</v>
      </c>
      <c r="C389" vm="5533">
        <f ca="1"/>
        <v>430.91</v>
      </c>
      <c r="D389" vm="5534">
        <f ca="1"/>
        <v>63.41</v>
      </c>
      <c r="E389" vm="5535">
        <f ca="1"/>
        <v>220.5</v>
      </c>
      <c r="F389" vm="5536">
        <f ca="1"/>
        <v>164.58</v>
      </c>
      <c r="G389" vm="419">
        <f ca="1"/>
        <v>32.29</v>
      </c>
      <c r="H389" vm="5537">
        <f ca="1"/>
        <v>185.22</v>
      </c>
      <c r="I389" vm="4405">
        <f ca="1"/>
        <v>34.6</v>
      </c>
      <c r="J389" vm="5538">
        <f ca="1"/>
        <v>26.24</v>
      </c>
      <c r="K389" vm="5539">
        <f ca="1"/>
        <v>496.16</v>
      </c>
      <c r="L389" vm="5540">
        <f ca="1"/>
        <v>257.24</v>
      </c>
      <c r="M389" vm="5541">
        <f ca="1"/>
        <v>249.53</v>
      </c>
      <c r="N389" vm="5542">
        <f ca="1"/>
        <v>463.88</v>
      </c>
      <c r="O389" vm="390">
        <f ca="1"/>
        <v>186.53</v>
      </c>
      <c r="P389" vm="5543">
        <f ca="1"/>
        <v>453.96</v>
      </c>
    </row>
    <row r="390" spans="1:16" x14ac:dyDescent="0.25">
      <c r="A390" vm="5544">
        <f ca="1"/>
        <v>45489</v>
      </c>
      <c r="B390" vm="5545">
        <f ca="1"/>
        <v>568.67999999999995</v>
      </c>
      <c r="C390" vm="5546">
        <f ca="1"/>
        <v>440.08</v>
      </c>
      <c r="D390" vm="5547">
        <f ca="1"/>
        <v>64.27</v>
      </c>
      <c r="E390" vm="5548">
        <f ca="1"/>
        <v>227.64</v>
      </c>
      <c r="F390" vm="5549">
        <f ca="1"/>
        <v>166.95</v>
      </c>
      <c r="G390" vm="5550">
        <f ca="1"/>
        <v>32.840000000000003</v>
      </c>
      <c r="H390" vm="5551">
        <f ca="1"/>
        <v>186.04</v>
      </c>
      <c r="I390" vm="5552">
        <f ca="1"/>
        <v>35.33</v>
      </c>
      <c r="J390" vm="5553">
        <f ca="1"/>
        <v>27.84</v>
      </c>
      <c r="K390" vm="5554">
        <f ca="1"/>
        <v>489.79</v>
      </c>
      <c r="L390" vm="5515">
        <f ca="1"/>
        <v>259.37</v>
      </c>
      <c r="M390" vm="5555">
        <f ca="1"/>
        <v>248.09</v>
      </c>
      <c r="N390" vm="5556">
        <f ca="1"/>
        <v>468.58</v>
      </c>
      <c r="O390" vm="5557">
        <f ca="1"/>
        <v>183.92</v>
      </c>
      <c r="P390" vm="5558">
        <f ca="1"/>
        <v>449.52</v>
      </c>
    </row>
    <row r="391" spans="1:16" x14ac:dyDescent="0.25">
      <c r="A391" vm="5559">
        <f ca="1"/>
        <v>45490</v>
      </c>
      <c r="B391" vm="5560">
        <f ca="1"/>
        <v>557.94000000000005</v>
      </c>
      <c r="C391" vm="2673">
        <f ca="1"/>
        <v>425.89</v>
      </c>
      <c r="D391" vm="5561">
        <f ca="1"/>
        <v>65.209999999999994</v>
      </c>
      <c r="E391" vm="5562">
        <f ca="1"/>
        <v>228.71</v>
      </c>
      <c r="F391" vm="5563">
        <f ca="1"/>
        <v>169.44</v>
      </c>
      <c r="G391" vm="5564">
        <f ca="1"/>
        <v>33.9</v>
      </c>
      <c r="H391" vm="5565">
        <f ca="1"/>
        <v>171.2</v>
      </c>
      <c r="I391" vm="5566">
        <f ca="1"/>
        <v>35.450000000000003</v>
      </c>
      <c r="J391" vm="5567">
        <f ca="1"/>
        <v>28.87</v>
      </c>
      <c r="K391" vm="5568">
        <f ca="1"/>
        <v>461.99</v>
      </c>
      <c r="L391" vm="5569">
        <f ca="1"/>
        <v>244.94</v>
      </c>
      <c r="M391" vm="5570">
        <f ca="1"/>
        <v>248.23</v>
      </c>
      <c r="N391" vm="5571">
        <f ca="1"/>
        <v>476.07</v>
      </c>
      <c r="O391" vm="5572">
        <f ca="1"/>
        <v>181.02</v>
      </c>
      <c r="P391" vm="5573">
        <f ca="1"/>
        <v>443.52</v>
      </c>
    </row>
    <row r="392" spans="1:16" x14ac:dyDescent="0.25">
      <c r="A392" vm="5574">
        <f ca="1"/>
        <v>45491</v>
      </c>
      <c r="B392" vm="5575">
        <f ca="1"/>
        <v>547.66999999999996</v>
      </c>
      <c r="C392" vm="5576">
        <f ca="1"/>
        <v>423.03</v>
      </c>
      <c r="D392" vm="5577">
        <f ca="1"/>
        <v>65.19</v>
      </c>
      <c r="E392" vm="5578">
        <f ca="1"/>
        <v>225.45</v>
      </c>
      <c r="F392" vm="5579">
        <f ca="1"/>
        <v>168.44</v>
      </c>
      <c r="G392" vm="2007">
        <f ca="1"/>
        <v>33.770000000000003</v>
      </c>
      <c r="H392" vm="5580">
        <f ca="1"/>
        <v>171.87</v>
      </c>
      <c r="I392" vm="1886">
        <f ca="1"/>
        <v>35.020000000000003</v>
      </c>
      <c r="J392" vm="5581">
        <f ca="1"/>
        <v>28.62</v>
      </c>
      <c r="K392" vm="748">
        <f ca="1"/>
        <v>475.85</v>
      </c>
      <c r="L392" vm="5582">
        <f ca="1"/>
        <v>264.70999999999998</v>
      </c>
      <c r="M392" vm="2592">
        <f ca="1"/>
        <v>248.26</v>
      </c>
      <c r="N392" vm="5583">
        <f ca="1"/>
        <v>476</v>
      </c>
      <c r="O392" vm="5584">
        <f ca="1"/>
        <v>177.69</v>
      </c>
      <c r="P392" vm="5585">
        <f ca="1"/>
        <v>440.37</v>
      </c>
    </row>
    <row r="393" spans="1:16" x14ac:dyDescent="0.25">
      <c r="A393" vm="5586">
        <f ca="1"/>
        <v>45492</v>
      </c>
      <c r="B393" vm="5587">
        <f ca="1"/>
        <v>544.65</v>
      </c>
      <c r="C393" vm="5588">
        <f ca="1"/>
        <v>417</v>
      </c>
      <c r="D393" vm="5589">
        <f ca="1"/>
        <v>65.290000000000006</v>
      </c>
      <c r="E393" vm="5590">
        <f ca="1"/>
        <v>224.29</v>
      </c>
      <c r="F393" vm="5591">
        <f ca="1"/>
        <v>167.96</v>
      </c>
      <c r="G393" vm="5592">
        <f ca="1"/>
        <v>33.119999999999997</v>
      </c>
      <c r="H393" vm="5593">
        <f ca="1"/>
        <v>165.77</v>
      </c>
      <c r="I393" vm="3793">
        <f ca="1"/>
        <v>34.69</v>
      </c>
      <c r="J393" vm="5594">
        <f ca="1"/>
        <v>28.61</v>
      </c>
      <c r="K393" vm="5595">
        <f ca="1"/>
        <v>476.79</v>
      </c>
      <c r="L393" vm="4861">
        <f ca="1"/>
        <v>258.56</v>
      </c>
      <c r="M393" vm="5596">
        <f ca="1"/>
        <v>245.45</v>
      </c>
      <c r="N393" vm="5597">
        <f ca="1"/>
        <v>474.92</v>
      </c>
      <c r="O393" vm="5598">
        <f ca="1"/>
        <v>177.66</v>
      </c>
      <c r="P393" vm="5599">
        <f ca="1"/>
        <v>437.11</v>
      </c>
    </row>
    <row r="394" spans="1:16" x14ac:dyDescent="0.25">
      <c r="A394" vm="5600">
        <f ca="1"/>
        <v>45495</v>
      </c>
      <c r="B394" vm="5601">
        <f ca="1"/>
        <v>552.12</v>
      </c>
      <c r="C394" vm="5602">
        <f ca="1"/>
        <v>427.37</v>
      </c>
      <c r="D394" vm="5603">
        <f ca="1"/>
        <v>64.77</v>
      </c>
      <c r="E394" vm="5604">
        <f ca="1"/>
        <v>228.77</v>
      </c>
      <c r="F394" vm="5605">
        <f ca="1"/>
        <v>168.25</v>
      </c>
      <c r="G394" vm="5606">
        <f ca="1"/>
        <v>32.82</v>
      </c>
      <c r="H394" vm="5607">
        <f ca="1"/>
        <v>169.35</v>
      </c>
      <c r="I394" vm="5608">
        <f ca="1"/>
        <v>34.51</v>
      </c>
      <c r="J394" vm="819">
        <f ca="1"/>
        <v>29.33</v>
      </c>
      <c r="K394" vm="5609">
        <f ca="1"/>
        <v>487.4</v>
      </c>
      <c r="L394" vm="5610">
        <f ca="1"/>
        <v>267.70999999999998</v>
      </c>
      <c r="M394" vm="5611">
        <f ca="1"/>
        <v>243.21</v>
      </c>
      <c r="N394" vm="5612">
        <f ca="1"/>
        <v>474.59</v>
      </c>
      <c r="O394" vm="5613">
        <f ca="1"/>
        <v>181.67</v>
      </c>
      <c r="P394" vm="5614">
        <f ca="1"/>
        <v>442.94</v>
      </c>
    </row>
    <row r="395" spans="1:16" x14ac:dyDescent="0.25">
      <c r="A395" vm="5615">
        <f ca="1"/>
        <v>45496</v>
      </c>
      <c r="B395" vm="5616">
        <f ca="1"/>
        <v>551.66</v>
      </c>
      <c r="C395" vm="5617">
        <f ca="1"/>
        <v>429.48</v>
      </c>
      <c r="D395" vm="5618">
        <f ca="1"/>
        <v>64.959999999999994</v>
      </c>
      <c r="E395" vm="5619">
        <f ca="1"/>
        <v>231.7</v>
      </c>
      <c r="F395" vm="4890">
        <f ca="1"/>
        <v>166.62</v>
      </c>
      <c r="G395" vm="5368">
        <f ca="1"/>
        <v>32.799999999999997</v>
      </c>
      <c r="H395" vm="5620">
        <f ca="1"/>
        <v>169.82</v>
      </c>
      <c r="I395" vm="2827">
        <f ca="1"/>
        <v>33.64</v>
      </c>
      <c r="J395" vm="5621">
        <f ca="1"/>
        <v>30.26</v>
      </c>
      <c r="K395" vm="5622">
        <f ca="1"/>
        <v>488.69</v>
      </c>
      <c r="L395" vm="5623">
        <f ca="1"/>
        <v>264.45999999999998</v>
      </c>
      <c r="M395" vm="5624">
        <f ca="1"/>
        <v>245.98</v>
      </c>
      <c r="N395" vm="5625">
        <f ca="1"/>
        <v>501.29</v>
      </c>
      <c r="O395" vm="5626">
        <f ca="1"/>
        <v>181.79</v>
      </c>
      <c r="P395" vm="5627">
        <f ca="1"/>
        <v>444.85</v>
      </c>
    </row>
    <row r="396" spans="1:16" x14ac:dyDescent="0.25">
      <c r="A396" vm="5628">
        <f ca="1"/>
        <v>45497</v>
      </c>
      <c r="B396" vm="5629">
        <f ca="1"/>
        <v>529.26</v>
      </c>
      <c r="C396" vm="5630">
        <f ca="1"/>
        <v>412.27</v>
      </c>
      <c r="D396" vm="5631">
        <f ca="1"/>
        <v>65.81</v>
      </c>
      <c r="E396" vm="5632">
        <f ca="1"/>
        <v>231.72</v>
      </c>
      <c r="F396" vm="5633">
        <f ca="1"/>
        <v>168</v>
      </c>
      <c r="G396" vm="5196">
        <f ca="1"/>
        <v>33.049999999999997</v>
      </c>
      <c r="H396" vm="5634">
        <f ca="1"/>
        <v>159.80000000000001</v>
      </c>
      <c r="I396" vm="3536">
        <f ca="1"/>
        <v>33.200000000000003</v>
      </c>
      <c r="J396" vm="5635">
        <f ca="1"/>
        <v>29.43</v>
      </c>
      <c r="K396" vm="5636">
        <f ca="1"/>
        <v>461.27</v>
      </c>
      <c r="L396" vm="5637">
        <f ca="1"/>
        <v>251.92</v>
      </c>
      <c r="M396" vm="5638">
        <f ca="1"/>
        <v>246.88</v>
      </c>
      <c r="N396" vm="5639">
        <f ca="1"/>
        <v>515.20000000000005</v>
      </c>
      <c r="O396" vm="5640">
        <f ca="1"/>
        <v>172.63</v>
      </c>
      <c r="P396" vm="5641">
        <f ca="1"/>
        <v>428.9</v>
      </c>
    </row>
    <row r="397" spans="1:16" x14ac:dyDescent="0.25">
      <c r="A397" vm="5642">
        <f ca="1"/>
        <v>45498</v>
      </c>
      <c r="B397" vm="5643">
        <f ca="1"/>
        <v>545.13</v>
      </c>
      <c r="C397" vm="5644">
        <f ca="1"/>
        <v>410.67</v>
      </c>
      <c r="D397" vm="5645">
        <f ca="1"/>
        <v>66.069999999999993</v>
      </c>
      <c r="E397" vm="5646">
        <f ca="1"/>
        <v>227.56</v>
      </c>
      <c r="F397" vm="5647">
        <f ca="1"/>
        <v>166.9</v>
      </c>
      <c r="G397" vm="3194">
        <f ca="1"/>
        <v>33.29</v>
      </c>
      <c r="H397" vm="5648">
        <f ca="1"/>
        <v>160.28</v>
      </c>
      <c r="I397" vm="5649">
        <f ca="1"/>
        <v>33.6</v>
      </c>
      <c r="J397" vm="2415">
        <f ca="1"/>
        <v>30.87</v>
      </c>
      <c r="K397" vm="5650">
        <f ca="1"/>
        <v>453.41</v>
      </c>
      <c r="L397" vm="5651">
        <f ca="1"/>
        <v>248.81</v>
      </c>
      <c r="M397" vm="5652">
        <f ca="1"/>
        <v>249.38</v>
      </c>
      <c r="N397" vm="5653">
        <f ca="1"/>
        <v>521.4</v>
      </c>
      <c r="O397" vm="5654">
        <f ca="1"/>
        <v>167.28</v>
      </c>
      <c r="P397" vm="5655">
        <f ca="1"/>
        <v>418.4</v>
      </c>
    </row>
    <row r="398" spans="1:16" x14ac:dyDescent="0.25">
      <c r="A398" vm="5656">
        <f ca="1"/>
        <v>45499</v>
      </c>
      <c r="B398" vm="5657">
        <f ca="1"/>
        <v>554.61</v>
      </c>
      <c r="C398" vm="5658">
        <f ca="1"/>
        <v>424.66</v>
      </c>
      <c r="D398" vm="5659">
        <f ca="1"/>
        <v>67.05</v>
      </c>
      <c r="E398" vm="5660">
        <f ca="1"/>
        <v>232.79</v>
      </c>
      <c r="F398" vm="5661">
        <f ca="1"/>
        <v>169.11</v>
      </c>
      <c r="G398" vm="5662">
        <f ca="1"/>
        <v>33.36</v>
      </c>
      <c r="H398" vm="5663">
        <f ca="1"/>
        <v>161.94</v>
      </c>
      <c r="I398" vm="2766">
        <f ca="1"/>
        <v>34.32</v>
      </c>
      <c r="J398" vm="5664">
        <f ca="1"/>
        <v>30.58</v>
      </c>
      <c r="K398" vm="3884">
        <f ca="1"/>
        <v>465.7</v>
      </c>
      <c r="L398" vm="5665">
        <f ca="1"/>
        <v>256.73</v>
      </c>
      <c r="M398" vm="5666">
        <f ca="1"/>
        <v>253.48</v>
      </c>
      <c r="N398" vm="5667">
        <f ca="1"/>
        <v>524.79999999999995</v>
      </c>
      <c r="O398" vm="5668">
        <f ca="1"/>
        <v>167</v>
      </c>
      <c r="P398" vm="5669">
        <f ca="1"/>
        <v>425.27</v>
      </c>
    </row>
    <row r="399" spans="1:16" x14ac:dyDescent="0.25">
      <c r="A399" vm="5670">
        <f ca="1"/>
        <v>45502</v>
      </c>
      <c r="B399" vm="5671">
        <f ca="1"/>
        <v>548.52</v>
      </c>
      <c r="C399" vm="5672">
        <f ca="1"/>
        <v>426.15</v>
      </c>
      <c r="D399" vm="5673">
        <f ca="1"/>
        <v>66.83</v>
      </c>
      <c r="E399" vm="5674">
        <f ca="1"/>
        <v>236.32</v>
      </c>
      <c r="F399" vm="5675">
        <f ca="1"/>
        <v>169.93</v>
      </c>
      <c r="G399" vm="2696">
        <f ca="1"/>
        <v>33.42</v>
      </c>
      <c r="H399" vm="5676">
        <f ca="1"/>
        <v>160.01</v>
      </c>
      <c r="I399" vm="5677">
        <f ca="1"/>
        <v>34.4</v>
      </c>
      <c r="J399" vm="293">
        <f ca="1"/>
        <v>30.15</v>
      </c>
      <c r="K399" vm="5678">
        <f ca="1"/>
        <v>465.71</v>
      </c>
      <c r="L399" vm="2962">
        <f ca="1"/>
        <v>256.22000000000003</v>
      </c>
      <c r="M399" vm="5679">
        <f ca="1"/>
        <v>246.17</v>
      </c>
      <c r="N399" vm="5680">
        <f ca="1"/>
        <v>527.64</v>
      </c>
      <c r="O399" vm="5681">
        <f ca="1"/>
        <v>169.53</v>
      </c>
      <c r="P399" vm="5682">
        <f ca="1"/>
        <v>426.73</v>
      </c>
    </row>
    <row r="400" spans="1:16" x14ac:dyDescent="0.25">
      <c r="A400" vm="5683">
        <f ca="1"/>
        <v>45503</v>
      </c>
      <c r="B400" vm="5684">
        <f ca="1"/>
        <v>551.21</v>
      </c>
      <c r="C400" vm="5685">
        <f ca="1"/>
        <v>417.16</v>
      </c>
      <c r="D400" vm="5686">
        <f ca="1"/>
        <v>67.680000000000007</v>
      </c>
      <c r="E400" vm="5687">
        <f ca="1"/>
        <v>237.24</v>
      </c>
      <c r="F400" vm="5688">
        <f ca="1"/>
        <v>161.69999999999999</v>
      </c>
      <c r="G400" vm="2495">
        <f ca="1"/>
        <v>33.840000000000003</v>
      </c>
      <c r="H400" vm="5689">
        <f ca="1"/>
        <v>154.54</v>
      </c>
      <c r="I400" vm="1886">
        <f ca="1"/>
        <v>35.020000000000003</v>
      </c>
      <c r="J400" vm="2813">
        <f ca="1"/>
        <v>30.57</v>
      </c>
      <c r="K400" vm="5690">
        <f ca="1"/>
        <v>463.19</v>
      </c>
      <c r="L400" vm="5691">
        <f ca="1"/>
        <v>251.6</v>
      </c>
      <c r="M400" vm="5692">
        <f ca="1"/>
        <v>243.3</v>
      </c>
      <c r="N400" vm="5693">
        <f ca="1"/>
        <v>537.66</v>
      </c>
      <c r="O400" vm="5694">
        <f ca="1"/>
        <v>170.29</v>
      </c>
      <c r="P400" vm="5695">
        <f ca="1"/>
        <v>422.92</v>
      </c>
    </row>
    <row r="401" spans="1:16" x14ac:dyDescent="0.25">
      <c r="A401" vm="5696">
        <f ca="1"/>
        <v>45504</v>
      </c>
      <c r="B401" vm="5697">
        <f ca="1"/>
        <v>561.16</v>
      </c>
      <c r="C401" vm="5698">
        <f ca="1"/>
        <v>418.58</v>
      </c>
      <c r="D401" vm="5699">
        <f ca="1"/>
        <v>66.739999999999995</v>
      </c>
      <c r="E401" vm="5700">
        <f ca="1"/>
        <v>238.76</v>
      </c>
      <c r="F401" vm="5701">
        <f ca="1"/>
        <v>160.76</v>
      </c>
      <c r="G401" vm="5702">
        <f ca="1"/>
        <v>35.21</v>
      </c>
      <c r="H401" vm="1203">
        <f ca="1"/>
        <v>165.8</v>
      </c>
      <c r="I401" vm="5168">
        <f ca="1"/>
        <v>35.1</v>
      </c>
      <c r="J401" vm="5703">
        <f ca="1"/>
        <v>31.22</v>
      </c>
      <c r="K401" vm="5704">
        <f ca="1"/>
        <v>474.83</v>
      </c>
      <c r="L401" vm="5705">
        <f ca="1"/>
        <v>265.38</v>
      </c>
      <c r="M401" vm="5706">
        <f ca="1"/>
        <v>245.16</v>
      </c>
      <c r="N401" vm="5707">
        <f ca="1"/>
        <v>541.91999999999996</v>
      </c>
      <c r="O401" vm="5708">
        <f ca="1"/>
        <v>171.54</v>
      </c>
      <c r="P401" vm="5709">
        <f ca="1"/>
        <v>418.35</v>
      </c>
    </row>
    <row r="402" spans="1:16" x14ac:dyDescent="0.25">
      <c r="A402" vm="5710">
        <f ca="1"/>
        <v>45505</v>
      </c>
      <c r="B402" vm="5711">
        <f ca="1"/>
        <v>534.54</v>
      </c>
      <c r="C402" vm="5712">
        <f ca="1"/>
        <v>405</v>
      </c>
      <c r="D402" vm="5713">
        <f ca="1"/>
        <v>67.959999999999994</v>
      </c>
      <c r="E402" vm="5714">
        <f ca="1"/>
        <v>241.01</v>
      </c>
      <c r="F402" vm="5715">
        <f ca="1"/>
        <v>165.69</v>
      </c>
      <c r="G402" vm="1991">
        <f ca="1"/>
        <v>35.4</v>
      </c>
      <c r="H402" vm="5716">
        <f ca="1"/>
        <v>158.18</v>
      </c>
      <c r="I402" vm="5717">
        <f ca="1"/>
        <v>34.770000000000003</v>
      </c>
      <c r="J402" vm="5718">
        <f ca="1"/>
        <v>29.77</v>
      </c>
      <c r="K402" vm="5719">
        <f ca="1"/>
        <v>497.74</v>
      </c>
      <c r="L402" vm="5720">
        <f ca="1"/>
        <v>254.88</v>
      </c>
      <c r="M402" vm="5721">
        <f ca="1"/>
        <v>245.37</v>
      </c>
      <c r="N402" vm="5722">
        <f ca="1"/>
        <v>548.86</v>
      </c>
      <c r="O402" vm="5723">
        <f ca="1"/>
        <v>170.76</v>
      </c>
      <c r="P402" vm="5724">
        <f ca="1"/>
        <v>417.11</v>
      </c>
    </row>
    <row r="403" spans="1:16" x14ac:dyDescent="0.25">
      <c r="A403" vm="5725">
        <f ca="1"/>
        <v>45506</v>
      </c>
      <c r="B403" vm="5726">
        <f ca="1"/>
        <v>518.51</v>
      </c>
      <c r="C403" vm="5727">
        <f ca="1"/>
        <v>397.27</v>
      </c>
      <c r="D403" vm="5728">
        <f ca="1"/>
        <v>69.33</v>
      </c>
      <c r="E403" vm="5729">
        <f ca="1"/>
        <v>242.6</v>
      </c>
      <c r="F403" vm="5730">
        <f ca="1"/>
        <v>170.08</v>
      </c>
      <c r="G403" vm="5731">
        <f ca="1"/>
        <v>36.06</v>
      </c>
      <c r="H403" vm="5732">
        <f ca="1"/>
        <v>149.86000000000001</v>
      </c>
      <c r="I403" vm="5733">
        <f ca="1"/>
        <v>34.08</v>
      </c>
      <c r="J403" vm="5734">
        <f ca="1"/>
        <v>28.15</v>
      </c>
      <c r="K403" vm="5735">
        <f ca="1"/>
        <v>488.14</v>
      </c>
      <c r="L403" vm="5736">
        <f ca="1"/>
        <v>240.92</v>
      </c>
      <c r="M403" vm="5737">
        <f ca="1"/>
        <v>246.94</v>
      </c>
      <c r="N403" vm="5738">
        <f ca="1"/>
        <v>548.77</v>
      </c>
      <c r="O403" vm="5739">
        <f ca="1"/>
        <v>166.66</v>
      </c>
      <c r="P403" vm="4935">
        <f ca="1"/>
        <v>408.49</v>
      </c>
    </row>
    <row r="404" spans="1:16" x14ac:dyDescent="0.25">
      <c r="A404" vm="5740">
        <f ca="1"/>
        <v>45509</v>
      </c>
      <c r="B404" vm="5741">
        <f ca="1"/>
        <v>506.31</v>
      </c>
      <c r="C404" vm="5742">
        <f ca="1"/>
        <v>376.98</v>
      </c>
      <c r="D404" vm="5743">
        <f ca="1"/>
        <v>68.099999999999994</v>
      </c>
      <c r="E404" vm="2929">
        <f ca="1"/>
        <v>237.9</v>
      </c>
      <c r="F404" vm="5744">
        <f ca="1"/>
        <v>168.06</v>
      </c>
      <c r="G404" vm="5745">
        <f ca="1"/>
        <v>35.200000000000003</v>
      </c>
      <c r="H404" vm="5746">
        <f ca="1"/>
        <v>147.94999999999999</v>
      </c>
      <c r="I404" vm="5747">
        <f ca="1"/>
        <v>33</v>
      </c>
      <c r="J404" vm="5748">
        <f ca="1"/>
        <v>27</v>
      </c>
      <c r="K404" vm="5749">
        <f ca="1"/>
        <v>475.73</v>
      </c>
      <c r="L404" vm="47">
        <f ca="1"/>
        <v>239.58</v>
      </c>
      <c r="M404" vm="5750">
        <f ca="1"/>
        <v>236.42</v>
      </c>
      <c r="N404" vm="5751">
        <f ca="1"/>
        <v>545.38</v>
      </c>
      <c r="O404" vm="5752">
        <f ca="1"/>
        <v>159.25</v>
      </c>
      <c r="P404" vm="5753">
        <f ca="1"/>
        <v>395.15</v>
      </c>
    </row>
    <row r="405" spans="1:16" x14ac:dyDescent="0.25">
      <c r="A405" vm="5754">
        <f ca="1"/>
        <v>45510</v>
      </c>
      <c r="B405" vm="5755">
        <f ca="1"/>
        <v>518.02</v>
      </c>
      <c r="C405" vm="5756">
        <f ca="1"/>
        <v>383.02</v>
      </c>
      <c r="D405" vm="5757">
        <f ca="1"/>
        <v>68.05</v>
      </c>
      <c r="E405" vm="5758">
        <f ca="1"/>
        <v>239.18</v>
      </c>
      <c r="F405" vm="5759">
        <f ca="1"/>
        <v>168.09</v>
      </c>
      <c r="G405" vm="5760">
        <f ca="1"/>
        <v>34.82</v>
      </c>
      <c r="H405" vm="5761">
        <f ca="1"/>
        <v>155.38999999999999</v>
      </c>
      <c r="I405" vm="5762">
        <f ca="1"/>
        <v>33.86</v>
      </c>
      <c r="J405" vm="5763">
        <f ca="1"/>
        <v>27.58</v>
      </c>
      <c r="K405" vm="5764">
        <f ca="1"/>
        <v>494.09</v>
      </c>
      <c r="L405" vm="4329">
        <f ca="1"/>
        <v>248.03</v>
      </c>
      <c r="M405" vm="5765">
        <f ca="1"/>
        <v>238.52</v>
      </c>
      <c r="N405" vm="5766">
        <f ca="1"/>
        <v>541.55999999999995</v>
      </c>
      <c r="O405" vm="5767">
        <f ca="1"/>
        <v>158.29</v>
      </c>
      <c r="P405" vm="5768">
        <f ca="1"/>
        <v>399.61</v>
      </c>
    </row>
    <row r="406" spans="1:16" x14ac:dyDescent="0.25">
      <c r="A406" vm="5769">
        <f ca="1"/>
        <v>45511</v>
      </c>
      <c r="B406" vm="5770">
        <f ca="1"/>
        <v>512.5</v>
      </c>
      <c r="C406" vm="5771">
        <f ca="1"/>
        <v>376.5</v>
      </c>
      <c r="D406" vm="5772">
        <f ca="1"/>
        <v>68.459999999999994</v>
      </c>
      <c r="E406" vm="5773">
        <f ca="1"/>
        <v>233.53</v>
      </c>
      <c r="F406" vm="5774">
        <f ca="1"/>
        <v>170.02</v>
      </c>
      <c r="G406" vm="3723">
        <f ca="1"/>
        <v>34.67</v>
      </c>
      <c r="H406" vm="5775">
        <f ca="1"/>
        <v>155.04</v>
      </c>
      <c r="I406" vm="5776">
        <f ca="1"/>
        <v>33.619999999999997</v>
      </c>
      <c r="J406" vm="4274">
        <f ca="1"/>
        <v>26.36</v>
      </c>
      <c r="K406" vm="5777">
        <f ca="1"/>
        <v>488.92</v>
      </c>
      <c r="L406" vm="5778">
        <f ca="1"/>
        <v>248.5</v>
      </c>
      <c r="M406" vm="5779">
        <f ca="1"/>
        <v>237.81</v>
      </c>
      <c r="N406" vm="5780">
        <f ca="1"/>
        <v>548.51</v>
      </c>
      <c r="O406" vm="4297">
        <f ca="1"/>
        <v>158.94</v>
      </c>
      <c r="P406" vm="5781">
        <f ca="1"/>
        <v>398.43</v>
      </c>
    </row>
    <row r="407" spans="1:16" x14ac:dyDescent="0.25">
      <c r="A407" vm="5782">
        <f ca="1"/>
        <v>45512</v>
      </c>
      <c r="B407" vm="5783">
        <f ca="1"/>
        <v>568.08000000000004</v>
      </c>
      <c r="C407" vm="5784">
        <f ca="1"/>
        <v>385.56</v>
      </c>
      <c r="D407" vm="5785">
        <f ca="1"/>
        <v>68.73</v>
      </c>
      <c r="E407" vm="5786">
        <f ca="1"/>
        <v>239.68</v>
      </c>
      <c r="F407" vm="5787">
        <f ca="1"/>
        <v>170.87</v>
      </c>
      <c r="G407" vm="5702">
        <f ca="1"/>
        <v>35.21</v>
      </c>
      <c r="H407" vm="5788">
        <f ca="1"/>
        <v>164.55</v>
      </c>
      <c r="I407" vm="5789">
        <f ca="1"/>
        <v>34.25</v>
      </c>
      <c r="J407" vm="5553">
        <f ca="1"/>
        <v>27.84</v>
      </c>
      <c r="K407" vm="5790">
        <f ca="1"/>
        <v>509.63</v>
      </c>
      <c r="L407" vm="5791">
        <f ca="1"/>
        <v>262.8</v>
      </c>
      <c r="M407" vm="5792">
        <f ca="1"/>
        <v>239.87</v>
      </c>
      <c r="N407" vm="5793">
        <f ca="1"/>
        <v>551.62</v>
      </c>
      <c r="O407" vm="5794">
        <f ca="1"/>
        <v>162.03</v>
      </c>
      <c r="P407" vm="5179">
        <f ca="1"/>
        <v>402.69</v>
      </c>
    </row>
    <row r="408" spans="1:16" x14ac:dyDescent="0.25">
      <c r="A408" vm="5795">
        <f ca="1"/>
        <v>45513</v>
      </c>
      <c r="B408" vm="5796">
        <f ca="1"/>
        <v>569.80999999999995</v>
      </c>
      <c r="C408" vm="5797">
        <f ca="1"/>
        <v>388.15</v>
      </c>
      <c r="D408" vm="5798">
        <f ca="1"/>
        <v>68.680000000000007</v>
      </c>
      <c r="E408" vm="5799">
        <f ca="1"/>
        <v>235.98</v>
      </c>
      <c r="F408" vm="5800">
        <f ca="1"/>
        <v>170.54</v>
      </c>
      <c r="G408" vm="4478">
        <f ca="1"/>
        <v>35.270000000000003</v>
      </c>
      <c r="H408" vm="3141">
        <f ca="1"/>
        <v>167.12</v>
      </c>
      <c r="I408" vm="3589">
        <f ca="1"/>
        <v>34</v>
      </c>
      <c r="J408" vm="5801">
        <f ca="1"/>
        <v>28.05</v>
      </c>
      <c r="K408" vm="5802">
        <f ca="1"/>
        <v>517.77</v>
      </c>
      <c r="L408" vm="5803">
        <f ca="1"/>
        <v>259.62</v>
      </c>
      <c r="M408" vm="5804">
        <f ca="1"/>
        <v>241.41</v>
      </c>
      <c r="N408" vm="5805">
        <f ca="1"/>
        <v>551.58000000000004</v>
      </c>
      <c r="O408" vm="5806">
        <f ca="1"/>
        <v>163.66999999999999</v>
      </c>
      <c r="P408" vm="5807">
        <f ca="1"/>
        <v>406.02</v>
      </c>
    </row>
    <row r="409" spans="1:16" x14ac:dyDescent="0.25">
      <c r="A409" vm="5808">
        <f ca="1"/>
        <v>45516</v>
      </c>
      <c r="B409" vm="5809">
        <f ca="1"/>
        <v>567.78</v>
      </c>
      <c r="C409" vm="5810">
        <f ca="1"/>
        <v>383.93</v>
      </c>
      <c r="D409" vm="5811">
        <f ca="1"/>
        <v>68.17</v>
      </c>
      <c r="E409" vm="5812">
        <f ca="1"/>
        <v>233.94</v>
      </c>
      <c r="F409" vm="5813">
        <f ca="1"/>
        <v>166.81</v>
      </c>
      <c r="G409" vm="5814">
        <f ca="1"/>
        <v>34.17</v>
      </c>
      <c r="H409" vm="5815">
        <f ca="1"/>
        <v>167.63</v>
      </c>
      <c r="I409" vm="3509">
        <f ca="1"/>
        <v>33.5</v>
      </c>
      <c r="J409" vm="5816">
        <f ca="1"/>
        <v>27.87</v>
      </c>
      <c r="K409" vm="5817">
        <f ca="1"/>
        <v>515.95000000000005</v>
      </c>
      <c r="L409" vm="4836">
        <f ca="1"/>
        <v>260.04000000000002</v>
      </c>
      <c r="M409" vm="5818">
        <f ca="1"/>
        <v>238.8</v>
      </c>
      <c r="N409" vm="5819">
        <f ca="1"/>
        <v>556.91</v>
      </c>
      <c r="O409" vm="5820">
        <f ca="1"/>
        <v>162.29</v>
      </c>
      <c r="P409" vm="5821">
        <f ca="1"/>
        <v>406.81</v>
      </c>
    </row>
    <row r="410" spans="1:16" x14ac:dyDescent="0.25">
      <c r="A410" vm="5822">
        <f ca="1"/>
        <v>45517</v>
      </c>
      <c r="B410" vm="5823">
        <f ca="1"/>
        <v>571.53</v>
      </c>
      <c r="C410" vm="5824">
        <f ca="1"/>
        <v>395.54</v>
      </c>
      <c r="D410" vm="5772">
        <f ca="1"/>
        <v>68.459999999999994</v>
      </c>
      <c r="E410" vm="4418">
        <f ca="1"/>
        <v>233.79</v>
      </c>
      <c r="F410" vm="1187">
        <f ca="1"/>
        <v>167.29</v>
      </c>
      <c r="G410" vm="3835">
        <f ca="1"/>
        <v>34.57</v>
      </c>
      <c r="H410" vm="5825">
        <f ca="1"/>
        <v>172.34</v>
      </c>
      <c r="I410" vm="2065">
        <f ca="1"/>
        <v>33.22</v>
      </c>
      <c r="J410" vm="5826">
        <f ca="1"/>
        <v>27.83</v>
      </c>
      <c r="K410" vm="5827">
        <f ca="1"/>
        <v>528.54</v>
      </c>
      <c r="L410" vm="5828">
        <f ca="1"/>
        <v>262</v>
      </c>
      <c r="M410" vm="5829">
        <f ca="1"/>
        <v>240.1</v>
      </c>
      <c r="N410" vm="5830">
        <f ca="1"/>
        <v>559.41999999999996</v>
      </c>
      <c r="O410" vm="5831">
        <f ca="1"/>
        <v>164.16</v>
      </c>
      <c r="P410" vm="5832">
        <f ca="1"/>
        <v>414.01</v>
      </c>
    </row>
    <row r="411" spans="1:16" x14ac:dyDescent="0.25">
      <c r="A411" vm="5833">
        <f ca="1"/>
        <v>45518</v>
      </c>
      <c r="B411" vm="5834">
        <f ca="1"/>
        <v>578.39</v>
      </c>
      <c r="C411" vm="5835">
        <f ca="1"/>
        <v>396.48</v>
      </c>
      <c r="D411" vm="5836">
        <f ca="1"/>
        <v>68.58</v>
      </c>
      <c r="E411" vm="5660">
        <f ca="1"/>
        <v>232.79</v>
      </c>
      <c r="F411" vm="5837">
        <f ca="1"/>
        <v>168.8</v>
      </c>
      <c r="G411" vm="2735">
        <f ca="1"/>
        <v>34.49</v>
      </c>
      <c r="H411" vm="5838">
        <f ca="1"/>
        <v>169.97</v>
      </c>
      <c r="I411" vm="5662">
        <f ca="1"/>
        <v>33.36</v>
      </c>
      <c r="J411" vm="5839">
        <f ca="1"/>
        <v>27.71</v>
      </c>
      <c r="K411" vm="5840">
        <f ca="1"/>
        <v>526.76</v>
      </c>
      <c r="L411" vm="5841">
        <f ca="1"/>
        <v>263.47000000000003</v>
      </c>
      <c r="M411" vm="5842">
        <f ca="1"/>
        <v>241.08</v>
      </c>
      <c r="N411" vm="5843">
        <f ca="1"/>
        <v>563.22</v>
      </c>
      <c r="O411" vm="5844">
        <f ca="1"/>
        <v>160.37</v>
      </c>
      <c r="P411" vm="5845">
        <f ca="1"/>
        <v>416.86</v>
      </c>
    </row>
    <row r="412" spans="1:16" x14ac:dyDescent="0.25">
      <c r="A412" vm="5846">
        <f ca="1"/>
        <v>45519</v>
      </c>
      <c r="B412" vm="5847">
        <f ca="1"/>
        <v>590.84</v>
      </c>
      <c r="C412" vm="5848">
        <f ca="1"/>
        <v>406.51</v>
      </c>
      <c r="D412" vm="5849">
        <f ca="1"/>
        <v>68.650000000000006</v>
      </c>
      <c r="E412" vm="5850">
        <f ca="1"/>
        <v>230.32</v>
      </c>
      <c r="F412" vm="5851">
        <f ca="1"/>
        <v>167.92</v>
      </c>
      <c r="G412" vm="5852">
        <f ca="1"/>
        <v>34.19</v>
      </c>
      <c r="H412" vm="5345">
        <f ca="1"/>
        <v>173.96</v>
      </c>
      <c r="I412" vm="2050">
        <f ca="1"/>
        <v>33.630000000000003</v>
      </c>
      <c r="J412" vm="5853">
        <f ca="1"/>
        <v>28.86</v>
      </c>
      <c r="K412" vm="5854">
        <f ca="1"/>
        <v>537.33000000000004</v>
      </c>
      <c r="L412" vm="5855">
        <f ca="1"/>
        <v>267.94</v>
      </c>
      <c r="M412" vm="5856">
        <f ca="1"/>
        <v>245.24</v>
      </c>
      <c r="N412" vm="5857">
        <f ca="1"/>
        <v>560.29</v>
      </c>
      <c r="O412" vm="5858">
        <f ca="1"/>
        <v>161.30000000000001</v>
      </c>
      <c r="P412" vm="5859">
        <f ca="1"/>
        <v>421.03</v>
      </c>
    </row>
    <row r="413" spans="1:16" x14ac:dyDescent="0.25">
      <c r="A413" vm="5860">
        <f ca="1"/>
        <v>45520</v>
      </c>
      <c r="B413" vm="5861">
        <f ca="1"/>
        <v>583.4</v>
      </c>
      <c r="C413" vm="5862">
        <f ca="1"/>
        <v>403.47</v>
      </c>
      <c r="D413" vm="5863">
        <f ca="1"/>
        <v>69.180000000000007</v>
      </c>
      <c r="E413" vm="5864">
        <f ca="1"/>
        <v>232.34</v>
      </c>
      <c r="F413" vm="5865">
        <f ca="1"/>
        <v>167.89</v>
      </c>
      <c r="G413" vm="3736">
        <f ca="1"/>
        <v>34.619999999999997</v>
      </c>
      <c r="H413" vm="5866">
        <f ca="1"/>
        <v>174.54</v>
      </c>
      <c r="I413" vm="2696">
        <f ca="1"/>
        <v>33.42</v>
      </c>
      <c r="J413" vm="5867">
        <f ca="1"/>
        <v>29.25</v>
      </c>
      <c r="K413" vm="5868">
        <f ca="1"/>
        <v>527.41999999999996</v>
      </c>
      <c r="L413" vm="5869">
        <f ca="1"/>
        <v>265.89</v>
      </c>
      <c r="M413" vm="4237">
        <f ca="1"/>
        <v>245.7</v>
      </c>
      <c r="N413" vm="5870">
        <f ca="1"/>
        <v>560.13</v>
      </c>
      <c r="O413" vm="5871">
        <f ca="1"/>
        <v>162.96</v>
      </c>
      <c r="P413" vm="5872">
        <f ca="1"/>
        <v>418.47</v>
      </c>
    </row>
    <row r="414" spans="1:16" x14ac:dyDescent="0.25">
      <c r="A414" vm="5873">
        <f ca="1"/>
        <v>45523</v>
      </c>
      <c r="B414" vm="5874">
        <f ca="1"/>
        <v>586.5</v>
      </c>
      <c r="C414" vm="5875">
        <f ca="1"/>
        <v>408.13</v>
      </c>
      <c r="D414" vm="5876">
        <f ca="1"/>
        <v>68.98</v>
      </c>
      <c r="E414" vm="5877">
        <f ca="1"/>
        <v>233.57</v>
      </c>
      <c r="F414" vm="5878">
        <f ca="1"/>
        <v>168.42</v>
      </c>
      <c r="G414" vm="5879">
        <f ca="1"/>
        <v>35.36</v>
      </c>
      <c r="H414" vm="5880">
        <f ca="1"/>
        <v>175.45</v>
      </c>
      <c r="I414" vm="2827">
        <f ca="1"/>
        <v>33.64</v>
      </c>
      <c r="J414" vm="5881">
        <f ca="1"/>
        <v>29.72</v>
      </c>
      <c r="K414" vm="5882">
        <f ca="1"/>
        <v>529.28</v>
      </c>
      <c r="L414" vm="5883">
        <f ca="1"/>
        <v>268.10000000000002</v>
      </c>
      <c r="M414" vm="5884">
        <f ca="1"/>
        <v>242.96</v>
      </c>
      <c r="N414" vm="5885">
        <f ca="1"/>
        <v>558.39</v>
      </c>
      <c r="O414" vm="5886">
        <f ca="1"/>
        <v>166.67</v>
      </c>
      <c r="P414" vm="5887">
        <f ca="1"/>
        <v>421.53</v>
      </c>
    </row>
    <row r="415" spans="1:16" x14ac:dyDescent="0.25">
      <c r="A415" vm="5888">
        <f ca="1"/>
        <v>45524</v>
      </c>
      <c r="B415" vm="5889">
        <f ca="1"/>
        <v>582.29</v>
      </c>
      <c r="C415" vm="5179">
        <f ca="1"/>
        <v>402.69</v>
      </c>
      <c r="D415" vm="5890">
        <f ca="1"/>
        <v>69.38</v>
      </c>
      <c r="E415" vm="1366">
        <f ca="1"/>
        <v>233.27</v>
      </c>
      <c r="F415" vm="5891">
        <f ca="1"/>
        <v>170.41</v>
      </c>
      <c r="G415" vm="5892">
        <f ca="1"/>
        <v>35.29</v>
      </c>
      <c r="H415" vm="591">
        <f ca="1"/>
        <v>172.04</v>
      </c>
      <c r="I415" vm="3278">
        <f ca="1"/>
        <v>33.58</v>
      </c>
      <c r="J415" vm="5893">
        <f ca="1"/>
        <v>28.7</v>
      </c>
      <c r="K415" vm="5894">
        <f ca="1"/>
        <v>526.73</v>
      </c>
      <c r="L415" vm="5895">
        <f ca="1"/>
        <v>266.86</v>
      </c>
      <c r="M415" vm="4105">
        <f ca="1"/>
        <v>243.05</v>
      </c>
      <c r="N415" vm="5896">
        <f ca="1"/>
        <v>557.01</v>
      </c>
      <c r="O415" vm="5897">
        <f ca="1"/>
        <v>167.18</v>
      </c>
      <c r="P415" vm="5898">
        <f ca="1"/>
        <v>424.8</v>
      </c>
    </row>
    <row r="416" spans="1:16" x14ac:dyDescent="0.25">
      <c r="A416" vm="5899">
        <f ca="1"/>
        <v>45525</v>
      </c>
      <c r="B416" vm="5900">
        <f ca="1"/>
        <v>585.94000000000005</v>
      </c>
      <c r="C416" vm="5901">
        <f ca="1"/>
        <v>413.08</v>
      </c>
      <c r="D416" vm="5902">
        <f ca="1"/>
        <v>69.569999999999993</v>
      </c>
      <c r="E416" vm="5903">
        <f ca="1"/>
        <v>234.38</v>
      </c>
      <c r="F416" vm="5904">
        <f ca="1"/>
        <v>170.16</v>
      </c>
      <c r="G416" vm="5905">
        <f ca="1"/>
        <v>35.44</v>
      </c>
      <c r="H416" vm="5906">
        <f ca="1"/>
        <v>171.44</v>
      </c>
      <c r="I416" vm="3334">
        <f ca="1"/>
        <v>33.79</v>
      </c>
      <c r="J416" vm="3108">
        <f ca="1"/>
        <v>29.24</v>
      </c>
      <c r="K416" vm="5907">
        <f ca="1"/>
        <v>535.16</v>
      </c>
      <c r="L416" vm="5908">
        <f ca="1"/>
        <v>269.36</v>
      </c>
      <c r="M416" vm="5909">
        <f ca="1"/>
        <v>244.74</v>
      </c>
      <c r="N416" vm="5910">
        <f ca="1"/>
        <v>553.76</v>
      </c>
      <c r="O416" vm="5911">
        <f ca="1"/>
        <v>165.85</v>
      </c>
      <c r="P416" vm="5912">
        <f ca="1"/>
        <v>424.14</v>
      </c>
    </row>
    <row r="417" spans="1:16" x14ac:dyDescent="0.25">
      <c r="A417" vm="5913">
        <f ca="1"/>
        <v>45526</v>
      </c>
      <c r="B417" vm="5914">
        <f ca="1"/>
        <v>587.29999999999995</v>
      </c>
      <c r="C417" vm="5915">
        <f ca="1"/>
        <v>410.86</v>
      </c>
      <c r="D417" vm="5728">
        <f ca="1"/>
        <v>69.33</v>
      </c>
      <c r="E417" vm="5916">
        <f ca="1"/>
        <v>234.14</v>
      </c>
      <c r="F417" vm="5917">
        <f ca="1"/>
        <v>170.15</v>
      </c>
      <c r="G417" vm="3453">
        <f ca="1"/>
        <v>35.520000000000003</v>
      </c>
      <c r="H417" vm="5918">
        <f ca="1"/>
        <v>166.44</v>
      </c>
      <c r="I417" vm="5919">
        <f ca="1"/>
        <v>33.229999999999997</v>
      </c>
      <c r="J417" vm="5920">
        <f ca="1"/>
        <v>29.03</v>
      </c>
      <c r="K417" vm="5921">
        <f ca="1"/>
        <v>531.92999999999995</v>
      </c>
      <c r="L417" vm="5922">
        <f ca="1"/>
        <v>267.8</v>
      </c>
      <c r="M417" vm="5923">
        <f ca="1"/>
        <v>243.7</v>
      </c>
      <c r="N417" vm="5924">
        <f ca="1"/>
        <v>557.03</v>
      </c>
      <c r="O417" vm="5925">
        <f ca="1"/>
        <v>163.80000000000001</v>
      </c>
      <c r="P417" vm="5926">
        <f ca="1"/>
        <v>415.55</v>
      </c>
    </row>
    <row r="418" spans="1:16" x14ac:dyDescent="0.25">
      <c r="A418" vm="5927">
        <f ca="1"/>
        <v>45527</v>
      </c>
      <c r="B418" vm="5928">
        <f ca="1"/>
        <v>593.82000000000005</v>
      </c>
      <c r="C418" vm="5929">
        <f ca="1"/>
        <v>422.76</v>
      </c>
      <c r="D418" vm="5930">
        <f ca="1"/>
        <v>69.790000000000006</v>
      </c>
      <c r="E418" vm="5931">
        <f ca="1"/>
        <v>236.01</v>
      </c>
      <c r="F418" vm="5932">
        <f ca="1"/>
        <v>169.17</v>
      </c>
      <c r="G418" vm="1841">
        <f ca="1"/>
        <v>35.909999999999997</v>
      </c>
      <c r="H418" vm="5933">
        <f ca="1"/>
        <v>171.28</v>
      </c>
      <c r="I418" vm="5934">
        <f ca="1"/>
        <v>33.69</v>
      </c>
      <c r="J418" vm="2654">
        <f ca="1"/>
        <v>30.5</v>
      </c>
      <c r="K418" vm="4334">
        <f ca="1"/>
        <v>528</v>
      </c>
      <c r="L418" vm="5935">
        <f ca="1"/>
        <v>273.17</v>
      </c>
      <c r="M418" vm="5936">
        <f ca="1"/>
        <v>245.18</v>
      </c>
      <c r="N418" vm="5937">
        <f ca="1"/>
        <v>555.01</v>
      </c>
      <c r="O418" vm="5938">
        <f ca="1"/>
        <v>165.62</v>
      </c>
      <c r="P418" vm="5939">
        <f ca="1"/>
        <v>416.79</v>
      </c>
    </row>
    <row r="419" spans="1:16" x14ac:dyDescent="0.25">
      <c r="A419" vm="5940">
        <f ca="1"/>
        <v>45530</v>
      </c>
      <c r="B419" vm="5941">
        <f ca="1"/>
        <v>591.25</v>
      </c>
      <c r="C419" vm="5942">
        <f ca="1"/>
        <v>419.25</v>
      </c>
      <c r="D419" vm="5943">
        <f ca="1"/>
        <v>70.84</v>
      </c>
      <c r="E419" vm="3640">
        <f ca="1"/>
        <v>235.07</v>
      </c>
      <c r="F419" vm="5944">
        <f ca="1"/>
        <v>170.35</v>
      </c>
      <c r="G419" vm="5945">
        <f ca="1"/>
        <v>35.93</v>
      </c>
      <c r="H419" vm="5946">
        <f ca="1"/>
        <v>169.07</v>
      </c>
      <c r="I419" vm="2522">
        <f ca="1"/>
        <v>33.67</v>
      </c>
      <c r="J419" vm="5947">
        <f ca="1"/>
        <v>30.24</v>
      </c>
      <c r="K419" vm="5948">
        <f ca="1"/>
        <v>521.12</v>
      </c>
      <c r="L419" vm="5949">
        <f ca="1"/>
        <v>271.01</v>
      </c>
      <c r="M419" vm="5950">
        <f ca="1"/>
        <v>243.11</v>
      </c>
      <c r="N419" vm="5951">
        <f ca="1"/>
        <v>558.1</v>
      </c>
      <c r="O419" vm="5952">
        <f ca="1"/>
        <v>166.16</v>
      </c>
      <c r="P419" vm="5953">
        <f ca="1"/>
        <v>413.49</v>
      </c>
    </row>
    <row r="420" spans="1:16" x14ac:dyDescent="0.25">
      <c r="A420" vm="5954">
        <f ca="1"/>
        <v>45531</v>
      </c>
      <c r="B420" vm="5955">
        <f ca="1"/>
        <v>590.09</v>
      </c>
      <c r="C420" vm="5956">
        <f ca="1"/>
        <v>416.41</v>
      </c>
      <c r="D420" vm="5957">
        <f ca="1"/>
        <v>71.5</v>
      </c>
      <c r="E420" vm="5958">
        <f ca="1"/>
        <v>236.43</v>
      </c>
      <c r="F420" vm="5959">
        <f ca="1"/>
        <v>169.25</v>
      </c>
      <c r="G420" vm="4912">
        <f ca="1"/>
        <v>35.74</v>
      </c>
      <c r="H420" vm="5960">
        <f ca="1"/>
        <v>170.55</v>
      </c>
      <c r="I420" vm="3278">
        <f ca="1"/>
        <v>33.58</v>
      </c>
      <c r="J420" vm="5961">
        <f ca="1"/>
        <v>30.32</v>
      </c>
      <c r="K420" vm="5962">
        <f ca="1"/>
        <v>519.1</v>
      </c>
      <c r="L420" vm="5963">
        <f ca="1"/>
        <v>270.36</v>
      </c>
      <c r="M420" vm="5964">
        <f ca="1"/>
        <v>239.98</v>
      </c>
      <c r="N420" vm="5965">
        <f ca="1"/>
        <v>560.41</v>
      </c>
      <c r="O420" vm="5966">
        <f ca="1"/>
        <v>164.68</v>
      </c>
      <c r="P420" vm="5967">
        <f ca="1"/>
        <v>413.84</v>
      </c>
    </row>
    <row r="421" spans="1:16" x14ac:dyDescent="0.25">
      <c r="A421" vm="5968">
        <f ca="1"/>
        <v>45532</v>
      </c>
      <c r="B421" vm="5969">
        <f ca="1"/>
        <v>588.01</v>
      </c>
      <c r="C421" vm="5970">
        <f ca="1"/>
        <v>416.45</v>
      </c>
      <c r="D421" vm="5971">
        <f ca="1"/>
        <v>71.75</v>
      </c>
      <c r="E421" vm="5972">
        <f ca="1"/>
        <v>237.07</v>
      </c>
      <c r="F421" vm="5973">
        <f ca="1"/>
        <v>169.06</v>
      </c>
      <c r="G421" vm="3973">
        <f ca="1"/>
        <v>35.39</v>
      </c>
      <c r="H421" vm="5974">
        <f ca="1"/>
        <v>169.2</v>
      </c>
      <c r="I421" vm="2037">
        <f ca="1"/>
        <v>33.72</v>
      </c>
      <c r="J421" vm="3041">
        <f ca="1"/>
        <v>30.76</v>
      </c>
      <c r="K421" vm="5975">
        <f ca="1"/>
        <v>516.78</v>
      </c>
      <c r="L421" vm="5976">
        <f ca="1"/>
        <v>267.5</v>
      </c>
      <c r="M421" vm="5977">
        <f ca="1"/>
        <v>240.37</v>
      </c>
      <c r="N421" vm="5978">
        <f ca="1"/>
        <v>563.98</v>
      </c>
      <c r="O421" vm="5979">
        <f ca="1"/>
        <v>162.85</v>
      </c>
      <c r="P421" vm="5980">
        <f ca="1"/>
        <v>410.6</v>
      </c>
    </row>
    <row r="422" spans="1:16" x14ac:dyDescent="0.25">
      <c r="A422" vm="5981">
        <f ca="1"/>
        <v>45533</v>
      </c>
      <c r="B422" vm="5982">
        <f ca="1"/>
        <v>591.22</v>
      </c>
      <c r="C422" vm="5983">
        <f ca="1"/>
        <v>413.51</v>
      </c>
      <c r="D422" vm="5984">
        <f ca="1"/>
        <v>72.05</v>
      </c>
      <c r="E422" vm="5985">
        <f ca="1"/>
        <v>237.71</v>
      </c>
      <c r="F422" vm="5986">
        <f ca="1"/>
        <v>170.03</v>
      </c>
      <c r="G422" vm="5987">
        <f ca="1"/>
        <v>35.26</v>
      </c>
      <c r="H422" vm="5988">
        <f ca="1"/>
        <v>169.15</v>
      </c>
      <c r="I422" vm="2711">
        <f ca="1"/>
        <v>33.94</v>
      </c>
      <c r="J422" vm="1261">
        <f ca="1"/>
        <v>30.39</v>
      </c>
      <c r="K422" vm="5989">
        <f ca="1"/>
        <v>518.22</v>
      </c>
      <c r="L422" vm="1728">
        <f ca="1"/>
        <v>271.05</v>
      </c>
      <c r="M422" vm="5990">
        <f ca="1"/>
        <v>237.97</v>
      </c>
      <c r="N422" vm="5991">
        <f ca="1"/>
        <v>566.85</v>
      </c>
      <c r="O422" vm="5992">
        <f ca="1"/>
        <v>161.78</v>
      </c>
      <c r="P422" vm="5993">
        <f ca="1"/>
        <v>413.12</v>
      </c>
    </row>
    <row r="423" spans="1:16" x14ac:dyDescent="0.25">
      <c r="A423" vm="5994">
        <f ca="1"/>
        <v>45534</v>
      </c>
      <c r="B423" vm="5995">
        <f ca="1"/>
        <v>600.20000000000005</v>
      </c>
      <c r="C423" vm="5996">
        <f ca="1"/>
        <v>423.8</v>
      </c>
      <c r="D423" vm="5997">
        <f ca="1"/>
        <v>72.47</v>
      </c>
      <c r="E423" vm="5998">
        <f ca="1"/>
        <v>241.1</v>
      </c>
      <c r="F423" vm="5708">
        <f ca="1"/>
        <v>171.54</v>
      </c>
      <c r="G423" vm="4687">
        <f ca="1"/>
        <v>35.43</v>
      </c>
      <c r="H423" vm="5999">
        <f ca="1"/>
        <v>171.7</v>
      </c>
      <c r="I423" vm="6000">
        <f ca="1"/>
        <v>34.270000000000003</v>
      </c>
      <c r="J423" vm="5947">
        <f ca="1"/>
        <v>30.24</v>
      </c>
      <c r="K423" vm="6001">
        <f ca="1"/>
        <v>521.30999999999995</v>
      </c>
      <c r="L423" vm="6002">
        <f ca="1"/>
        <v>275.13</v>
      </c>
      <c r="M423" vm="6003">
        <f ca="1"/>
        <v>240.71</v>
      </c>
      <c r="N423" vm="6004">
        <f ca="1"/>
        <v>568.1</v>
      </c>
      <c r="O423" vm="6005">
        <f ca="1"/>
        <v>163.38</v>
      </c>
      <c r="P423" vm="6006">
        <f ca="1"/>
        <v>417.14</v>
      </c>
    </row>
    <row r="424" spans="1:16" x14ac:dyDescent="0.25">
      <c r="A424" vm="6007">
        <f ca="1"/>
        <v>45538</v>
      </c>
      <c r="B424" vm="6008">
        <f ca="1"/>
        <v>575.35</v>
      </c>
      <c r="C424" vm="6009">
        <f ca="1"/>
        <v>403.4</v>
      </c>
      <c r="D424" vm="6010">
        <f ca="1"/>
        <v>73.010000000000005</v>
      </c>
      <c r="E424" vm="6011">
        <f ca="1"/>
        <v>243.15</v>
      </c>
      <c r="F424" vm="6012">
        <f ca="1"/>
        <v>174.52</v>
      </c>
      <c r="G424" vm="3987">
        <f ca="1"/>
        <v>35.590000000000003</v>
      </c>
      <c r="H424" vm="6013">
        <f ca="1"/>
        <v>160.49</v>
      </c>
      <c r="I424" vm="3620">
        <f ca="1"/>
        <v>34.58</v>
      </c>
      <c r="J424" vm="5581">
        <f ca="1"/>
        <v>28.62</v>
      </c>
      <c r="K424" vm="6014">
        <f ca="1"/>
        <v>511.76</v>
      </c>
      <c r="L424" vm="6015">
        <f ca="1"/>
        <v>257.60000000000002</v>
      </c>
      <c r="M424" vm="1892">
        <f ca="1"/>
        <v>246.78</v>
      </c>
      <c r="N424" vm="6016">
        <f ca="1"/>
        <v>567.22</v>
      </c>
      <c r="O424" vm="6017">
        <f ca="1"/>
        <v>157.36000000000001</v>
      </c>
      <c r="P424" vm="6018">
        <f ca="1"/>
        <v>409.44</v>
      </c>
    </row>
    <row r="425" spans="1:16" x14ac:dyDescent="0.25">
      <c r="A425" vm="6019">
        <f ca="1"/>
        <v>45539</v>
      </c>
      <c r="B425" vm="6020">
        <f ca="1"/>
        <v>576.95000000000005</v>
      </c>
      <c r="C425" vm="6021">
        <f ca="1"/>
        <v>402.34</v>
      </c>
      <c r="D425" vm="6022">
        <f ca="1"/>
        <v>72.56</v>
      </c>
      <c r="E425" vm="6023">
        <f ca="1"/>
        <v>240.41</v>
      </c>
      <c r="F425" vm="5133">
        <f ca="1"/>
        <v>175.9</v>
      </c>
      <c r="G425" vm="1813">
        <f ca="1"/>
        <v>36.07</v>
      </c>
      <c r="H425" vm="6024">
        <f ca="1"/>
        <v>160.87</v>
      </c>
      <c r="I425" vm="3848">
        <f ca="1"/>
        <v>34.86</v>
      </c>
      <c r="J425" vm="6025">
        <f ca="1"/>
        <v>28.8</v>
      </c>
      <c r="K425" vm="6026">
        <f ca="1"/>
        <v>512.74</v>
      </c>
      <c r="L425" vm="6027">
        <f ca="1"/>
        <v>255.67</v>
      </c>
      <c r="M425" vm="6028">
        <f ca="1"/>
        <v>246.61</v>
      </c>
      <c r="N425" vm="6029">
        <f ca="1"/>
        <v>574.78</v>
      </c>
      <c r="O425" vm="6030">
        <f ca="1"/>
        <v>156.44999999999999</v>
      </c>
      <c r="P425" vm="6031">
        <f ca="1"/>
        <v>408.9</v>
      </c>
    </row>
    <row r="426" spans="1:16" x14ac:dyDescent="0.25">
      <c r="A426" vm="6032">
        <f ca="1"/>
        <v>45540</v>
      </c>
      <c r="B426" vm="6033">
        <f ca="1"/>
        <v>575.20000000000005</v>
      </c>
      <c r="C426" vm="6034">
        <f ca="1"/>
        <v>402.28</v>
      </c>
      <c r="D426" vm="6035">
        <f ca="1"/>
        <v>71.17</v>
      </c>
      <c r="E426" vm="6036">
        <f ca="1"/>
        <v>239.05</v>
      </c>
      <c r="F426" vm="6037">
        <f ca="1"/>
        <v>175.47</v>
      </c>
      <c r="G426" vm="4144">
        <f ca="1"/>
        <v>36.130000000000003</v>
      </c>
      <c r="H426" vm="6038">
        <f ca="1"/>
        <v>163.69999999999999</v>
      </c>
      <c r="I426" vm="2722">
        <f ca="1"/>
        <v>34.020000000000003</v>
      </c>
      <c r="J426" vm="6039">
        <f ca="1"/>
        <v>28.12</v>
      </c>
      <c r="K426" vm="6040">
        <f ca="1"/>
        <v>516.86</v>
      </c>
      <c r="L426" vm="6041">
        <f ca="1"/>
        <v>251.39</v>
      </c>
      <c r="M426" vm="6042">
        <f ca="1"/>
        <v>248.29</v>
      </c>
      <c r="N426" vm="6043">
        <f ca="1"/>
        <v>568.59</v>
      </c>
      <c r="O426" vm="4672">
        <f ca="1"/>
        <v>157.24</v>
      </c>
      <c r="P426" vm="6044">
        <f ca="1"/>
        <v>408.39</v>
      </c>
    </row>
    <row r="427" spans="1:16" x14ac:dyDescent="0.25">
      <c r="A427" vm="6045">
        <f ca="1"/>
        <v>45541</v>
      </c>
      <c r="B427" vm="6046">
        <f ca="1"/>
        <v>571.30999999999995</v>
      </c>
      <c r="C427" vm="6047">
        <f ca="1"/>
        <v>402.11</v>
      </c>
      <c r="D427" vm="6048">
        <f ca="1"/>
        <v>71.14</v>
      </c>
      <c r="E427" vm="6049">
        <f ca="1"/>
        <v>239.82</v>
      </c>
      <c r="F427" vm="6050">
        <f ca="1"/>
        <v>175.59</v>
      </c>
      <c r="G427" vm="3481">
        <f ca="1"/>
        <v>35.840000000000003</v>
      </c>
      <c r="H427" vm="6051">
        <f ca="1"/>
        <v>156.82</v>
      </c>
      <c r="I427" vm="6052">
        <f ca="1"/>
        <v>33.369999999999997</v>
      </c>
      <c r="J427" vm="6053">
        <f ca="1"/>
        <v>27.69</v>
      </c>
      <c r="K427" vm="6054">
        <f ca="1"/>
        <v>500.27</v>
      </c>
      <c r="L427" vm="6055">
        <f ca="1"/>
        <v>247.92</v>
      </c>
      <c r="M427" vm="6056">
        <f ca="1"/>
        <v>249.01</v>
      </c>
      <c r="N427" vm="6057">
        <f ca="1"/>
        <v>566.63</v>
      </c>
      <c r="O427" vm="6058">
        <f ca="1"/>
        <v>150.91999999999999</v>
      </c>
      <c r="P427" vm="6059">
        <f ca="1"/>
        <v>401.7</v>
      </c>
    </row>
    <row r="428" spans="1:16" x14ac:dyDescent="0.25">
      <c r="A428" vm="6060">
        <f ca="1"/>
        <v>45544</v>
      </c>
      <c r="B428" vm="6061">
        <f ca="1"/>
        <v>580.20000000000005</v>
      </c>
      <c r="C428" vm="6062">
        <f ca="1"/>
        <v>395.08</v>
      </c>
      <c r="D428" vm="6063">
        <f ca="1"/>
        <v>71.849999999999994</v>
      </c>
      <c r="E428" vm="6064">
        <f ca="1"/>
        <v>245.5</v>
      </c>
      <c r="F428" vm="5040">
        <f ca="1"/>
        <v>176.06</v>
      </c>
      <c r="G428" vm="4245">
        <f ca="1"/>
        <v>36.049999999999997</v>
      </c>
      <c r="H428" vm="4864">
        <f ca="1"/>
        <v>162.78</v>
      </c>
      <c r="I428" vm="2370">
        <f ca="1"/>
        <v>33.76</v>
      </c>
      <c r="J428" vm="6065">
        <f ca="1"/>
        <v>27.47</v>
      </c>
      <c r="K428" vm="6066">
        <f ca="1"/>
        <v>504.79</v>
      </c>
      <c r="L428" vm="6067">
        <f ca="1"/>
        <v>250.06</v>
      </c>
      <c r="M428" vm="6068">
        <f ca="1"/>
        <v>250.89</v>
      </c>
      <c r="N428" vm="6069">
        <f ca="1"/>
        <v>576.57000000000005</v>
      </c>
      <c r="O428" vm="6070">
        <f ca="1"/>
        <v>148.71</v>
      </c>
      <c r="P428" vm="6071">
        <f ca="1"/>
        <v>405.72</v>
      </c>
    </row>
    <row r="429" spans="1:16" x14ac:dyDescent="0.25">
      <c r="A429" vm="6072">
        <f ca="1"/>
        <v>45545</v>
      </c>
      <c r="B429" vm="6073">
        <f ca="1"/>
        <v>581.1</v>
      </c>
      <c r="C429" vm="6074">
        <f ca="1"/>
        <v>396.84</v>
      </c>
      <c r="D429" vm="6075">
        <f ca="1"/>
        <v>71.55</v>
      </c>
      <c r="E429" vm="6076">
        <f ca="1"/>
        <v>247.17</v>
      </c>
      <c r="F429" vm="5271">
        <f ca="1"/>
        <v>177.79</v>
      </c>
      <c r="G429" vm="3453">
        <f ca="1"/>
        <v>35.520000000000003</v>
      </c>
      <c r="H429" vm="731">
        <f ca="1"/>
        <v>162.43</v>
      </c>
      <c r="I429" vm="3166">
        <f ca="1"/>
        <v>33.51</v>
      </c>
      <c r="J429" vm="5801">
        <f ca="1"/>
        <v>28.05</v>
      </c>
      <c r="K429" vm="6066">
        <f ca="1"/>
        <v>504.79</v>
      </c>
      <c r="L429" vm="5199">
        <f ca="1"/>
        <v>250.03</v>
      </c>
      <c r="M429" vm="6077">
        <f ca="1"/>
        <v>249.49</v>
      </c>
      <c r="N429" vm="6078">
        <f ca="1"/>
        <v>572.19000000000005</v>
      </c>
      <c r="O429" vm="6079">
        <f ca="1"/>
        <v>148.66</v>
      </c>
      <c r="P429" vm="6080">
        <f ca="1"/>
        <v>414.2</v>
      </c>
    </row>
    <row r="430" spans="1:16" x14ac:dyDescent="0.25">
      <c r="A430" vm="6081">
        <f ca="1"/>
        <v>45546</v>
      </c>
      <c r="B430" vm="6082">
        <f ca="1"/>
        <v>584.4</v>
      </c>
      <c r="C430" vm="6083">
        <f ca="1"/>
        <v>399.85</v>
      </c>
      <c r="D430" vm="6084">
        <f ca="1"/>
        <v>71.08</v>
      </c>
      <c r="E430" vm="4381">
        <f ca="1"/>
        <v>242.06</v>
      </c>
      <c r="F430" vm="6085">
        <f ca="1"/>
        <v>173.92</v>
      </c>
      <c r="G430" vm="6086">
        <f ca="1"/>
        <v>35.159999999999997</v>
      </c>
      <c r="H430" vm="6087">
        <f ca="1"/>
        <v>170.23</v>
      </c>
      <c r="I430" vm="1977">
        <f ca="1"/>
        <v>33.299999999999997</v>
      </c>
      <c r="J430" vm="6088">
        <f ca="1"/>
        <v>28.03</v>
      </c>
      <c r="K430" vm="6089">
        <f ca="1"/>
        <v>511.83</v>
      </c>
      <c r="L430" vm="6090">
        <f ca="1"/>
        <v>263.08999999999997</v>
      </c>
      <c r="M430" vm="6091">
        <f ca="1"/>
        <v>248.79</v>
      </c>
      <c r="N430" vm="6092">
        <f ca="1"/>
        <v>566.96</v>
      </c>
      <c r="O430" vm="6093">
        <f ca="1"/>
        <v>151.16</v>
      </c>
      <c r="P430" vm="6094">
        <f ca="1"/>
        <v>423.04</v>
      </c>
    </row>
    <row r="431" spans="1:16" x14ac:dyDescent="0.25">
      <c r="A431" vm="6095">
        <f ca="1"/>
        <v>45547</v>
      </c>
      <c r="B431" vm="6096">
        <f ca="1"/>
        <v>587.54999999999995</v>
      </c>
      <c r="C431" vm="6097">
        <f ca="1"/>
        <v>403.89</v>
      </c>
      <c r="D431" vm="6098">
        <f ca="1"/>
        <v>71.23</v>
      </c>
      <c r="E431" vm="6099">
        <f ca="1"/>
        <v>246.48</v>
      </c>
      <c r="F431" vm="6100">
        <f ca="1"/>
        <v>173.47</v>
      </c>
      <c r="G431" vm="5745">
        <f ca="1"/>
        <v>35.200000000000003</v>
      </c>
      <c r="H431" vm="1399">
        <f ca="1"/>
        <v>171.43</v>
      </c>
      <c r="I431" vm="2681">
        <f ca="1"/>
        <v>33.450000000000003</v>
      </c>
      <c r="J431" vm="6101">
        <f ca="1"/>
        <v>28.07</v>
      </c>
      <c r="K431" vm="6102">
        <f ca="1"/>
        <v>525.6</v>
      </c>
      <c r="L431" vm="4494">
        <f ca="1"/>
        <v>268.5</v>
      </c>
      <c r="M431" vm="6103">
        <f ca="1"/>
        <v>251.71</v>
      </c>
      <c r="N431" vm="6104">
        <f ca="1"/>
        <v>568.27</v>
      </c>
      <c r="O431" vm="6105">
        <f ca="1"/>
        <v>154.69</v>
      </c>
      <c r="P431" vm="4106">
        <f ca="1"/>
        <v>427</v>
      </c>
    </row>
    <row r="432" spans="1:16" x14ac:dyDescent="0.25">
      <c r="A432" vm="6106">
        <f ca="1"/>
        <v>45548</v>
      </c>
      <c r="B432" vm="6107">
        <f ca="1"/>
        <v>591.33000000000004</v>
      </c>
      <c r="C432" vm="6108">
        <f ca="1"/>
        <v>411.3</v>
      </c>
      <c r="D432" vm="6109">
        <f ca="1"/>
        <v>71.41</v>
      </c>
      <c r="E432" vm="6110">
        <f ca="1"/>
        <v>244.83</v>
      </c>
      <c r="F432" vm="6111">
        <f ca="1"/>
        <v>174.08</v>
      </c>
      <c r="G432" vm="3987">
        <f ca="1"/>
        <v>35.590000000000003</v>
      </c>
      <c r="H432" vm="5161">
        <f ca="1"/>
        <v>172.5</v>
      </c>
      <c r="I432" vm="2470">
        <f ca="1"/>
        <v>33.520000000000003</v>
      </c>
      <c r="J432" vm="6112">
        <f ca="1"/>
        <v>28.73</v>
      </c>
      <c r="K432" vm="6113">
        <f ca="1"/>
        <v>524.62</v>
      </c>
      <c r="L432" vm="6114">
        <f ca="1"/>
        <v>269.54000000000002</v>
      </c>
      <c r="M432" vm="6115">
        <f ca="1"/>
        <v>252.57</v>
      </c>
      <c r="N432" vm="6116">
        <f ca="1"/>
        <v>569.91</v>
      </c>
      <c r="O432" vm="6117">
        <f ca="1"/>
        <v>157.46</v>
      </c>
      <c r="P432" vm="6118">
        <f ca="1"/>
        <v>430.59</v>
      </c>
    </row>
    <row r="433" spans="1:16" x14ac:dyDescent="0.25">
      <c r="A433" vm="6119">
        <f ca="1"/>
        <v>45551</v>
      </c>
      <c r="B433" vm="6120">
        <f ca="1"/>
        <v>596.78</v>
      </c>
      <c r="C433" vm="5150">
        <f ca="1"/>
        <v>418.29</v>
      </c>
      <c r="D433" vm="6121">
        <f ca="1"/>
        <v>72.099999999999994</v>
      </c>
      <c r="E433" vm="6122">
        <f ca="1"/>
        <v>243.73</v>
      </c>
      <c r="F433" vm="5307">
        <f ca="1"/>
        <v>177.24</v>
      </c>
      <c r="G433" vm="2005">
        <f ca="1"/>
        <v>35.630000000000003</v>
      </c>
      <c r="H433" vm="6123">
        <f ca="1"/>
        <v>169.08</v>
      </c>
      <c r="I433" vm="3306">
        <f ca="1"/>
        <v>33.81</v>
      </c>
      <c r="J433" vm="6124">
        <f ca="1"/>
        <v>28.85</v>
      </c>
      <c r="K433" vm="6125">
        <f ca="1"/>
        <v>533.28</v>
      </c>
      <c r="L433" vm="6126">
        <f ca="1"/>
        <v>271.54000000000002</v>
      </c>
      <c r="M433" vm="2577">
        <f ca="1"/>
        <v>253.65</v>
      </c>
      <c r="N433" vm="6127">
        <f ca="1"/>
        <v>572.91999999999996</v>
      </c>
      <c r="O433" vm="6128">
        <f ca="1"/>
        <v>158.06</v>
      </c>
      <c r="P433" vm="6129">
        <f ca="1"/>
        <v>431.34</v>
      </c>
    </row>
    <row r="434" spans="1:16" x14ac:dyDescent="0.25">
      <c r="A434" vm="6130">
        <f ca="1"/>
        <v>45552</v>
      </c>
      <c r="B434" vm="6131">
        <f ca="1"/>
        <v>605.16999999999996</v>
      </c>
      <c r="C434" vm="6132">
        <f ca="1"/>
        <v>420.3</v>
      </c>
      <c r="D434" vm="6133">
        <f ca="1"/>
        <v>71.8</v>
      </c>
      <c r="E434" vm="3184">
        <f ca="1"/>
        <v>241.68</v>
      </c>
      <c r="F434" vm="6134">
        <f ca="1"/>
        <v>175.88</v>
      </c>
      <c r="G434" vm="4324">
        <f ca="1"/>
        <v>35.04</v>
      </c>
      <c r="H434" vm="5235">
        <f ca="1"/>
        <v>167.35</v>
      </c>
      <c r="I434" vm="6135">
        <f ca="1"/>
        <v>34.07</v>
      </c>
      <c r="J434" vm="941">
        <f ca="1"/>
        <v>29.11</v>
      </c>
      <c r="K434" vm="6136">
        <f ca="1"/>
        <v>536.31500000000005</v>
      </c>
      <c r="L434" vm="6137">
        <f ca="1"/>
        <v>273.92</v>
      </c>
      <c r="M434" vm="6138">
        <f ca="1"/>
        <v>252.86</v>
      </c>
      <c r="N434" vm="6139">
        <f ca="1"/>
        <v>567.01</v>
      </c>
      <c r="O434" vm="4337">
        <f ca="1"/>
        <v>159.32</v>
      </c>
      <c r="P434" vm="6140">
        <f ca="1"/>
        <v>435.15</v>
      </c>
    </row>
    <row r="435" spans="1:16" x14ac:dyDescent="0.25">
      <c r="A435" vm="6141">
        <f ca="1"/>
        <v>45553</v>
      </c>
      <c r="B435" vm="6142">
        <f ca="1"/>
        <v>609.03</v>
      </c>
      <c r="C435" vm="6143">
        <f ca="1"/>
        <v>425.29</v>
      </c>
      <c r="D435" vm="5971">
        <f ca="1"/>
        <v>71.75</v>
      </c>
      <c r="E435" vm="6144">
        <f ca="1"/>
        <v>238.38</v>
      </c>
      <c r="F435" vm="6085">
        <f ca="1"/>
        <v>173.92</v>
      </c>
      <c r="G435" vm="4714">
        <f ca="1"/>
        <v>35.14</v>
      </c>
      <c r="H435" vm="5654">
        <f ca="1"/>
        <v>167.28</v>
      </c>
      <c r="I435" vm="6145">
        <f ca="1"/>
        <v>34.049999999999997</v>
      </c>
      <c r="J435" vm="6146">
        <f ca="1"/>
        <v>28.63</v>
      </c>
      <c r="K435" vm="6147">
        <f ca="1"/>
        <v>537.95000000000005</v>
      </c>
      <c r="L435" vm="6148">
        <f ca="1"/>
        <v>272.06</v>
      </c>
      <c r="M435" vm="1949">
        <f ca="1"/>
        <v>251</v>
      </c>
      <c r="N435" vm="6149">
        <f ca="1"/>
        <v>565.49</v>
      </c>
      <c r="O435" vm="6150">
        <f ca="1"/>
        <v>159.81</v>
      </c>
      <c r="P435" vm="6151">
        <f ca="1"/>
        <v>430.81</v>
      </c>
    </row>
    <row r="436" spans="1:16" x14ac:dyDescent="0.25">
      <c r="A436" vm="6152">
        <f ca="1"/>
        <v>45554</v>
      </c>
      <c r="B436" vm="6153">
        <f ca="1"/>
        <v>626.04999999999995</v>
      </c>
      <c r="C436" vm="6154">
        <f ca="1"/>
        <v>438.55</v>
      </c>
      <c r="D436" vm="6155">
        <f ca="1"/>
        <v>70.62</v>
      </c>
      <c r="E436" vm="6156">
        <f ca="1"/>
        <v>239.46</v>
      </c>
      <c r="F436" vm="5708">
        <f ca="1"/>
        <v>171.54</v>
      </c>
      <c r="G436" vm="6157">
        <f ca="1"/>
        <v>34.99</v>
      </c>
      <c r="H436" vm="6158">
        <f ca="1"/>
        <v>176.22</v>
      </c>
      <c r="I436" vm="6159">
        <f ca="1"/>
        <v>34.799999999999997</v>
      </c>
      <c r="J436" vm="6160">
        <f ca="1"/>
        <v>29.35</v>
      </c>
      <c r="K436" vm="6161">
        <f ca="1"/>
        <v>559.1</v>
      </c>
      <c r="L436" vm="6162">
        <f ca="1"/>
        <v>289.73</v>
      </c>
      <c r="M436" vm="6163">
        <f ca="1"/>
        <v>248.45</v>
      </c>
      <c r="N436" vm="6164">
        <f ca="1"/>
        <v>565.17999999999995</v>
      </c>
      <c r="O436" vm="6165">
        <f ca="1"/>
        <v>162.13999999999999</v>
      </c>
      <c r="P436" vm="6166">
        <f ca="1"/>
        <v>438.69</v>
      </c>
    </row>
    <row r="437" spans="1:16" x14ac:dyDescent="0.25">
      <c r="A437" vm="6167">
        <f ca="1"/>
        <v>45555</v>
      </c>
      <c r="B437" vm="6168">
        <f ca="1"/>
        <v>623.77</v>
      </c>
      <c r="C437" vm="6169">
        <f ca="1"/>
        <v>436.98</v>
      </c>
      <c r="D437" vm="6170">
        <f ca="1"/>
        <v>71.64</v>
      </c>
      <c r="E437" vm="6171">
        <f ca="1"/>
        <v>236.98</v>
      </c>
      <c r="F437" vm="6172">
        <f ca="1"/>
        <v>174.22</v>
      </c>
      <c r="G437" vm="6173">
        <f ca="1"/>
        <v>34.96</v>
      </c>
      <c r="H437" vm="6111">
        <f ca="1"/>
        <v>174.08</v>
      </c>
      <c r="I437" vm="6174">
        <f ca="1"/>
        <v>34.93</v>
      </c>
      <c r="J437" vm="6175">
        <f ca="1"/>
        <v>28.3</v>
      </c>
      <c r="K437" vm="4655">
        <f ca="1"/>
        <v>561.35</v>
      </c>
      <c r="L437" vm="6176">
        <f ca="1"/>
        <v>290.89</v>
      </c>
      <c r="M437" vm="5555">
        <f ca="1"/>
        <v>248.09</v>
      </c>
      <c r="N437" vm="6177">
        <f ca="1"/>
        <v>571.91999999999996</v>
      </c>
      <c r="O437" vm="6178">
        <f ca="1"/>
        <v>163.59</v>
      </c>
      <c r="P437" vm="6179">
        <f ca="1"/>
        <v>435.27</v>
      </c>
    </row>
    <row r="438" spans="1:16" x14ac:dyDescent="0.25">
      <c r="A438" vm="6180">
        <f ca="1"/>
        <v>45558</v>
      </c>
      <c r="B438" vm="6181">
        <f ca="1"/>
        <v>618.72</v>
      </c>
      <c r="C438" vm="6182">
        <f ca="1"/>
        <v>442.08</v>
      </c>
      <c r="D438" vm="6183">
        <f ca="1"/>
        <v>71.73</v>
      </c>
      <c r="E438" vm="6184">
        <f ca="1"/>
        <v>239.38</v>
      </c>
      <c r="F438" vm="6185">
        <f ca="1"/>
        <v>173.77</v>
      </c>
      <c r="G438" vm="3365">
        <f ca="1"/>
        <v>34.68</v>
      </c>
      <c r="H438" vm="6186">
        <f ca="1"/>
        <v>174.76</v>
      </c>
      <c r="I438" vm="2722">
        <f ca="1"/>
        <v>34.020000000000003</v>
      </c>
      <c r="J438" vm="6187">
        <f ca="1"/>
        <v>28.58</v>
      </c>
      <c r="K438" vm="6188">
        <f ca="1"/>
        <v>564.41</v>
      </c>
      <c r="L438" vm="6189">
        <f ca="1"/>
        <v>296.13</v>
      </c>
      <c r="M438" vm="6190">
        <f ca="1"/>
        <v>254.82</v>
      </c>
      <c r="N438" vm="6191">
        <f ca="1"/>
        <v>580.51</v>
      </c>
      <c r="O438" vm="6192">
        <f ca="1"/>
        <v>161.85</v>
      </c>
      <c r="P438" vm="6193">
        <f ca="1"/>
        <v>433.51</v>
      </c>
    </row>
    <row r="439" spans="1:16" x14ac:dyDescent="0.25">
      <c r="A439" vm="6194">
        <f ca="1"/>
        <v>45559</v>
      </c>
      <c r="B439" vm="6195">
        <f ca="1"/>
        <v>625.37</v>
      </c>
      <c r="C439" vm="6196">
        <f ca="1"/>
        <v>438.5</v>
      </c>
      <c r="D439" vm="6197">
        <f ca="1"/>
        <v>71.33</v>
      </c>
      <c r="E439" vm="31">
        <f ca="1"/>
        <v>238.24</v>
      </c>
      <c r="F439" vm="6198">
        <f ca="1"/>
        <v>173.24</v>
      </c>
      <c r="G439" vm="3823">
        <f ca="1"/>
        <v>34.700000000000003</v>
      </c>
      <c r="H439" vm="6199">
        <f ca="1"/>
        <v>181.97</v>
      </c>
      <c r="I439" vm="6200">
        <f ca="1"/>
        <v>34.14</v>
      </c>
      <c r="J439" vm="6201">
        <f ca="1"/>
        <v>28.79</v>
      </c>
      <c r="K439" vm="6202">
        <f ca="1"/>
        <v>563.33000000000004</v>
      </c>
      <c r="L439" vm="6203">
        <f ca="1"/>
        <v>298.24</v>
      </c>
      <c r="M439" vm="2011">
        <f ca="1"/>
        <v>252.47</v>
      </c>
      <c r="N439" vm="6204">
        <f ca="1"/>
        <v>578.63</v>
      </c>
      <c r="O439" vm="5820">
        <f ca="1"/>
        <v>162.29</v>
      </c>
      <c r="P439" vm="5134">
        <f ca="1"/>
        <v>429.17</v>
      </c>
    </row>
    <row r="440" spans="1:16" x14ac:dyDescent="0.25">
      <c r="A440" vm="6205">
        <f ca="1"/>
        <v>45560</v>
      </c>
      <c r="B440" vm="6206">
        <f ca="1"/>
        <v>621.82000000000005</v>
      </c>
      <c r="C440" vm="6207">
        <f ca="1"/>
        <v>438.13</v>
      </c>
      <c r="D440" vm="6208">
        <f ca="1"/>
        <v>71.45</v>
      </c>
      <c r="E440" vm="6209">
        <f ca="1"/>
        <v>236.41</v>
      </c>
      <c r="F440" vm="6210">
        <f ca="1"/>
        <v>172.26</v>
      </c>
      <c r="G440" vm="2315">
        <f ca="1"/>
        <v>34.520000000000003</v>
      </c>
      <c r="H440" vm="6211">
        <f ca="1"/>
        <v>182.35</v>
      </c>
      <c r="I440" vm="2470">
        <f ca="1"/>
        <v>33.520000000000003</v>
      </c>
      <c r="J440" vm="6212">
        <f ca="1"/>
        <v>29.13</v>
      </c>
      <c r="K440" vm="6213">
        <f ca="1"/>
        <v>568.30999999999995</v>
      </c>
      <c r="L440" vm="6214">
        <f ca="1"/>
        <v>297.94</v>
      </c>
      <c r="M440" vm="6215">
        <f ca="1"/>
        <v>251.9</v>
      </c>
      <c r="N440" vm="6216">
        <f ca="1"/>
        <v>577.94000000000005</v>
      </c>
      <c r="O440" vm="6217">
        <f ca="1"/>
        <v>161.49</v>
      </c>
      <c r="P440" vm="6218">
        <f ca="1"/>
        <v>432.11</v>
      </c>
    </row>
    <row r="441" spans="1:16" x14ac:dyDescent="0.25">
      <c r="A441" vm="6219">
        <f ca="1"/>
        <v>45561</v>
      </c>
      <c r="B441" vm="6220">
        <f ca="1"/>
        <v>635.4</v>
      </c>
      <c r="C441" vm="6221">
        <f ca="1"/>
        <v>444.31</v>
      </c>
      <c r="D441" vm="6222">
        <f ca="1"/>
        <v>71.400000000000006</v>
      </c>
      <c r="E441" vm="6223">
        <f ca="1"/>
        <v>236.75</v>
      </c>
      <c r="F441" vm="6224">
        <f ca="1"/>
        <v>173.21</v>
      </c>
      <c r="G441" vm="6159">
        <f ca="1"/>
        <v>34.799999999999997</v>
      </c>
      <c r="H441" vm="6225">
        <f ca="1"/>
        <v>186.83</v>
      </c>
      <c r="I441" vm="5564">
        <f ca="1"/>
        <v>33.9</v>
      </c>
      <c r="J441" vm="6226">
        <f ca="1"/>
        <v>29.75</v>
      </c>
      <c r="K441" vm="6227">
        <f ca="1"/>
        <v>567.84</v>
      </c>
      <c r="L441" vm="6228">
        <f ca="1"/>
        <v>296.36</v>
      </c>
      <c r="M441" vm="6229">
        <f ca="1"/>
        <v>255.05</v>
      </c>
      <c r="N441" vm="6230">
        <f ca="1"/>
        <v>577.4</v>
      </c>
      <c r="O441" vm="6231">
        <f ca="1"/>
        <v>162.72999999999999</v>
      </c>
      <c r="P441" vm="6232">
        <f ca="1"/>
        <v>431.31</v>
      </c>
    </row>
    <row r="442" spans="1:16" x14ac:dyDescent="0.25">
      <c r="A442" vm="6233">
        <f ca="1"/>
        <v>45562</v>
      </c>
      <c r="B442" vm="6234">
        <f ca="1"/>
        <v>632.77</v>
      </c>
      <c r="C442" vm="6235">
        <f ca="1"/>
        <v>444.59</v>
      </c>
      <c r="D442" vm="6236">
        <f ca="1"/>
        <v>71.790000000000006</v>
      </c>
      <c r="E442" vm="6036">
        <f ca="1"/>
        <v>239.05</v>
      </c>
      <c r="F442" vm="5096">
        <f ca="1"/>
        <v>173.55</v>
      </c>
      <c r="G442" vm="5154">
        <f ca="1"/>
        <v>35.369999999999997</v>
      </c>
      <c r="H442" vm="6237">
        <f ca="1"/>
        <v>177.97</v>
      </c>
      <c r="I442" vm="4420">
        <f ca="1"/>
        <v>34.53</v>
      </c>
      <c r="J442" vm="1111">
        <f ca="1"/>
        <v>30.42</v>
      </c>
      <c r="K442" vm="6238">
        <f ca="1"/>
        <v>567.36</v>
      </c>
      <c r="L442" vm="6239">
        <f ca="1"/>
        <v>296.74</v>
      </c>
      <c r="M442" vm="6240">
        <f ca="1"/>
        <v>258.39999999999998</v>
      </c>
      <c r="N442" vm="6241">
        <f ca="1"/>
        <v>582.36</v>
      </c>
      <c r="O442" vm="6242">
        <f ca="1"/>
        <v>163.95</v>
      </c>
      <c r="P442" vm="6243">
        <f ca="1"/>
        <v>428.02</v>
      </c>
    </row>
    <row r="443" spans="1:16" x14ac:dyDescent="0.25">
      <c r="A443" vm="6244">
        <f ca="1"/>
        <v>45565</v>
      </c>
      <c r="B443" vm="6245">
        <f ca="1"/>
        <v>631.82000000000005</v>
      </c>
      <c r="C443" vm="6246">
        <f ca="1"/>
        <v>449.75</v>
      </c>
      <c r="D443" vm="6247">
        <f ca="1"/>
        <v>71.86</v>
      </c>
      <c r="E443" vm="6248">
        <f ca="1"/>
        <v>242.54</v>
      </c>
      <c r="F443" vm="6249">
        <f ca="1"/>
        <v>173.2</v>
      </c>
      <c r="G443" vm="3437">
        <f ca="1"/>
        <v>35.11</v>
      </c>
      <c r="H443" vm="6250">
        <f ca="1"/>
        <v>173.67</v>
      </c>
      <c r="I443" vm="4420">
        <f ca="1"/>
        <v>34.53</v>
      </c>
      <c r="J443" vm="3250">
        <f ca="1"/>
        <v>30.7</v>
      </c>
      <c r="K443" vm="6251">
        <f ca="1"/>
        <v>572.44000000000005</v>
      </c>
      <c r="L443" vm="6252">
        <f ca="1"/>
        <v>298.14999999999998</v>
      </c>
      <c r="M443" vm="4382">
        <f ca="1"/>
        <v>257.69</v>
      </c>
      <c r="N443" vm="6253">
        <f ca="1"/>
        <v>584.55999999999995</v>
      </c>
      <c r="O443" vm="5911">
        <f ca="1"/>
        <v>165.85</v>
      </c>
      <c r="P443" vm="6254">
        <f ca="1"/>
        <v>430.3</v>
      </c>
    </row>
    <row r="444" spans="1:16" x14ac:dyDescent="0.25">
      <c r="A444" vm="6255">
        <f ca="1"/>
        <v>45566</v>
      </c>
      <c r="B444" vm="6256">
        <f ca="1"/>
        <v>630.14</v>
      </c>
      <c r="C444" vm="2514">
        <f ca="1"/>
        <v>448.4</v>
      </c>
      <c r="D444" vm="6257">
        <f ca="1"/>
        <v>71.709999999999994</v>
      </c>
      <c r="E444" vm="6258">
        <f ca="1"/>
        <v>235.78</v>
      </c>
      <c r="F444" vm="6259">
        <f ca="1"/>
        <v>173.04</v>
      </c>
      <c r="G444" vm="6260">
        <f ca="1"/>
        <v>35.17</v>
      </c>
      <c r="H444" vm="5382">
        <f ca="1"/>
        <v>172.07</v>
      </c>
      <c r="I444" vm="2315">
        <f ca="1"/>
        <v>34.520000000000003</v>
      </c>
      <c r="J444" vm="2386">
        <f ca="1"/>
        <v>30.19</v>
      </c>
      <c r="K444" vm="6261">
        <f ca="1"/>
        <v>576.47</v>
      </c>
      <c r="L444" vm="6262">
        <f ca="1"/>
        <v>296.05</v>
      </c>
      <c r="M444" vm="6263">
        <f ca="1"/>
        <v>257.68</v>
      </c>
      <c r="N444" vm="6264">
        <f ca="1"/>
        <v>605.86</v>
      </c>
      <c r="O444" vm="6265">
        <f ca="1"/>
        <v>166.99</v>
      </c>
      <c r="P444" vm="6266">
        <f ca="1"/>
        <v>420.69</v>
      </c>
    </row>
    <row r="445" spans="1:16" x14ac:dyDescent="0.25">
      <c r="A445" vm="6267">
        <f ca="1"/>
        <v>45567</v>
      </c>
      <c r="B445" vm="6268">
        <f ca="1"/>
        <v>627.5</v>
      </c>
      <c r="C445" vm="6269">
        <f ca="1"/>
        <v>445.36</v>
      </c>
      <c r="D445" vm="6270">
        <f ca="1"/>
        <v>71.010000000000005</v>
      </c>
      <c r="E445" vm="6271">
        <f ca="1"/>
        <v>234.73</v>
      </c>
      <c r="F445" vm="6272">
        <f ca="1"/>
        <v>171.92</v>
      </c>
      <c r="G445" vm="4449">
        <f ca="1"/>
        <v>34.369999999999997</v>
      </c>
      <c r="H445" vm="6273">
        <f ca="1"/>
        <v>175.8</v>
      </c>
      <c r="I445" vm="5814">
        <f ca="1"/>
        <v>34.17</v>
      </c>
      <c r="J445" vm="6274">
        <f ca="1"/>
        <v>29.96</v>
      </c>
      <c r="K445" vm="6275">
        <f ca="1"/>
        <v>572.80999999999995</v>
      </c>
      <c r="L445" vm="6276">
        <f ca="1"/>
        <v>299.08999999999997</v>
      </c>
      <c r="M445" vm="6027">
        <f ca="1"/>
        <v>255.67</v>
      </c>
      <c r="N445" vm="6277">
        <f ca="1"/>
        <v>603.20000000000005</v>
      </c>
      <c r="O445" vm="6278">
        <f ca="1"/>
        <v>165.86</v>
      </c>
      <c r="P445" vm="6279">
        <f ca="1"/>
        <v>417.13</v>
      </c>
    </row>
    <row r="446" spans="1:16" x14ac:dyDescent="0.25">
      <c r="A446" vm="6280">
        <f ca="1"/>
        <v>45568</v>
      </c>
      <c r="B446" vm="6281">
        <f ca="1"/>
        <v>626.30999999999995</v>
      </c>
      <c r="C446" vm="6282">
        <f ca="1"/>
        <v>447.89</v>
      </c>
      <c r="D446" vm="6283">
        <f ca="1"/>
        <v>70.52</v>
      </c>
      <c r="E446" vm="6284">
        <f ca="1"/>
        <v>232.86</v>
      </c>
      <c r="F446" vm="6285">
        <f ca="1"/>
        <v>170.12</v>
      </c>
      <c r="G446" vm="5814">
        <f ca="1"/>
        <v>34.17</v>
      </c>
      <c r="H446" vm="497">
        <f ca="1"/>
        <v>179.48</v>
      </c>
      <c r="I446" vm="6286">
        <f ca="1"/>
        <v>34.119999999999997</v>
      </c>
      <c r="J446" vm="6287">
        <f ca="1"/>
        <v>29.64</v>
      </c>
      <c r="K446" vm="6288">
        <f ca="1"/>
        <v>582.77</v>
      </c>
      <c r="L446" vm="6289">
        <f ca="1"/>
        <v>298.39999999999998</v>
      </c>
      <c r="M446" vm="6290">
        <f ca="1"/>
        <v>243.65</v>
      </c>
      <c r="N446" vm="6291">
        <f ca="1"/>
        <v>605.82000000000005</v>
      </c>
      <c r="O446" vm="6278">
        <f ca="1"/>
        <v>165.86</v>
      </c>
      <c r="P446" vm="6292">
        <f ca="1"/>
        <v>416.54</v>
      </c>
    </row>
    <row r="447" spans="1:16" x14ac:dyDescent="0.25">
      <c r="A447" vm="6293">
        <f ca="1"/>
        <v>45569</v>
      </c>
      <c r="B447" vm="6294">
        <f ca="1"/>
        <v>630.67999999999995</v>
      </c>
      <c r="C447" vm="6295">
        <f ca="1"/>
        <v>454.48</v>
      </c>
      <c r="D447" vm="6296">
        <f ca="1"/>
        <v>70.17</v>
      </c>
      <c r="E447" vm="6297">
        <f ca="1"/>
        <v>231.02</v>
      </c>
      <c r="F447" vm="1367">
        <f ca="1"/>
        <v>168.88</v>
      </c>
      <c r="G447" vm="6298">
        <f ca="1"/>
        <v>34.590000000000003</v>
      </c>
      <c r="H447" vm="6299">
        <f ca="1"/>
        <v>181.16</v>
      </c>
      <c r="I447" vm="2735">
        <f ca="1"/>
        <v>34.49</v>
      </c>
      <c r="J447" vm="2609">
        <f ca="1"/>
        <v>29.95</v>
      </c>
      <c r="K447" vm="6300">
        <f ca="1"/>
        <v>595.94000000000005</v>
      </c>
      <c r="L447" vm="6301">
        <f ca="1"/>
        <v>305.72000000000003</v>
      </c>
      <c r="M447" vm="6302">
        <f ca="1"/>
        <v>246.67</v>
      </c>
      <c r="N447" vm="6303">
        <f ca="1"/>
        <v>605.13</v>
      </c>
      <c r="O447" vm="5221">
        <f ca="1"/>
        <v>167.06</v>
      </c>
      <c r="P447" vm="6304">
        <f ca="1"/>
        <v>416.06</v>
      </c>
    </row>
    <row r="448" spans="1:16" x14ac:dyDescent="0.25">
      <c r="A448" vm="6305">
        <f ca="1"/>
        <v>45572</v>
      </c>
      <c r="B448" vm="6306">
        <f ca="1"/>
        <v>629.71</v>
      </c>
      <c r="C448" vm="6307">
        <f ca="1"/>
        <v>466.21</v>
      </c>
      <c r="D448" vm="6308">
        <f ca="1"/>
        <v>69.010000000000005</v>
      </c>
      <c r="E448" vm="6309">
        <f ca="1"/>
        <v>226.02</v>
      </c>
      <c r="F448" vm="3141">
        <f ca="1"/>
        <v>167.12</v>
      </c>
      <c r="G448" vm="6298">
        <f ca="1"/>
        <v>34.590000000000003</v>
      </c>
      <c r="H448" vm="714">
        <f ca="1"/>
        <v>184.51</v>
      </c>
      <c r="I448" vm="5249">
        <f ca="1"/>
        <v>33.65</v>
      </c>
      <c r="J448" vm="5635">
        <f ca="1"/>
        <v>29.43</v>
      </c>
      <c r="K448" vm="6310">
        <f ca="1"/>
        <v>584.78</v>
      </c>
      <c r="L448" vm="6311">
        <f ca="1"/>
        <v>307.51</v>
      </c>
      <c r="M448" vm="6312">
        <f ca="1"/>
        <v>243.07</v>
      </c>
      <c r="N448" vm="6313">
        <f ca="1"/>
        <v>605.54</v>
      </c>
      <c r="O448" vm="6314">
        <f ca="1"/>
        <v>162.97999999999999</v>
      </c>
      <c r="P448" vm="6315">
        <f ca="1"/>
        <v>409.54</v>
      </c>
    </row>
    <row r="449" spans="1:16" x14ac:dyDescent="0.25">
      <c r="A449" vm="6316">
        <f ca="1"/>
        <v>45573</v>
      </c>
      <c r="B449" vm="6317">
        <f ca="1"/>
        <v>627.34</v>
      </c>
      <c r="C449" vm="6318">
        <f ca="1"/>
        <v>460.46</v>
      </c>
      <c r="D449" vm="5863">
        <f ca="1"/>
        <v>69.180000000000007</v>
      </c>
      <c r="E449" vm="6319">
        <f ca="1"/>
        <v>227.22</v>
      </c>
      <c r="F449" vm="5237">
        <f ca="1"/>
        <v>168.16</v>
      </c>
      <c r="G449" vm="3751">
        <f ca="1"/>
        <v>34.659999999999997</v>
      </c>
      <c r="H449" vm="6320">
        <f ca="1"/>
        <v>186.05</v>
      </c>
      <c r="I449" vm="1902">
        <f ca="1"/>
        <v>33.869999999999997</v>
      </c>
      <c r="J449" vm="6321">
        <f ca="1"/>
        <v>29.28</v>
      </c>
      <c r="K449" vm="6322">
        <f ca="1"/>
        <v>592.89</v>
      </c>
      <c r="L449" vm="6323">
        <f ca="1"/>
        <v>308.67</v>
      </c>
      <c r="M449" vm="6324">
        <f ca="1"/>
        <v>241.13</v>
      </c>
      <c r="N449" vm="6325">
        <f ca="1"/>
        <v>608.04999999999995</v>
      </c>
      <c r="O449" vm="6326">
        <f ca="1"/>
        <v>164.38</v>
      </c>
      <c r="P449" vm="6327">
        <f ca="1"/>
        <v>414.71</v>
      </c>
    </row>
    <row r="450" spans="1:16" x14ac:dyDescent="0.25">
      <c r="A450" vm="6328">
        <f ca="1"/>
        <v>45574</v>
      </c>
      <c r="B450" vm="6329">
        <f ca="1"/>
        <v>632.79</v>
      </c>
      <c r="C450" vm="6330">
        <f ca="1"/>
        <v>467.48</v>
      </c>
      <c r="D450" vm="5902">
        <f ca="1"/>
        <v>69.569999999999993</v>
      </c>
      <c r="E450" vm="6331">
        <f ca="1"/>
        <v>227.15</v>
      </c>
      <c r="F450" vm="6332">
        <f ca="1"/>
        <v>169.27</v>
      </c>
      <c r="G450" vm="3723">
        <f ca="1"/>
        <v>34.67</v>
      </c>
      <c r="H450" vm="6333">
        <f ca="1"/>
        <v>187.14</v>
      </c>
      <c r="I450" vm="6334">
        <f ca="1"/>
        <v>34.26</v>
      </c>
      <c r="J450" vm="6335">
        <f ca="1"/>
        <v>29.21</v>
      </c>
      <c r="K450" vm="6336">
        <f ca="1"/>
        <v>590.51</v>
      </c>
      <c r="L450" vm="6337">
        <f ca="1"/>
        <v>307.61</v>
      </c>
      <c r="M450" vm="6338">
        <f ca="1"/>
        <v>240.42</v>
      </c>
      <c r="N450" vm="6339">
        <f ca="1"/>
        <v>605.11</v>
      </c>
      <c r="O450" vm="4500">
        <f ca="1"/>
        <v>161.86000000000001</v>
      </c>
      <c r="P450" vm="6340">
        <f ca="1"/>
        <v>417.46</v>
      </c>
    </row>
    <row r="451" spans="1:16" x14ac:dyDescent="0.25">
      <c r="A451" vm="6341">
        <f ca="1"/>
        <v>45575</v>
      </c>
      <c r="B451" vm="6342">
        <f ca="1"/>
        <v>631.52</v>
      </c>
      <c r="C451" vm="6343">
        <f ca="1"/>
        <v>459.52</v>
      </c>
      <c r="D451" vm="6344">
        <f ca="1"/>
        <v>69.25</v>
      </c>
      <c r="E451" vm="6345">
        <f ca="1"/>
        <v>226.16</v>
      </c>
      <c r="F451" vm="6346">
        <f ca="1"/>
        <v>168.95</v>
      </c>
      <c r="G451" vm="6347">
        <f ca="1"/>
        <v>34.83</v>
      </c>
      <c r="H451" vm="6348">
        <f ca="1"/>
        <v>185.78</v>
      </c>
      <c r="I451" vm="4420">
        <f ca="1"/>
        <v>34.53</v>
      </c>
      <c r="J451" vm="6124">
        <f ca="1"/>
        <v>28.85</v>
      </c>
      <c r="K451" vm="6349">
        <f ca="1"/>
        <v>583.83000000000004</v>
      </c>
      <c r="L451" vm="6350">
        <f ca="1"/>
        <v>306.99</v>
      </c>
      <c r="M451" vm="6351">
        <f ca="1"/>
        <v>239.6</v>
      </c>
      <c r="N451" vm="6352">
        <f ca="1"/>
        <v>597.49</v>
      </c>
      <c r="O451" vm="6353">
        <f ca="1"/>
        <v>162.08000000000001</v>
      </c>
      <c r="P451" vm="6354">
        <f ca="1"/>
        <v>415.84</v>
      </c>
    </row>
    <row r="452" spans="1:16" x14ac:dyDescent="0.25">
      <c r="A452" vm="6355">
        <f ca="1"/>
        <v>45576</v>
      </c>
      <c r="B452" vm="6356">
        <f ca="1"/>
        <v>637.15</v>
      </c>
      <c r="C452" vm="6357">
        <f ca="1"/>
        <v>470.25</v>
      </c>
      <c r="D452" vm="5902">
        <f ca="1"/>
        <v>69.569999999999993</v>
      </c>
      <c r="E452" vm="6358">
        <f ca="1"/>
        <v>226.9</v>
      </c>
      <c r="F452" vm="6359">
        <f ca="1"/>
        <v>171.09</v>
      </c>
      <c r="G452" vm="6360">
        <f ca="1"/>
        <v>35.22</v>
      </c>
      <c r="H452" vm="6361">
        <f ca="1"/>
        <v>190.81</v>
      </c>
      <c r="I452" vm="6173">
        <f ca="1"/>
        <v>34.96</v>
      </c>
      <c r="J452" vm="3083">
        <f ca="1"/>
        <v>29.6</v>
      </c>
      <c r="K452" vm="6362">
        <f ca="1"/>
        <v>589.95000000000005</v>
      </c>
      <c r="L452" vm="6363">
        <f ca="1"/>
        <v>309.42</v>
      </c>
      <c r="M452" vm="6364">
        <f ca="1"/>
        <v>241.06</v>
      </c>
      <c r="N452" vm="6365">
        <f ca="1"/>
        <v>604.16999999999996</v>
      </c>
      <c r="O452" vm="6366">
        <f ca="1"/>
        <v>163.24</v>
      </c>
      <c r="P452" vm="6367">
        <f ca="1"/>
        <v>416.32</v>
      </c>
    </row>
    <row r="453" spans="1:16" x14ac:dyDescent="0.25">
      <c r="A453" vm="6368">
        <f ca="1"/>
        <v>45579</v>
      </c>
      <c r="B453" vm="6369">
        <f ca="1"/>
        <v>643.53</v>
      </c>
      <c r="C453" vm="6370">
        <f ca="1"/>
        <v>480.93</v>
      </c>
      <c r="D453" vm="6371">
        <f ca="1"/>
        <v>70.34</v>
      </c>
      <c r="E453" vm="6372">
        <f ca="1"/>
        <v>228.21</v>
      </c>
      <c r="F453" vm="5014">
        <f ca="1"/>
        <v>172.51</v>
      </c>
      <c r="G453" vm="5879">
        <f ca="1"/>
        <v>35.36</v>
      </c>
      <c r="H453" vm="6373">
        <f ca="1"/>
        <v>192.21</v>
      </c>
      <c r="I453" vm="5892">
        <f ca="1"/>
        <v>35.29</v>
      </c>
      <c r="J453" vm="6374">
        <f ca="1"/>
        <v>29.79</v>
      </c>
      <c r="K453" vm="6375">
        <f ca="1"/>
        <v>590.41999999999996</v>
      </c>
      <c r="L453" vm="6376">
        <f ca="1"/>
        <v>310.98</v>
      </c>
      <c r="M453" vm="6377">
        <f ca="1"/>
        <v>245.71</v>
      </c>
      <c r="N453" vm="6378">
        <f ca="1"/>
        <v>610.87</v>
      </c>
      <c r="O453" vm="6379">
        <f ca="1"/>
        <v>164.96</v>
      </c>
      <c r="P453" vm="6380">
        <f ca="1"/>
        <v>419.14</v>
      </c>
    </row>
    <row r="454" spans="1:16" x14ac:dyDescent="0.25">
      <c r="A454" vm="6381">
        <f ca="1"/>
        <v>45580</v>
      </c>
      <c r="B454" vm="6382">
        <f ca="1"/>
        <v>638.02</v>
      </c>
      <c r="C454" vm="6383">
        <f ca="1"/>
        <v>471.54</v>
      </c>
      <c r="D454" vm="6371">
        <f ca="1"/>
        <v>70.34</v>
      </c>
      <c r="E454" vm="2018">
        <f ca="1"/>
        <v>226.7</v>
      </c>
      <c r="F454" vm="6384">
        <f ca="1"/>
        <v>173.57</v>
      </c>
      <c r="G454" vm="6385">
        <f ca="1"/>
        <v>35.72</v>
      </c>
      <c r="H454" vm="6386">
        <f ca="1"/>
        <v>187.13</v>
      </c>
      <c r="I454" vm="1913">
        <f ca="1"/>
        <v>35.5</v>
      </c>
      <c r="J454" vm="6374">
        <f ca="1"/>
        <v>29.79</v>
      </c>
      <c r="K454" vm="6387">
        <f ca="1"/>
        <v>586.27</v>
      </c>
      <c r="L454" vm="6388">
        <f ca="1"/>
        <v>305.54000000000002</v>
      </c>
      <c r="M454" vm="6389">
        <f ca="1"/>
        <v>244.07</v>
      </c>
      <c r="N454" vm="6390">
        <f ca="1"/>
        <v>605</v>
      </c>
      <c r="O454" vm="959">
        <f ca="1"/>
        <v>165.46</v>
      </c>
      <c r="P454" vm="6391">
        <f ca="1"/>
        <v>418.74</v>
      </c>
    </row>
    <row r="455" spans="1:16" x14ac:dyDescent="0.25">
      <c r="A455" vm="6392">
        <f ca="1"/>
        <v>45581</v>
      </c>
      <c r="B455" vm="6393">
        <f ca="1"/>
        <v>637.48</v>
      </c>
      <c r="C455" vm="6394">
        <f ca="1"/>
        <v>462.43</v>
      </c>
      <c r="D455" vm="6395">
        <f ca="1"/>
        <v>70.569999999999993</v>
      </c>
      <c r="E455" vm="4953">
        <f ca="1"/>
        <v>225.99</v>
      </c>
      <c r="F455" vm="6396">
        <f ca="1"/>
        <v>172.38</v>
      </c>
      <c r="G455" vm="1928">
        <f ca="1"/>
        <v>35.81</v>
      </c>
      <c r="H455" vm="6397">
        <f ca="1"/>
        <v>187.48</v>
      </c>
      <c r="I455" vm="6398">
        <f ca="1"/>
        <v>35.47</v>
      </c>
      <c r="J455" vm="1608">
        <f ca="1"/>
        <v>30.67</v>
      </c>
      <c r="K455" vm="6399">
        <f ca="1"/>
        <v>576.79</v>
      </c>
      <c r="L455" vm="6400">
        <f ca="1"/>
        <v>312.22000000000003</v>
      </c>
      <c r="M455" vm="6401">
        <f ca="1"/>
        <v>243.59</v>
      </c>
      <c r="N455" vm="6402">
        <f ca="1"/>
        <v>612.83000000000004</v>
      </c>
      <c r="O455" vm="6403">
        <f ca="1"/>
        <v>165.16</v>
      </c>
      <c r="P455" vm="6404">
        <f ca="1"/>
        <v>416.12</v>
      </c>
    </row>
    <row r="456" spans="1:16" x14ac:dyDescent="0.25">
      <c r="A456" vm="6405">
        <f ca="1"/>
        <v>45582</v>
      </c>
      <c r="B456" vm="6406">
        <f ca="1"/>
        <v>639.84</v>
      </c>
      <c r="C456" vm="6407">
        <f ca="1"/>
        <v>472.55</v>
      </c>
      <c r="D456" vm="6408">
        <f ca="1"/>
        <v>69.900000000000006</v>
      </c>
      <c r="E456" vm="171">
        <f ca="1"/>
        <v>225</v>
      </c>
      <c r="F456" vm="6409">
        <f ca="1"/>
        <v>172.28</v>
      </c>
      <c r="G456" vm="4659">
        <f ca="1"/>
        <v>35.950000000000003</v>
      </c>
      <c r="H456" vm="6410">
        <f ca="1"/>
        <v>205.84</v>
      </c>
      <c r="I456" vm="1756">
        <f ca="1"/>
        <v>33.090000000000003</v>
      </c>
      <c r="J456" vm="6411">
        <f ca="1"/>
        <v>30.79</v>
      </c>
      <c r="K456" vm="6412">
        <f ca="1"/>
        <v>576.92999999999995</v>
      </c>
      <c r="L456" vm="6413">
        <f ca="1"/>
        <v>313.14</v>
      </c>
      <c r="M456" vm="6414">
        <f ca="1"/>
        <v>240.04</v>
      </c>
      <c r="N456" vm="6415">
        <f ca="1"/>
        <v>609.62</v>
      </c>
      <c r="O456" vm="6416">
        <f ca="1"/>
        <v>162.93</v>
      </c>
      <c r="P456" vm="6417">
        <f ca="1"/>
        <v>416.72</v>
      </c>
    </row>
    <row r="457" spans="1:16" x14ac:dyDescent="0.25">
      <c r="A457" vm="6418">
        <f ca="1"/>
        <v>45583</v>
      </c>
      <c r="B457" vm="6419">
        <f ca="1"/>
        <v>640.44000000000005</v>
      </c>
      <c r="C457" vm="6420">
        <f ca="1"/>
        <v>471.16</v>
      </c>
      <c r="D457" vm="6421">
        <f ca="1"/>
        <v>70.44</v>
      </c>
      <c r="E457" vm="6422">
        <f ca="1"/>
        <v>225.65</v>
      </c>
      <c r="F457" vm="5933">
        <f ca="1"/>
        <v>171.28</v>
      </c>
      <c r="G457" vm="5034">
        <f ca="1"/>
        <v>36</v>
      </c>
      <c r="H457" vm="6423">
        <f ca="1"/>
        <v>200.78</v>
      </c>
      <c r="I457" vm="6286">
        <f ca="1"/>
        <v>34.119999999999997</v>
      </c>
      <c r="J457" vm="6424">
        <f ca="1"/>
        <v>30.11</v>
      </c>
      <c r="K457" vm="6261">
        <f ca="1"/>
        <v>576.47</v>
      </c>
      <c r="L457" vm="6425">
        <f ca="1"/>
        <v>314.27</v>
      </c>
      <c r="M457" vm="6426">
        <f ca="1"/>
        <v>241.52</v>
      </c>
      <c r="N457" vm="6427">
        <f ca="1"/>
        <v>611.80999999999995</v>
      </c>
      <c r="O457" vm="6428">
        <f ca="1"/>
        <v>163.41999999999999</v>
      </c>
      <c r="P457" vm="6429">
        <f ca="1"/>
        <v>418.16</v>
      </c>
    </row>
    <row r="458" spans="1:16" x14ac:dyDescent="0.25">
      <c r="A458" vm="6430">
        <f ca="1"/>
        <v>45586</v>
      </c>
      <c r="B458" vm="6431">
        <f ca="1"/>
        <v>639.24</v>
      </c>
      <c r="C458" vm="6432">
        <f ca="1"/>
        <v>468.16</v>
      </c>
      <c r="D458" vm="6433">
        <f ca="1"/>
        <v>69.45</v>
      </c>
      <c r="E458" vm="6434">
        <f ca="1"/>
        <v>224.37</v>
      </c>
      <c r="F458" vm="622">
        <f ca="1"/>
        <v>169.54</v>
      </c>
      <c r="G458" vm="6435">
        <f ca="1"/>
        <v>35.49</v>
      </c>
      <c r="H458" vm="6436">
        <f ca="1"/>
        <v>201.95</v>
      </c>
      <c r="I458" vm="2413">
        <f ca="1"/>
        <v>33.659999999999997</v>
      </c>
      <c r="J458" vm="6437">
        <f ca="1"/>
        <v>29.58</v>
      </c>
      <c r="K458" vm="6438">
        <f ca="1"/>
        <v>575.16</v>
      </c>
      <c r="L458" vm="6439">
        <f ca="1"/>
        <v>317.64</v>
      </c>
      <c r="M458" vm="6440">
        <f ca="1"/>
        <v>239.21</v>
      </c>
      <c r="N458" vm="6441">
        <f ca="1"/>
        <v>614.61</v>
      </c>
      <c r="O458" vm="1249">
        <f ca="1"/>
        <v>164.07</v>
      </c>
      <c r="P458" vm="6442">
        <f ca="1"/>
        <v>418.78</v>
      </c>
    </row>
    <row r="459" spans="1:16" x14ac:dyDescent="0.25">
      <c r="A459" vm="6443">
        <f ca="1"/>
        <v>45587</v>
      </c>
      <c r="B459" vm="6444">
        <f ca="1"/>
        <v>629.28</v>
      </c>
      <c r="C459" vm="6445">
        <f ca="1"/>
        <v>460.56</v>
      </c>
      <c r="D459" vm="6433">
        <f ca="1"/>
        <v>69.45</v>
      </c>
      <c r="E459" vm="6446">
        <f ca="1"/>
        <v>221.55</v>
      </c>
      <c r="F459" vm="6447">
        <f ca="1"/>
        <v>169.7</v>
      </c>
      <c r="G459" vm="2036">
        <f ca="1"/>
        <v>35.64</v>
      </c>
      <c r="H459" vm="6448">
        <f ca="1"/>
        <v>198.48</v>
      </c>
      <c r="I459" vm="2483">
        <f ca="1"/>
        <v>33.85</v>
      </c>
      <c r="J459" vm="6449">
        <f ca="1"/>
        <v>29.44</v>
      </c>
      <c r="K459" vm="6450">
        <f ca="1"/>
        <v>582.01</v>
      </c>
      <c r="L459" vm="6451">
        <f ca="1"/>
        <v>312.97000000000003</v>
      </c>
      <c r="M459" vm="1716">
        <f ca="1"/>
        <v>241.61</v>
      </c>
      <c r="N459" vm="6452">
        <f ca="1"/>
        <v>576.98</v>
      </c>
      <c r="O459" vm="6453">
        <f ca="1"/>
        <v>165.14</v>
      </c>
      <c r="P459" vm="6454">
        <f ca="1"/>
        <v>427.51</v>
      </c>
    </row>
    <row r="460" spans="1:16" x14ac:dyDescent="0.25">
      <c r="A460" vm="6455">
        <f ca="1"/>
        <v>45588</v>
      </c>
      <c r="B460" vm="6456">
        <f ca="1"/>
        <v>629.70000000000005</v>
      </c>
      <c r="C460" vm="6457">
        <f ca="1"/>
        <v>458.85</v>
      </c>
      <c r="D460" vm="6458">
        <f ca="1"/>
        <v>68.010000000000005</v>
      </c>
      <c r="E460" vm="6459">
        <f ca="1"/>
        <v>221.15</v>
      </c>
      <c r="F460" vm="6460">
        <f ca="1"/>
        <v>169.58</v>
      </c>
      <c r="G460" vm="1913">
        <f ca="1"/>
        <v>35.5</v>
      </c>
      <c r="H460" vm="6461">
        <f ca="1"/>
        <v>200.86</v>
      </c>
      <c r="I460" vm="1888">
        <f ca="1"/>
        <v>33.590000000000003</v>
      </c>
      <c r="J460" vm="6462">
        <f ca="1"/>
        <v>29.12</v>
      </c>
      <c r="K460" vm="6463">
        <f ca="1"/>
        <v>563.69000000000005</v>
      </c>
      <c r="L460" vm="6464">
        <f ca="1"/>
        <v>306.63</v>
      </c>
      <c r="M460" vm="3755">
        <f ca="1"/>
        <v>241.42</v>
      </c>
      <c r="N460" vm="6465">
        <f ca="1"/>
        <v>571.1</v>
      </c>
      <c r="O460" vm="4864">
        <f ca="1"/>
        <v>162.78</v>
      </c>
      <c r="P460" vm="6466">
        <f ca="1"/>
        <v>424.6</v>
      </c>
    </row>
    <row r="461" spans="1:16" x14ac:dyDescent="0.25">
      <c r="A461" vm="6467">
        <f ca="1"/>
        <v>45589</v>
      </c>
      <c r="B461" vm="6468">
        <f ca="1"/>
        <v>624.14</v>
      </c>
      <c r="C461" vm="6469">
        <f ca="1"/>
        <v>458.62</v>
      </c>
      <c r="D461" vm="6470">
        <f ca="1"/>
        <v>67.3</v>
      </c>
      <c r="E461" vm="6471">
        <f ca="1"/>
        <v>227.24</v>
      </c>
      <c r="F461" vm="6472">
        <f ca="1"/>
        <v>169.62</v>
      </c>
      <c r="G461" vm="6473">
        <f ca="1"/>
        <v>35.03</v>
      </c>
      <c r="H461" vm="6474">
        <f ca="1"/>
        <v>197.93</v>
      </c>
      <c r="I461" vm="6475">
        <f ca="1"/>
        <v>33.1</v>
      </c>
      <c r="J461" vm="6146">
        <f ca="1"/>
        <v>28.63</v>
      </c>
      <c r="K461" vm="5809">
        <f ca="1"/>
        <v>567.78</v>
      </c>
      <c r="L461" vm="6476">
        <f ca="1"/>
        <v>309.87</v>
      </c>
      <c r="M461" vm="6003">
        <f ca="1"/>
        <v>240.71</v>
      </c>
      <c r="N461" vm="6477">
        <f ca="1"/>
        <v>564.21</v>
      </c>
      <c r="O461" vm="5416">
        <f ca="1"/>
        <v>162.72</v>
      </c>
      <c r="P461" vm="6478">
        <f ca="1"/>
        <v>424.73</v>
      </c>
    </row>
    <row r="462" spans="1:16" x14ac:dyDescent="0.25">
      <c r="A462" vm="6479">
        <f ca="1"/>
        <v>45590</v>
      </c>
      <c r="B462" vm="6480">
        <f ca="1"/>
        <v>621.74</v>
      </c>
      <c r="C462" vm="6481">
        <f ca="1"/>
        <v>417.2</v>
      </c>
      <c r="D462" vm="6482">
        <f ca="1"/>
        <v>66.92</v>
      </c>
      <c r="E462" vm="6483">
        <f ca="1"/>
        <v>224.12</v>
      </c>
      <c r="F462" vm="1322">
        <f ca="1"/>
        <v>168.22</v>
      </c>
      <c r="G462" vm="3707">
        <f ca="1"/>
        <v>34.74</v>
      </c>
      <c r="H462" vm="2319">
        <f ca="1"/>
        <v>203.44</v>
      </c>
      <c r="I462" vm="3179">
        <f ca="1"/>
        <v>33.270000000000003</v>
      </c>
      <c r="J462" vm="6484">
        <f ca="1"/>
        <v>28.6</v>
      </c>
      <c r="K462" vm="6485">
        <f ca="1"/>
        <v>573.25</v>
      </c>
      <c r="L462" vm="6486">
        <f ca="1"/>
        <v>308.17</v>
      </c>
      <c r="M462" vm="6184">
        <f ca="1"/>
        <v>239.38</v>
      </c>
      <c r="N462" vm="6487">
        <f ca="1"/>
        <v>562.29</v>
      </c>
      <c r="O462" vm="6488">
        <f ca="1"/>
        <v>165.27</v>
      </c>
      <c r="P462" vm="6489">
        <f ca="1"/>
        <v>428.15</v>
      </c>
    </row>
    <row r="463" spans="1:16" x14ac:dyDescent="0.25">
      <c r="A463" vm="6490">
        <f ca="1"/>
        <v>45593</v>
      </c>
      <c r="B463" vm="6491">
        <f ca="1"/>
        <v>623.65</v>
      </c>
      <c r="C463" vm="6492">
        <f ca="1"/>
        <v>421.05</v>
      </c>
      <c r="D463" vm="6493">
        <f ca="1"/>
        <v>66.67</v>
      </c>
      <c r="E463" vm="2224">
        <f ca="1"/>
        <v>224.01</v>
      </c>
      <c r="F463" vm="6494">
        <f ca="1"/>
        <v>169.3</v>
      </c>
      <c r="G463" vm="4312">
        <f ca="1"/>
        <v>35.130000000000003</v>
      </c>
      <c r="H463" vm="6495">
        <f ca="1"/>
        <v>194.68</v>
      </c>
      <c r="I463" vm="6496">
        <f ca="1"/>
        <v>33.26</v>
      </c>
      <c r="J463" vm="6497">
        <f ca="1"/>
        <v>29.1</v>
      </c>
      <c r="K463" vm="6498">
        <f ca="1"/>
        <v>578.16</v>
      </c>
      <c r="L463" vm="6499">
        <f ca="1"/>
        <v>313.36</v>
      </c>
      <c r="M463" vm="6500">
        <f ca="1"/>
        <v>237.51</v>
      </c>
      <c r="N463" vm="6501">
        <f ca="1"/>
        <v>555.16999999999996</v>
      </c>
      <c r="O463" vm="6502">
        <f ca="1"/>
        <v>166.72</v>
      </c>
      <c r="P463" vm="6503">
        <f ca="1"/>
        <v>426.59</v>
      </c>
    </row>
    <row r="464" spans="1:16" x14ac:dyDescent="0.25">
      <c r="A464" vm="6504">
        <f ca="1"/>
        <v>45594</v>
      </c>
      <c r="B464" vm="6505">
        <f ca="1"/>
        <v>625.11</v>
      </c>
      <c r="C464" vm="6506">
        <f ca="1"/>
        <v>418.93</v>
      </c>
      <c r="D464" vm="6507">
        <f ca="1"/>
        <v>65.56</v>
      </c>
      <c r="E464" vm="2411">
        <f ca="1"/>
        <v>223.87</v>
      </c>
      <c r="F464" vm="6508">
        <f ca="1"/>
        <v>167.17</v>
      </c>
      <c r="G464" vm="6159">
        <f ca="1"/>
        <v>34.799999999999997</v>
      </c>
      <c r="H464" vm="6509">
        <f ca="1"/>
        <v>196.94</v>
      </c>
      <c r="I464" vm="6510">
        <f ca="1"/>
        <v>33.25</v>
      </c>
      <c r="J464" vm="6287">
        <f ca="1"/>
        <v>29.64</v>
      </c>
      <c r="K464" vm="6511">
        <f ca="1"/>
        <v>593.28</v>
      </c>
      <c r="L464" vm="6512">
        <f ca="1"/>
        <v>313.43</v>
      </c>
      <c r="M464" vm="6513">
        <f ca="1"/>
        <v>236.07</v>
      </c>
      <c r="N464" vm="6514">
        <f ca="1"/>
        <v>546.79999999999995</v>
      </c>
      <c r="O464" vm="6515">
        <f ca="1"/>
        <v>169.68</v>
      </c>
      <c r="P464" vm="6516">
        <f ca="1"/>
        <v>431.95</v>
      </c>
    </row>
    <row r="465" spans="1:16" x14ac:dyDescent="0.25">
      <c r="A465" vm="6517">
        <f ca="1"/>
        <v>45595</v>
      </c>
      <c r="B465" vm="6518">
        <f ca="1"/>
        <v>624.29</v>
      </c>
      <c r="C465" vm="6519">
        <f ca="1"/>
        <v>422.16</v>
      </c>
      <c r="D465" vm="6520">
        <f ca="1"/>
        <v>65.92</v>
      </c>
      <c r="E465" vm="6521">
        <f ca="1"/>
        <v>224.39</v>
      </c>
      <c r="F465" vm="5952">
        <f ca="1"/>
        <v>166.16</v>
      </c>
      <c r="G465" vm="6522">
        <f ca="1"/>
        <v>33.729999999999997</v>
      </c>
      <c r="H465" vm="6523">
        <f ca="1"/>
        <v>194.48</v>
      </c>
      <c r="I465" vm="6524">
        <f ca="1"/>
        <v>33.54</v>
      </c>
      <c r="J465" vm="2583">
        <f ca="1"/>
        <v>29.73</v>
      </c>
      <c r="K465" vm="6525">
        <f ca="1"/>
        <v>591.79999999999995</v>
      </c>
      <c r="L465" vm="6526">
        <f ca="1"/>
        <v>311.63</v>
      </c>
      <c r="M465" vm="6527">
        <f ca="1"/>
        <v>235.47</v>
      </c>
      <c r="N465" vm="6528">
        <f ca="1"/>
        <v>545.94000000000005</v>
      </c>
      <c r="O465" vm="5228">
        <f ca="1"/>
        <v>174.46</v>
      </c>
      <c r="P465" vm="6529">
        <f ca="1"/>
        <v>432.53</v>
      </c>
    </row>
    <row r="466" spans="1:16" x14ac:dyDescent="0.25">
      <c r="A466" vm="6530">
        <f ca="1"/>
        <v>45596</v>
      </c>
      <c r="B466" vm="6531">
        <f ca="1"/>
        <v>634.07000000000005</v>
      </c>
      <c r="C466" vm="6532">
        <f ca="1"/>
        <v>422.23</v>
      </c>
      <c r="D466" vm="6533">
        <f ca="1"/>
        <v>65.31</v>
      </c>
      <c r="E466" vm="6534">
        <f ca="1"/>
        <v>221.85</v>
      </c>
      <c r="F466" vm="5263">
        <f ca="1"/>
        <v>165.18</v>
      </c>
      <c r="G466" vm="1961">
        <f ca="1"/>
        <v>33.46</v>
      </c>
      <c r="H466" vm="6535">
        <f ca="1"/>
        <v>190.54</v>
      </c>
      <c r="I466" vm="2827">
        <f ca="1"/>
        <v>33.64</v>
      </c>
      <c r="J466" vm="6536">
        <f ca="1"/>
        <v>28.47</v>
      </c>
      <c r="K466" vm="6537">
        <f ca="1"/>
        <v>567.58000000000004</v>
      </c>
      <c r="L466" vm="6538">
        <f ca="1"/>
        <v>301.63</v>
      </c>
      <c r="M466" vm="5864">
        <f ca="1"/>
        <v>232.34</v>
      </c>
      <c r="N466" vm="6539">
        <f ca="1"/>
        <v>546.04999999999995</v>
      </c>
      <c r="O466" vm="6540">
        <f ca="1"/>
        <v>171.11</v>
      </c>
      <c r="P466" vm="6541">
        <f ca="1"/>
        <v>406.35</v>
      </c>
    </row>
    <row r="467" spans="1:16" x14ac:dyDescent="0.25">
      <c r="A467" vm="6542">
        <f ca="1"/>
        <v>45597</v>
      </c>
      <c r="B467" vm="6543">
        <f ca="1"/>
        <v>635.03</v>
      </c>
      <c r="C467" vm="2310">
        <f ca="1"/>
        <v>422.26</v>
      </c>
      <c r="D467" vm="6544">
        <f ca="1"/>
        <v>65.010000000000005</v>
      </c>
      <c r="E467" vm="6545">
        <f ca="1"/>
        <v>225.18</v>
      </c>
      <c r="F467" vm="6546">
        <f ca="1"/>
        <v>165.1</v>
      </c>
      <c r="G467" vm="2398">
        <f ca="1"/>
        <v>33.49</v>
      </c>
      <c r="H467" vm="6547">
        <f ca="1"/>
        <v>192.95</v>
      </c>
      <c r="I467" vm="5473">
        <f ca="1"/>
        <v>33.39</v>
      </c>
      <c r="J467" vm="6548">
        <f ca="1"/>
        <v>28.24</v>
      </c>
      <c r="K467" vm="6549">
        <f ca="1"/>
        <v>567.16</v>
      </c>
      <c r="L467" vm="6550">
        <f ca="1"/>
        <v>303.5</v>
      </c>
      <c r="M467" vm="4310">
        <f ca="1"/>
        <v>232.77</v>
      </c>
      <c r="N467" vm="6551">
        <f ca="1"/>
        <v>545.35</v>
      </c>
      <c r="O467" vm="6552">
        <f ca="1"/>
        <v>171.29</v>
      </c>
      <c r="P467" vm="6553">
        <f ca="1"/>
        <v>410.37</v>
      </c>
    </row>
    <row r="468" spans="1:16" x14ac:dyDescent="0.25">
      <c r="A468" vm="6554">
        <f ca="1"/>
        <v>45600</v>
      </c>
      <c r="B468" vm="6555">
        <f ca="1"/>
        <v>638</v>
      </c>
      <c r="C468" vm="6556">
        <f ca="1"/>
        <v>425.18</v>
      </c>
      <c r="D468" vm="6557">
        <f ca="1"/>
        <v>65.11</v>
      </c>
      <c r="E468" vm="6558">
        <f ca="1"/>
        <v>225.82</v>
      </c>
      <c r="F468" vm="3211">
        <f ca="1"/>
        <v>165.08</v>
      </c>
      <c r="G468" vm="6559">
        <f ca="1"/>
        <v>33.380000000000003</v>
      </c>
      <c r="H468" vm="6560">
        <f ca="1"/>
        <v>191.56</v>
      </c>
      <c r="I468" vm="5662">
        <f ca="1"/>
        <v>33.36</v>
      </c>
      <c r="J468" vm="6561">
        <f ca="1"/>
        <v>28.49</v>
      </c>
      <c r="K468" vm="6562">
        <f ca="1"/>
        <v>560.67999999999995</v>
      </c>
      <c r="L468" vm="6563">
        <f ca="1"/>
        <v>304.32</v>
      </c>
      <c r="M468" vm="6564">
        <f ca="1"/>
        <v>239.74</v>
      </c>
      <c r="N468" vm="6565">
        <f ca="1"/>
        <v>543.1</v>
      </c>
      <c r="O468" vm="6566">
        <f ca="1"/>
        <v>169.24</v>
      </c>
      <c r="P468" vm="6567">
        <f ca="1"/>
        <v>408.46</v>
      </c>
    </row>
    <row r="469" spans="1:16" x14ac:dyDescent="0.25">
      <c r="A469" vm="6568">
        <f ca="1"/>
        <v>45601</v>
      </c>
      <c r="B469" vm="6569">
        <f ca="1"/>
        <v>653.45000000000005</v>
      </c>
      <c r="C469" vm="6570">
        <f ca="1"/>
        <v>434.31</v>
      </c>
      <c r="D469" vm="6571">
        <f ca="1"/>
        <v>65.37</v>
      </c>
      <c r="E469" vm="2089">
        <f ca="1"/>
        <v>227.44</v>
      </c>
      <c r="F469" vm="4924">
        <f ca="1"/>
        <v>165.76</v>
      </c>
      <c r="G469" vm="3166">
        <f ca="1"/>
        <v>33.51</v>
      </c>
      <c r="H469" vm="6572">
        <f ca="1"/>
        <v>195.76</v>
      </c>
      <c r="I469" vm="2722">
        <f ca="1"/>
        <v>34.020000000000003</v>
      </c>
      <c r="J469" vm="6573">
        <f ca="1"/>
        <v>29.02</v>
      </c>
      <c r="K469" vm="6574">
        <f ca="1"/>
        <v>572.42999999999995</v>
      </c>
      <c r="L469" vm="6575">
        <f ca="1"/>
        <v>314.62</v>
      </c>
      <c r="M469" vm="3078">
        <f ca="1"/>
        <v>237.15</v>
      </c>
      <c r="N469" vm="6576">
        <f ca="1"/>
        <v>546.75</v>
      </c>
      <c r="O469" vm="6577">
        <f ca="1"/>
        <v>169.74</v>
      </c>
      <c r="P469" vm="6578">
        <f ca="1"/>
        <v>411.46</v>
      </c>
    </row>
    <row r="470" spans="1:16" x14ac:dyDescent="0.25">
      <c r="A470" vm="6579">
        <f ca="1"/>
        <v>45602</v>
      </c>
      <c r="B470" vm="6580">
        <f ca="1"/>
        <v>709.46</v>
      </c>
      <c r="C470" vm="6581">
        <f ca="1"/>
        <v>450.65</v>
      </c>
      <c r="D470" vm="5521">
        <f ca="1"/>
        <v>63.7</v>
      </c>
      <c r="E470" vm="2921">
        <f ca="1"/>
        <v>227.52</v>
      </c>
      <c r="F470" vm="6582">
        <f ca="1"/>
        <v>161.05000000000001</v>
      </c>
      <c r="G470" vm="2696">
        <f ca="1"/>
        <v>33.42</v>
      </c>
      <c r="H470" vm="6583">
        <f ca="1"/>
        <v>193.22</v>
      </c>
      <c r="I470" vm="1711">
        <f ca="1"/>
        <v>36.880000000000003</v>
      </c>
      <c r="J470" vm="5473">
        <f ca="1"/>
        <v>33.39</v>
      </c>
      <c r="K470" vm="6584">
        <f ca="1"/>
        <v>572.04999999999995</v>
      </c>
      <c r="L470" vm="6585">
        <f ca="1"/>
        <v>310.82</v>
      </c>
      <c r="M470" vm="6586">
        <f ca="1"/>
        <v>229.58</v>
      </c>
      <c r="N470" vm="6587">
        <f ca="1"/>
        <v>551.82000000000005</v>
      </c>
      <c r="O470" vm="6588">
        <f ca="1"/>
        <v>176.51</v>
      </c>
      <c r="P470" vm="6589">
        <f ca="1"/>
        <v>420.18</v>
      </c>
    </row>
    <row r="471" spans="1:16" x14ac:dyDescent="0.25">
      <c r="A471" vm="6590">
        <f ca="1"/>
        <v>45603</v>
      </c>
      <c r="B471" vm="6591">
        <f ca="1"/>
        <v>689.77</v>
      </c>
      <c r="C471" vm="6592">
        <f ca="1"/>
        <v>448.65</v>
      </c>
      <c r="D471" vm="6593">
        <f ca="1"/>
        <v>63.66</v>
      </c>
      <c r="E471" vm="2839">
        <f ca="1"/>
        <v>215.5</v>
      </c>
      <c r="F471" vm="6594">
        <f ca="1"/>
        <v>163.41</v>
      </c>
      <c r="G471" vm="5606">
        <f ca="1"/>
        <v>32.82</v>
      </c>
      <c r="H471" vm="3348">
        <f ca="1"/>
        <v>201.19</v>
      </c>
      <c r="I471" vm="6595">
        <f ca="1"/>
        <v>35.56</v>
      </c>
      <c r="J471" vm="230">
        <f ca="1"/>
        <v>32.01</v>
      </c>
      <c r="K471" vm="6596">
        <f ca="1"/>
        <v>591.70000000000005</v>
      </c>
      <c r="L471" vm="6597">
        <f ca="1"/>
        <v>320.86</v>
      </c>
      <c r="M471" vm="6598">
        <f ca="1"/>
        <v>233.28</v>
      </c>
      <c r="N471" vm="6599">
        <f ca="1"/>
        <v>551.84</v>
      </c>
      <c r="O471" vm="6600">
        <f ca="1"/>
        <v>180.75</v>
      </c>
      <c r="P471" vm="6601">
        <f ca="1"/>
        <v>425.43</v>
      </c>
    </row>
    <row r="472" spans="1:16" x14ac:dyDescent="0.25">
      <c r="A472" vm="6602">
        <f ca="1"/>
        <v>45604</v>
      </c>
      <c r="B472" vm="6603">
        <f ca="1"/>
        <v>695.58</v>
      </c>
      <c r="C472" vm="6604">
        <f ca="1"/>
        <v>450.85</v>
      </c>
      <c r="D472" vm="1359">
        <f ca="1"/>
        <v>63.92</v>
      </c>
      <c r="E472" vm="6605">
        <f ca="1"/>
        <v>219.19</v>
      </c>
      <c r="F472" vm="6606">
        <f ca="1"/>
        <v>167.71</v>
      </c>
      <c r="G472" vm="5747">
        <f ca="1"/>
        <v>33</v>
      </c>
      <c r="H472" vm="6607">
        <f ca="1"/>
        <v>201.2</v>
      </c>
      <c r="I472" vm="5034">
        <f ca="1"/>
        <v>36</v>
      </c>
      <c r="J472" vm="6608">
        <f ca="1"/>
        <v>32.475000000000001</v>
      </c>
      <c r="K472" vm="6609">
        <f ca="1"/>
        <v>589.34</v>
      </c>
      <c r="L472" vm="6610">
        <f ca="1"/>
        <v>330.98</v>
      </c>
      <c r="M472" vm="5903">
        <f ca="1"/>
        <v>234.38</v>
      </c>
      <c r="N472" vm="6611">
        <f ca="1"/>
        <v>564.55999999999995</v>
      </c>
      <c r="O472" vm="6612">
        <f ca="1"/>
        <v>178.35</v>
      </c>
      <c r="P472" vm="6613">
        <f ca="1"/>
        <v>422.54</v>
      </c>
    </row>
    <row r="473" spans="1:16" x14ac:dyDescent="0.25">
      <c r="A473" vm="6614">
        <f ca="1"/>
        <v>45607</v>
      </c>
      <c r="B473" vm="6615">
        <f ca="1"/>
        <v>708.15</v>
      </c>
      <c r="C473" vm="6616">
        <f ca="1"/>
        <v>455.2</v>
      </c>
      <c r="D473" vm="6617">
        <f ca="1"/>
        <v>63.36</v>
      </c>
      <c r="E473" vm="6618">
        <f ca="1"/>
        <v>221.86</v>
      </c>
      <c r="F473" vm="6619">
        <f ca="1"/>
        <v>166.03</v>
      </c>
      <c r="G473" vm="5280">
        <f ca="1"/>
        <v>32.53</v>
      </c>
      <c r="H473" vm="4021">
        <f ca="1"/>
        <v>194.05</v>
      </c>
      <c r="I473" vm="3691">
        <f ca="1"/>
        <v>36.520000000000003</v>
      </c>
      <c r="J473" vm="2427">
        <f ca="1"/>
        <v>33.479999999999997</v>
      </c>
      <c r="K473" vm="6620">
        <f ca="1"/>
        <v>583.16999999999996</v>
      </c>
      <c r="L473" vm="6621">
        <f ca="1"/>
        <v>329.69</v>
      </c>
      <c r="M473" vm="6622">
        <f ca="1"/>
        <v>236.2</v>
      </c>
      <c r="N473" vm="6623">
        <f ca="1"/>
        <v>570.58000000000004</v>
      </c>
      <c r="O473" vm="6624">
        <f ca="1"/>
        <v>180.35</v>
      </c>
      <c r="P473" vm="6625">
        <f ca="1"/>
        <v>418.01</v>
      </c>
    </row>
    <row r="474" spans="1:16" x14ac:dyDescent="0.25">
      <c r="A474" vm="6626">
        <f ca="1"/>
        <v>45608</v>
      </c>
      <c r="B474" vm="6627">
        <f ca="1"/>
        <v>699.32</v>
      </c>
      <c r="C474" vm="6628">
        <f ca="1"/>
        <v>453.04</v>
      </c>
      <c r="D474" vm="6629">
        <f ca="1"/>
        <v>63.2</v>
      </c>
      <c r="E474" vm="6630">
        <f ca="1"/>
        <v>222.73</v>
      </c>
      <c r="F474" vm="6631">
        <f ca="1"/>
        <v>165.84</v>
      </c>
      <c r="G474" vm="5430">
        <f ca="1"/>
        <v>32</v>
      </c>
      <c r="H474" vm="6632">
        <f ca="1"/>
        <v>191.77</v>
      </c>
      <c r="I474" vm="4144">
        <f ca="1"/>
        <v>36.130000000000003</v>
      </c>
      <c r="J474" vm="2581">
        <f ca="1"/>
        <v>32.57</v>
      </c>
      <c r="K474" vm="6633">
        <f ca="1"/>
        <v>584.82000000000005</v>
      </c>
      <c r="L474" vm="6634">
        <f ca="1"/>
        <v>327.27</v>
      </c>
      <c r="M474" vm="6635">
        <f ca="1"/>
        <v>238.29</v>
      </c>
      <c r="N474" vm="6636">
        <f ca="1"/>
        <v>565.96</v>
      </c>
      <c r="O474" vm="1669">
        <f ca="1"/>
        <v>181.62</v>
      </c>
      <c r="P474" vm="5576">
        <f ca="1"/>
        <v>423.03</v>
      </c>
    </row>
    <row r="475" spans="1:16" x14ac:dyDescent="0.25">
      <c r="A475" vm="6637">
        <f ca="1"/>
        <v>45609</v>
      </c>
      <c r="B475" vm="6638">
        <f ca="1"/>
        <v>706.46</v>
      </c>
      <c r="C475" vm="6639">
        <f ca="1"/>
        <v>454.83</v>
      </c>
      <c r="D475" vm="5076">
        <f ca="1"/>
        <v>63</v>
      </c>
      <c r="E475" vm="6640">
        <f ca="1"/>
        <v>222.27</v>
      </c>
      <c r="F475" vm="6641">
        <f ca="1"/>
        <v>166.58</v>
      </c>
      <c r="G475" vm="1652">
        <f ca="1"/>
        <v>32.130000000000003</v>
      </c>
      <c r="H475" vm="6642">
        <f ca="1"/>
        <v>186.66</v>
      </c>
      <c r="I475" vm="6643">
        <f ca="1"/>
        <v>36.479999999999997</v>
      </c>
      <c r="J475" vm="6644">
        <f ca="1"/>
        <v>32.81</v>
      </c>
      <c r="K475" vm="6645">
        <f ca="1"/>
        <v>580</v>
      </c>
      <c r="L475" vm="1389">
        <f ca="1"/>
        <v>326.88</v>
      </c>
      <c r="M475" vm="6003">
        <f ca="1"/>
        <v>240.71</v>
      </c>
      <c r="N475" vm="6646">
        <f ca="1"/>
        <v>557.73</v>
      </c>
      <c r="O475" vm="6647">
        <f ca="1"/>
        <v>178.88</v>
      </c>
      <c r="P475" vm="6648">
        <f ca="1"/>
        <v>425.2</v>
      </c>
    </row>
    <row r="476" spans="1:16" x14ac:dyDescent="0.25">
      <c r="A476" vm="6649">
        <f ca="1"/>
        <v>45610</v>
      </c>
      <c r="B476" vm="6650">
        <f ca="1"/>
        <v>697.63</v>
      </c>
      <c r="C476" vm="6651">
        <f ca="1"/>
        <v>450.58</v>
      </c>
      <c r="D476" vm="5290">
        <f ca="1"/>
        <v>62.55</v>
      </c>
      <c r="E476" vm="6652">
        <f ca="1"/>
        <v>221.19</v>
      </c>
      <c r="F476" vm="6653">
        <f ca="1"/>
        <v>167.08</v>
      </c>
      <c r="G476" vm="1412">
        <f ca="1"/>
        <v>31.79</v>
      </c>
      <c r="H476" vm="6654">
        <f ca="1"/>
        <v>188.5</v>
      </c>
      <c r="I476" vm="2005">
        <f ca="1"/>
        <v>35.630000000000003</v>
      </c>
      <c r="J476" vm="5747">
        <f ca="1"/>
        <v>33</v>
      </c>
      <c r="K476" vm="6655">
        <f ca="1"/>
        <v>577.16</v>
      </c>
      <c r="L476" vm="6656">
        <f ca="1"/>
        <v>323.87</v>
      </c>
      <c r="M476" vm="6657">
        <f ca="1"/>
        <v>242</v>
      </c>
      <c r="N476" vm="6658">
        <f ca="1"/>
        <v>538.99</v>
      </c>
      <c r="O476" vm="6659">
        <f ca="1"/>
        <v>175.58</v>
      </c>
      <c r="P476" vm="6660">
        <f ca="1"/>
        <v>426.89</v>
      </c>
    </row>
    <row r="477" spans="1:16" x14ac:dyDescent="0.25">
      <c r="A477" vm="6661">
        <f ca="1"/>
        <v>45611</v>
      </c>
      <c r="B477" vm="6662">
        <f ca="1"/>
        <v>698.91</v>
      </c>
      <c r="C477" vm="6663">
        <f ca="1"/>
        <v>445.34</v>
      </c>
      <c r="D477" vm="4815">
        <f ca="1"/>
        <v>61.74</v>
      </c>
      <c r="E477" vm="6664">
        <f ca="1"/>
        <v>220.12</v>
      </c>
      <c r="F477" vm="622">
        <f ca="1"/>
        <v>169.54</v>
      </c>
      <c r="G477" vm="2968">
        <f ca="1"/>
        <v>31.14</v>
      </c>
      <c r="H477" vm="6665">
        <f ca="1"/>
        <v>186.01</v>
      </c>
      <c r="I477" vm="4312">
        <f ca="1"/>
        <v>35.130000000000003</v>
      </c>
      <c r="J477" vm="6666">
        <f ca="1"/>
        <v>32.19</v>
      </c>
      <c r="K477" vm="6667">
        <f ca="1"/>
        <v>554.08000000000004</v>
      </c>
      <c r="L477" vm="6668">
        <f ca="1"/>
        <v>323.33</v>
      </c>
      <c r="M477" vm="6500">
        <f ca="1"/>
        <v>237.51</v>
      </c>
      <c r="N477" vm="6669">
        <f ca="1"/>
        <v>534.83000000000004</v>
      </c>
      <c r="O477" vm="6670">
        <f ca="1"/>
        <v>172.49</v>
      </c>
      <c r="P477" vm="6671">
        <f ca="1"/>
        <v>415</v>
      </c>
    </row>
    <row r="478" spans="1:16" x14ac:dyDescent="0.25">
      <c r="A478" vm="6672">
        <f ca="1"/>
        <v>45614</v>
      </c>
      <c r="B478" vm="6673">
        <f ca="1"/>
        <v>691.68</v>
      </c>
      <c r="C478" vm="6674">
        <f ca="1"/>
        <v>439.13</v>
      </c>
      <c r="D478" vm="952">
        <f ca="1"/>
        <v>61.86</v>
      </c>
      <c r="E478" vm="6675">
        <f ca="1"/>
        <v>217.09</v>
      </c>
      <c r="F478" vm="6676">
        <f ca="1"/>
        <v>170.75</v>
      </c>
      <c r="G478" vm="1304">
        <f ca="1"/>
        <v>31.07</v>
      </c>
      <c r="H478" vm="6397">
        <f ca="1"/>
        <v>187.48</v>
      </c>
      <c r="I478" vm="4169">
        <f ca="1"/>
        <v>34.97</v>
      </c>
      <c r="J478" vm="5486">
        <f ca="1"/>
        <v>31.93</v>
      </c>
      <c r="K478" vm="6677">
        <f ca="1"/>
        <v>554.4</v>
      </c>
      <c r="L478" vm="2516">
        <f ca="1"/>
        <v>328.41</v>
      </c>
      <c r="M478" vm="6678">
        <f ca="1"/>
        <v>238.06</v>
      </c>
      <c r="N478" vm="6679">
        <f ca="1"/>
        <v>530.96</v>
      </c>
      <c r="O478" vm="6680">
        <f ca="1"/>
        <v>175.3</v>
      </c>
      <c r="P478" vm="6681">
        <f ca="1"/>
        <v>415.76</v>
      </c>
    </row>
    <row r="479" spans="1:16" x14ac:dyDescent="0.25">
      <c r="A479" vm="6682">
        <f ca="1"/>
        <v>45615</v>
      </c>
      <c r="B479" vm="6683">
        <f ca="1"/>
        <v>689.76</v>
      </c>
      <c r="C479" vm="6684">
        <f ca="1"/>
        <v>435.09</v>
      </c>
      <c r="D479" vm="6685">
        <f ca="1"/>
        <v>62.59</v>
      </c>
      <c r="E479" vm="763">
        <f ca="1"/>
        <v>212</v>
      </c>
      <c r="F479" vm="5723">
        <f ca="1"/>
        <v>170.76</v>
      </c>
      <c r="G479" vm="5664">
        <f ca="1"/>
        <v>30.58</v>
      </c>
      <c r="H479" vm="6686">
        <f ca="1"/>
        <v>189.67</v>
      </c>
      <c r="I479" vm="4405">
        <f ca="1"/>
        <v>34.6</v>
      </c>
      <c r="J479" vm="6687">
        <f ca="1"/>
        <v>31.99</v>
      </c>
      <c r="K479" vm="6688">
        <f ca="1"/>
        <v>561.09</v>
      </c>
      <c r="L479" vm="6689">
        <f ca="1"/>
        <v>330.78</v>
      </c>
      <c r="M479" vm="6690">
        <f ca="1"/>
        <v>240.44</v>
      </c>
      <c r="N479" vm="6691">
        <f ca="1"/>
        <v>533.26</v>
      </c>
      <c r="O479" vm="6692">
        <f ca="1"/>
        <v>178.12</v>
      </c>
      <c r="P479" vm="6693">
        <f ca="1"/>
        <v>417.79</v>
      </c>
    </row>
    <row r="480" spans="1:16" x14ac:dyDescent="0.25">
      <c r="A480" vm="6694">
        <f ca="1"/>
        <v>45616</v>
      </c>
      <c r="B480" vm="6695">
        <f ca="1"/>
        <v>690.43</v>
      </c>
      <c r="C480" vm="6696">
        <f ca="1"/>
        <v>431.73</v>
      </c>
      <c r="D480" vm="5275">
        <f ca="1"/>
        <v>62.99</v>
      </c>
      <c r="E480" vm="6697">
        <f ca="1"/>
        <v>212.25</v>
      </c>
      <c r="F480" vm="6698">
        <f ca="1"/>
        <v>170.89</v>
      </c>
      <c r="G480" vm="40">
        <f ca="1"/>
        <v>30.88</v>
      </c>
      <c r="H480" vm="6699">
        <f ca="1"/>
        <v>188.36</v>
      </c>
      <c r="I480" vm="3835">
        <f ca="1"/>
        <v>34.57</v>
      </c>
      <c r="J480" vm="5430">
        <f ca="1"/>
        <v>32</v>
      </c>
      <c r="K480" vm="6700">
        <f ca="1"/>
        <v>565.52</v>
      </c>
      <c r="L480" vm="6701">
        <f ca="1"/>
        <v>332.34</v>
      </c>
      <c r="M480" vm="6702">
        <f ca="1"/>
        <v>239.75</v>
      </c>
      <c r="N480" vm="6703">
        <f ca="1"/>
        <v>534.73</v>
      </c>
      <c r="O480" vm="6704">
        <f ca="1"/>
        <v>175.98</v>
      </c>
      <c r="P480" vm="6705">
        <f ca="1"/>
        <v>415.49</v>
      </c>
    </row>
    <row r="481" spans="1:16" x14ac:dyDescent="0.25">
      <c r="A481" vm="6706">
        <f ca="1"/>
        <v>45617</v>
      </c>
      <c r="B481" vm="6707">
        <f ca="1"/>
        <v>702.68</v>
      </c>
      <c r="C481" vm="6708">
        <f ca="1"/>
        <v>441.52</v>
      </c>
      <c r="D481" vm="5455">
        <f ca="1"/>
        <v>63.76</v>
      </c>
      <c r="E481" vm="6709">
        <f ca="1"/>
        <v>215.77</v>
      </c>
      <c r="F481" vm="6710">
        <f ca="1"/>
        <v>172.75</v>
      </c>
      <c r="G481" vm="6711">
        <f ca="1"/>
        <v>31.09</v>
      </c>
      <c r="H481" vm="6712">
        <f ca="1"/>
        <v>191.24</v>
      </c>
      <c r="I481" vm="4702">
        <f ca="1"/>
        <v>35.340000000000003</v>
      </c>
      <c r="J481" vm="6713">
        <f ca="1"/>
        <v>32.28</v>
      </c>
      <c r="K481" vm="6714">
        <f ca="1"/>
        <v>563.09</v>
      </c>
      <c r="L481" vm="6715">
        <f ca="1"/>
        <v>340.01</v>
      </c>
      <c r="M481" vm="6716">
        <f ca="1"/>
        <v>240.76</v>
      </c>
      <c r="N481" vm="6717">
        <f ca="1"/>
        <v>542.01</v>
      </c>
      <c r="O481" vm="5815">
        <f ca="1"/>
        <v>167.63</v>
      </c>
      <c r="P481" vm="6718">
        <f ca="1"/>
        <v>412.87</v>
      </c>
    </row>
    <row r="482" spans="1:16" x14ac:dyDescent="0.25">
      <c r="A482" vm="6719">
        <f ca="1"/>
        <v>45618</v>
      </c>
      <c r="B482" vm="6720">
        <f ca="1"/>
        <v>706.87</v>
      </c>
      <c r="C482" vm="6721">
        <f ca="1"/>
        <v>449.65</v>
      </c>
      <c r="D482" vm="1359">
        <f ca="1"/>
        <v>63.92</v>
      </c>
      <c r="E482" vm="6722">
        <f ca="1"/>
        <v>214.34</v>
      </c>
      <c r="F482" vm="6723">
        <f ca="1"/>
        <v>176.28</v>
      </c>
      <c r="G482" vm="1396">
        <f ca="1"/>
        <v>31.81</v>
      </c>
      <c r="H482" vm="6724">
        <f ca="1"/>
        <v>190.08</v>
      </c>
      <c r="I482" vm="5048">
        <f ca="1"/>
        <v>35.78</v>
      </c>
      <c r="J482" vm="6725">
        <f ca="1"/>
        <v>33.04</v>
      </c>
      <c r="K482" vm="6726">
        <f ca="1"/>
        <v>559.14</v>
      </c>
      <c r="L482" vm="4180">
        <f ca="1"/>
        <v>341.92</v>
      </c>
      <c r="M482" vm="6727">
        <f ca="1"/>
        <v>239.66</v>
      </c>
      <c r="N482" vm="6728">
        <f ca="1"/>
        <v>542.22</v>
      </c>
      <c r="O482" vm="3127">
        <f ca="1"/>
        <v>164.76</v>
      </c>
      <c r="P482" vm="5588">
        <f ca="1"/>
        <v>417</v>
      </c>
    </row>
    <row r="483" spans="1:16" x14ac:dyDescent="0.25">
      <c r="A483" vm="6729">
        <f ca="1"/>
        <v>45621</v>
      </c>
      <c r="B483" vm="6730">
        <f ca="1"/>
        <v>704.42</v>
      </c>
      <c r="C483" vm="6731">
        <f ca="1"/>
        <v>469.68</v>
      </c>
      <c r="D483" vm="6732">
        <f ca="1"/>
        <v>64.38</v>
      </c>
      <c r="E483" vm="5305">
        <f ca="1"/>
        <v>216.12</v>
      </c>
      <c r="F483" vm="6733">
        <f ca="1"/>
        <v>177.39</v>
      </c>
      <c r="G483" vm="1380">
        <f ca="1"/>
        <v>32.020000000000003</v>
      </c>
      <c r="H483" vm="6734">
        <f ca="1"/>
        <v>185.08</v>
      </c>
      <c r="I483" vm="1798">
        <f ca="1"/>
        <v>36.619999999999997</v>
      </c>
      <c r="J483" vm="1815">
        <f ca="1"/>
        <v>33.130000000000003</v>
      </c>
      <c r="K483" vm="6735">
        <f ca="1"/>
        <v>565.11</v>
      </c>
      <c r="L483" vm="6736">
        <f ca="1"/>
        <v>342.92</v>
      </c>
      <c r="M483" vm="6737">
        <f ca="1"/>
        <v>241.67</v>
      </c>
      <c r="N483" vm="6738">
        <f ca="1"/>
        <v>521.89</v>
      </c>
      <c r="O483" vm="20">
        <f ca="1"/>
        <v>167.65</v>
      </c>
      <c r="P483" vm="6739">
        <f ca="1"/>
        <v>418.79</v>
      </c>
    </row>
    <row r="484" spans="1:16" x14ac:dyDescent="0.25">
      <c r="A484" vm="6740">
        <f ca="1"/>
        <v>45622</v>
      </c>
      <c r="B484" vm="6741">
        <f ca="1"/>
        <v>706.85</v>
      </c>
      <c r="C484" vm="6742">
        <f ca="1"/>
        <v>461.22</v>
      </c>
      <c r="D484" vm="6743">
        <f ca="1"/>
        <v>64.55</v>
      </c>
      <c r="E484" vm="6744">
        <f ca="1"/>
        <v>216.06</v>
      </c>
      <c r="F484" vm="6745">
        <f ca="1"/>
        <v>179.31</v>
      </c>
      <c r="G484" vm="6746">
        <f ca="1"/>
        <v>31.97</v>
      </c>
      <c r="H484" vm="6747">
        <f ca="1"/>
        <v>183.84</v>
      </c>
      <c r="I484" vm="6748">
        <f ca="1"/>
        <v>36.69</v>
      </c>
      <c r="J484" vm="5251">
        <f ca="1"/>
        <v>32.67</v>
      </c>
      <c r="K484" vm="6749">
        <f ca="1"/>
        <v>573.54</v>
      </c>
      <c r="L484" vm="6750">
        <f ca="1"/>
        <v>346.6</v>
      </c>
      <c r="M484" vm="6751">
        <f ca="1"/>
        <v>233.6</v>
      </c>
      <c r="N484" vm="6752">
        <f ca="1"/>
        <v>521.45000000000005</v>
      </c>
      <c r="O484" vm="6753">
        <f ca="1"/>
        <v>169.12</v>
      </c>
      <c r="P484" vm="6754">
        <f ca="1"/>
        <v>427.99</v>
      </c>
    </row>
    <row r="485" spans="1:16" x14ac:dyDescent="0.25">
      <c r="A485" vm="6755">
        <f ca="1"/>
        <v>45623</v>
      </c>
      <c r="B485" vm="6756">
        <f ca="1"/>
        <v>699.88</v>
      </c>
      <c r="C485" vm="6757">
        <f ca="1"/>
        <v>457.59</v>
      </c>
      <c r="D485" vm="6758">
        <f ca="1"/>
        <v>64.430000000000007</v>
      </c>
      <c r="E485" vm="6759">
        <f ca="1"/>
        <v>217.47</v>
      </c>
      <c r="F485" vm="6760">
        <f ca="1"/>
        <v>179.36</v>
      </c>
      <c r="G485" vm="5486">
        <f ca="1"/>
        <v>31.93</v>
      </c>
      <c r="H485" vm="6761">
        <f ca="1"/>
        <v>181.19</v>
      </c>
      <c r="I485" vm="1725">
        <f ca="1"/>
        <v>36.58</v>
      </c>
      <c r="J485" vm="6762">
        <f ca="1"/>
        <v>32.04</v>
      </c>
      <c r="K485" vm="6763">
        <f ca="1"/>
        <v>569.20000000000005</v>
      </c>
      <c r="L485" vm="6764">
        <f ca="1"/>
        <v>343.94</v>
      </c>
      <c r="M485" vm="6765">
        <f ca="1"/>
        <v>235.97</v>
      </c>
      <c r="N485" vm="6766">
        <f ca="1"/>
        <v>525.75</v>
      </c>
      <c r="O485" vm="6767">
        <f ca="1"/>
        <v>169.23</v>
      </c>
      <c r="P485" vm="6768">
        <f ca="1"/>
        <v>422.99</v>
      </c>
    </row>
    <row r="486" spans="1:16" x14ac:dyDescent="0.25">
      <c r="A486" vm="6769">
        <f ca="1"/>
        <v>45625</v>
      </c>
      <c r="B486" vm="6770">
        <f ca="1"/>
        <v>702.9</v>
      </c>
      <c r="C486" vm="6771">
        <f ca="1"/>
        <v>456.7</v>
      </c>
      <c r="D486" vm="6772">
        <f ca="1"/>
        <v>64.08</v>
      </c>
      <c r="E486" vm="6773">
        <f ca="1"/>
        <v>219.06</v>
      </c>
      <c r="F486" vm="6774">
        <f ca="1"/>
        <v>179.26</v>
      </c>
      <c r="G486" vm="6746">
        <f ca="1"/>
        <v>31.97</v>
      </c>
      <c r="H486" vm="6775">
        <f ca="1"/>
        <v>184.66</v>
      </c>
      <c r="I486" vm="2153">
        <f ca="1"/>
        <v>36.549999999999997</v>
      </c>
      <c r="J486" vm="6776">
        <f ca="1"/>
        <v>32.17</v>
      </c>
      <c r="K486" vm="6777">
        <f ca="1"/>
        <v>574.32000000000005</v>
      </c>
      <c r="L486" vm="6778">
        <f ca="1"/>
        <v>344.52</v>
      </c>
      <c r="M486" vm="6779">
        <f ca="1"/>
        <v>240.95</v>
      </c>
      <c r="N486" vm="6780">
        <f ca="1"/>
        <v>529.41</v>
      </c>
      <c r="O486" vm="6346">
        <f ca="1"/>
        <v>168.95</v>
      </c>
      <c r="P486" vm="6781">
        <f ca="1"/>
        <v>423.46</v>
      </c>
    </row>
    <row r="487" spans="1:16" x14ac:dyDescent="0.25">
      <c r="A487" vm="6782">
        <f ca="1"/>
        <v>45628</v>
      </c>
      <c r="B487" vm="6783">
        <f ca="1"/>
        <v>700.69</v>
      </c>
      <c r="C487" vm="6784">
        <f ca="1"/>
        <v>453.28</v>
      </c>
      <c r="D487" vm="1314">
        <f ca="1"/>
        <v>63.65</v>
      </c>
      <c r="E487" vm="1141">
        <f ca="1"/>
        <v>218.86</v>
      </c>
      <c r="F487" vm="6785">
        <f ca="1"/>
        <v>179.7</v>
      </c>
      <c r="G487" vm="1531">
        <f ca="1"/>
        <v>31.61</v>
      </c>
      <c r="H487" vm="6786">
        <f ca="1"/>
        <v>194.4</v>
      </c>
      <c r="I487" vm="6787">
        <f ca="1"/>
        <v>36.340000000000003</v>
      </c>
      <c r="J487" vm="5251">
        <f ca="1"/>
        <v>32.67</v>
      </c>
      <c r="K487" vm="6788">
        <f ca="1"/>
        <v>592.83000000000004</v>
      </c>
      <c r="L487" vm="1792">
        <f ca="1"/>
        <v>342.33</v>
      </c>
      <c r="M487" vm="6789">
        <f ca="1"/>
        <v>237.76</v>
      </c>
      <c r="N487" vm="6790">
        <f ca="1"/>
        <v>520.34</v>
      </c>
      <c r="O487" vm="6791">
        <f ca="1"/>
        <v>171.49</v>
      </c>
      <c r="P487" vm="6792">
        <f ca="1"/>
        <v>430.98</v>
      </c>
    </row>
    <row r="488" spans="1:16" x14ac:dyDescent="0.25">
      <c r="A488" vm="6793">
        <f ca="1"/>
        <v>45629</v>
      </c>
      <c r="B488" vm="6794">
        <f ca="1"/>
        <v>700.9</v>
      </c>
      <c r="C488" vm="6795">
        <f ca="1"/>
        <v>444.43</v>
      </c>
      <c r="D488" vm="6796">
        <f ca="1"/>
        <v>63.52</v>
      </c>
      <c r="E488" vm="4601">
        <f ca="1"/>
        <v>216.65</v>
      </c>
      <c r="F488" vm="6797">
        <f ca="1"/>
        <v>175.42</v>
      </c>
      <c r="G488" vm="3025">
        <f ca="1"/>
        <v>31.45</v>
      </c>
      <c r="H488" vm="6798">
        <f ca="1"/>
        <v>198.89</v>
      </c>
      <c r="I488" vm="5034">
        <f ca="1"/>
        <v>36</v>
      </c>
      <c r="J488" vm="6799">
        <f ca="1"/>
        <v>32.43</v>
      </c>
      <c r="K488" vm="6800">
        <f ca="1"/>
        <v>613.65</v>
      </c>
      <c r="L488" vm="6801">
        <f ca="1"/>
        <v>339.74</v>
      </c>
      <c r="M488" vm="1596">
        <f ca="1"/>
        <v>237.06</v>
      </c>
      <c r="N488" vm="6802">
        <f ca="1"/>
        <v>517</v>
      </c>
      <c r="O488" vm="6803">
        <f ca="1"/>
        <v>171.34</v>
      </c>
      <c r="P488" vm="6804">
        <f ca="1"/>
        <v>431.2</v>
      </c>
    </row>
    <row r="489" spans="1:16" x14ac:dyDescent="0.25">
      <c r="A489" vm="6805">
        <f ca="1"/>
        <v>45630</v>
      </c>
      <c r="B489" vm="6806">
        <f ca="1"/>
        <v>696.49</v>
      </c>
      <c r="C489" vm="6807">
        <f ca="1"/>
        <v>438.24</v>
      </c>
      <c r="D489" vm="1014">
        <f ca="1"/>
        <v>62.21</v>
      </c>
      <c r="E489" vm="6808">
        <f ca="1"/>
        <v>217.25</v>
      </c>
      <c r="F489" vm="6809">
        <f ca="1"/>
        <v>175.11</v>
      </c>
      <c r="G489" vm="2458">
        <f ca="1"/>
        <v>31</v>
      </c>
      <c r="H489" vm="131">
        <f ca="1"/>
        <v>200.69</v>
      </c>
      <c r="I489" vm="6810">
        <f ca="1"/>
        <v>35.299999999999997</v>
      </c>
      <c r="J489" vm="246">
        <f ca="1"/>
        <v>32.049999999999997</v>
      </c>
      <c r="K489" vm="6811">
        <f ca="1"/>
        <v>613.78</v>
      </c>
      <c r="L489" vm="6812">
        <f ca="1"/>
        <v>333.66</v>
      </c>
      <c r="M489" vm="6813">
        <f ca="1"/>
        <v>238.3</v>
      </c>
      <c r="N489" vm="6814">
        <f ca="1"/>
        <v>517.5</v>
      </c>
      <c r="O489" vm="6815">
        <f ca="1"/>
        <v>174.37</v>
      </c>
      <c r="P489" vm="6816">
        <f ca="1"/>
        <v>437.42</v>
      </c>
    </row>
    <row r="490" spans="1:16" x14ac:dyDescent="0.25">
      <c r="A490" vm="6817">
        <f ca="1"/>
        <v>45631</v>
      </c>
      <c r="B490" vm="6818">
        <f ca="1"/>
        <v>694.71</v>
      </c>
      <c r="C490" vm="6819">
        <f ca="1"/>
        <v>436.27</v>
      </c>
      <c r="D490" vm="50">
        <f ca="1"/>
        <v>62.92</v>
      </c>
      <c r="E490" vm="919">
        <f ca="1"/>
        <v>217.43</v>
      </c>
      <c r="F490" vm="6820">
        <f ca="1"/>
        <v>176.03</v>
      </c>
      <c r="G490" vm="71">
        <f ca="1"/>
        <v>30.91</v>
      </c>
      <c r="H490" vm="6821">
        <f ca="1"/>
        <v>204.3</v>
      </c>
      <c r="I490" vm="3736">
        <f ca="1"/>
        <v>34.619999999999997</v>
      </c>
      <c r="J490" vm="1334">
        <f ca="1"/>
        <v>31.31</v>
      </c>
      <c r="K490" vm="6822">
        <f ca="1"/>
        <v>608.92999999999995</v>
      </c>
      <c r="L490" vm="6823">
        <f ca="1"/>
        <v>334.97</v>
      </c>
      <c r="M490" vm="6824">
        <f ca="1"/>
        <v>239.5</v>
      </c>
      <c r="N490" vm="6825">
        <f ca="1"/>
        <v>517.48</v>
      </c>
      <c r="O490" vm="6826">
        <f ca="1"/>
        <v>172.64</v>
      </c>
      <c r="P490" vm="6827">
        <f ca="1"/>
        <v>442.62</v>
      </c>
    </row>
    <row r="491" spans="1:16" x14ac:dyDescent="0.25">
      <c r="A491" vm="6828">
        <f ca="1"/>
        <v>45632</v>
      </c>
      <c r="B491" vm="6829">
        <f ca="1"/>
        <v>696.16</v>
      </c>
      <c r="C491" vm="6830">
        <f ca="1"/>
        <v>440.01</v>
      </c>
      <c r="D491" vm="6831">
        <f ca="1"/>
        <v>62.53</v>
      </c>
      <c r="E491" vm="6832">
        <f ca="1"/>
        <v>215.89</v>
      </c>
      <c r="F491" vm="6833">
        <f ca="1"/>
        <v>173.82</v>
      </c>
      <c r="G491" vm="1185">
        <f ca="1"/>
        <v>30.81</v>
      </c>
      <c r="H491" vm="6834">
        <f ca="1"/>
        <v>203.02</v>
      </c>
      <c r="I491" vm="3890">
        <f ca="1"/>
        <v>34.450000000000003</v>
      </c>
      <c r="J491" vm="6835">
        <f ca="1"/>
        <v>31.32</v>
      </c>
      <c r="K491" vm="6168">
        <f ca="1"/>
        <v>623.77</v>
      </c>
      <c r="L491" vm="2014">
        <f ca="1"/>
        <v>332.47</v>
      </c>
      <c r="M491" vm="2941">
        <f ca="1"/>
        <v>239</v>
      </c>
      <c r="N491" vm="6836">
        <f ca="1"/>
        <v>513.03</v>
      </c>
      <c r="O491" vm="6837">
        <f ca="1"/>
        <v>174.71</v>
      </c>
      <c r="P491" vm="6838">
        <f ca="1"/>
        <v>443.57</v>
      </c>
    </row>
    <row r="492" spans="1:16" x14ac:dyDescent="0.25">
      <c r="A492" vm="6839">
        <f ca="1"/>
        <v>45635</v>
      </c>
      <c r="B492" vm="6840">
        <f ca="1"/>
        <v>686</v>
      </c>
      <c r="C492" vm="6841">
        <f ca="1"/>
        <v>430.94</v>
      </c>
      <c r="D492" vm="6842">
        <f ca="1"/>
        <v>62.6</v>
      </c>
      <c r="E492" vm="6843">
        <f ca="1"/>
        <v>215.63</v>
      </c>
      <c r="F492" vm="6844">
        <f ca="1"/>
        <v>170.79</v>
      </c>
      <c r="G492" vm="6845">
        <f ca="1"/>
        <v>31.72</v>
      </c>
      <c r="H492" vm="210">
        <f ca="1"/>
        <v>199.17</v>
      </c>
      <c r="I492" vm="6846">
        <f ca="1"/>
        <v>33.97</v>
      </c>
      <c r="J492" vm="21">
        <f ca="1"/>
        <v>30.71</v>
      </c>
      <c r="K492" vm="6847">
        <f ca="1"/>
        <v>613.57000000000005</v>
      </c>
      <c r="L492" vm="6848">
        <f ca="1"/>
        <v>321.98</v>
      </c>
      <c r="M492" vm="6849">
        <f ca="1"/>
        <v>244.31</v>
      </c>
      <c r="N492" vm="6850">
        <f ca="1"/>
        <v>510.01</v>
      </c>
      <c r="O492" vm="6851">
        <f ca="1"/>
        <v>175.37</v>
      </c>
      <c r="P492" vm="6852">
        <f ca="1"/>
        <v>446.02</v>
      </c>
    </row>
    <row r="493" spans="1:16" x14ac:dyDescent="0.25">
      <c r="A493" vm="6853">
        <f ca="1"/>
        <v>45636</v>
      </c>
      <c r="B493" vm="6854">
        <f ca="1"/>
        <v>677.93</v>
      </c>
      <c r="C493" vm="4442">
        <f ca="1"/>
        <v>425.22</v>
      </c>
      <c r="D493" vm="5061">
        <f ca="1"/>
        <v>62.91</v>
      </c>
      <c r="E493" vm="6855">
        <f ca="1"/>
        <v>214.22</v>
      </c>
      <c r="F493" vm="6409">
        <f ca="1"/>
        <v>172.28</v>
      </c>
      <c r="G493" vm="357">
        <f ca="1"/>
        <v>31.59</v>
      </c>
      <c r="H493" vm="6856">
        <f ca="1"/>
        <v>191.94</v>
      </c>
      <c r="I493" vm="5814">
        <f ca="1"/>
        <v>34.17</v>
      </c>
      <c r="J493" vm="6857">
        <f ca="1"/>
        <v>31.17</v>
      </c>
      <c r="K493" vm="6858">
        <f ca="1"/>
        <v>619.32000000000005</v>
      </c>
      <c r="L493" vm="6859">
        <f ca="1"/>
        <v>319.89999999999998</v>
      </c>
      <c r="M493" vm="5729">
        <f ca="1"/>
        <v>242.6</v>
      </c>
      <c r="N493" vm="6860">
        <f ca="1"/>
        <v>512.94000000000005</v>
      </c>
      <c r="O493" vm="6861">
        <f ca="1"/>
        <v>185.17</v>
      </c>
      <c r="P493" vm="6862">
        <f ca="1"/>
        <v>443.33</v>
      </c>
    </row>
    <row r="494" spans="1:16" x14ac:dyDescent="0.25">
      <c r="A494" vm="6863">
        <f ca="1"/>
        <v>45637</v>
      </c>
      <c r="B494" vm="6864">
        <f ca="1"/>
        <v>686.39</v>
      </c>
      <c r="C494" vm="6865">
        <f ca="1"/>
        <v>427.06</v>
      </c>
      <c r="D494" vm="6866">
        <f ca="1"/>
        <v>62.64</v>
      </c>
      <c r="E494" vm="6867">
        <f ca="1"/>
        <v>209.62</v>
      </c>
      <c r="F494" vm="6868">
        <f ca="1"/>
        <v>170.63</v>
      </c>
      <c r="G494" vm="6869">
        <f ca="1"/>
        <v>31.29</v>
      </c>
      <c r="H494" vm="6870">
        <f ca="1"/>
        <v>194.6</v>
      </c>
      <c r="I494" vm="1993">
        <f ca="1"/>
        <v>33.61</v>
      </c>
      <c r="J494" vm="6871">
        <f ca="1"/>
        <v>31.24</v>
      </c>
      <c r="K494" vm="6872">
        <f ca="1"/>
        <v>632.67999999999995</v>
      </c>
      <c r="L494" vm="6873">
        <f ca="1"/>
        <v>334.25</v>
      </c>
      <c r="M494" vm="6874">
        <f ca="1"/>
        <v>239.89</v>
      </c>
      <c r="N494" vm="6875">
        <f ca="1"/>
        <v>504.24</v>
      </c>
      <c r="O494" vm="6876">
        <f ca="1"/>
        <v>195.4</v>
      </c>
      <c r="P494" vm="6877">
        <f ca="1"/>
        <v>448.99</v>
      </c>
    </row>
    <row r="495" spans="1:16" x14ac:dyDescent="0.25">
      <c r="A495" vm="6878">
        <f ca="1"/>
        <v>45638</v>
      </c>
      <c r="B495" vm="6879">
        <f ca="1"/>
        <v>682.57</v>
      </c>
      <c r="C495" vm="6880">
        <f ca="1"/>
        <v>423.76</v>
      </c>
      <c r="D495" vm="5366">
        <f ca="1"/>
        <v>63.84</v>
      </c>
      <c r="E495" vm="6881">
        <f ca="1"/>
        <v>216.41</v>
      </c>
      <c r="F495" vm="6882">
        <f ca="1"/>
        <v>170.85</v>
      </c>
      <c r="G495" vm="214">
        <f ca="1"/>
        <v>31.55</v>
      </c>
      <c r="H495" vm="6883">
        <f ca="1"/>
        <v>191.46</v>
      </c>
      <c r="I495" vm="4914">
        <f ca="1"/>
        <v>33.68</v>
      </c>
      <c r="J495" vm="1608">
        <f ca="1"/>
        <v>30.67</v>
      </c>
      <c r="K495" vm="6884">
        <f ca="1"/>
        <v>630.79</v>
      </c>
      <c r="L495" vm="6885">
        <f ca="1"/>
        <v>336.1</v>
      </c>
      <c r="M495" vm="6886">
        <f ca="1"/>
        <v>239.45</v>
      </c>
      <c r="N495" vm="6887">
        <f ca="1"/>
        <v>496.58</v>
      </c>
      <c r="O495" vm="6888">
        <f ca="1"/>
        <v>191.96</v>
      </c>
      <c r="P495" vm="6889">
        <f ca="1"/>
        <v>449.56</v>
      </c>
    </row>
    <row r="496" spans="1:16" x14ac:dyDescent="0.25">
      <c r="A496" vm="6890">
        <f ca="1"/>
        <v>45639</v>
      </c>
      <c r="B496" vm="6891">
        <f ca="1"/>
        <v>671.82</v>
      </c>
      <c r="C496" vm="6892">
        <f ca="1"/>
        <v>420.03</v>
      </c>
      <c r="D496" vm="6893">
        <f ca="1"/>
        <v>63.12</v>
      </c>
      <c r="E496" vm="6855">
        <f ca="1"/>
        <v>214.22</v>
      </c>
      <c r="F496" vm="6894">
        <f ca="1"/>
        <v>171.06</v>
      </c>
      <c r="G496" vm="6895">
        <f ca="1"/>
        <v>31.69</v>
      </c>
      <c r="H496" vm="6896">
        <f ca="1"/>
        <v>200.99</v>
      </c>
      <c r="I496" vm="3263">
        <f ca="1"/>
        <v>33.24</v>
      </c>
      <c r="J496" vm="6226">
        <f ca="1"/>
        <v>29.75</v>
      </c>
      <c r="K496" vm="6897">
        <f ca="1"/>
        <v>620.35</v>
      </c>
      <c r="L496" vm="6898">
        <f ca="1"/>
        <v>337.6</v>
      </c>
      <c r="M496" vm="6727">
        <f ca="1"/>
        <v>239.66</v>
      </c>
      <c r="N496" vm="6899">
        <f ca="1"/>
        <v>494.65</v>
      </c>
      <c r="O496" vm="6900">
        <f ca="1"/>
        <v>189.82</v>
      </c>
      <c r="P496" vm="6901">
        <f ca="1"/>
        <v>447.27</v>
      </c>
    </row>
    <row r="497" spans="1:16" x14ac:dyDescent="0.25">
      <c r="A497" vm="6902">
        <f ca="1"/>
        <v>45642</v>
      </c>
      <c r="B497" vm="6903">
        <f ca="1"/>
        <v>673.74</v>
      </c>
      <c r="C497" vm="6904">
        <f ca="1"/>
        <v>416.24</v>
      </c>
      <c r="D497" vm="5290">
        <f ca="1"/>
        <v>62.55</v>
      </c>
      <c r="E497" vm="6905">
        <f ca="1"/>
        <v>211.03</v>
      </c>
      <c r="F497" vm="6906">
        <f ca="1"/>
        <v>171.14</v>
      </c>
      <c r="G497" vm="1592">
        <f ca="1"/>
        <v>30.97</v>
      </c>
      <c r="H497" vm="6907">
        <f ca="1"/>
        <v>202.22</v>
      </c>
      <c r="I497" vm="6908">
        <f ca="1"/>
        <v>32.94</v>
      </c>
      <c r="J497" vm="1019">
        <f ca="1"/>
        <v>29.51</v>
      </c>
      <c r="K497" vm="6909">
        <f ca="1"/>
        <v>624.24</v>
      </c>
      <c r="L497" vm="6910">
        <f ca="1"/>
        <v>342.5</v>
      </c>
      <c r="M497" vm="6911">
        <f ca="1"/>
        <v>232.92</v>
      </c>
      <c r="N497" vm="6912">
        <f ca="1"/>
        <v>491.65</v>
      </c>
      <c r="O497" vm="6913">
        <f ca="1"/>
        <v>196.66</v>
      </c>
      <c r="P497" vm="6914">
        <f ca="1"/>
        <v>451.59</v>
      </c>
    </row>
    <row r="498" spans="1:16" x14ac:dyDescent="0.25">
      <c r="A498" vm="6915">
        <f ca="1"/>
        <v>45643</v>
      </c>
      <c r="B498" vm="6916">
        <f ca="1"/>
        <v>665.99</v>
      </c>
      <c r="C498" vm="6917">
        <f ca="1"/>
        <v>404.63</v>
      </c>
      <c r="D498" vm="82">
        <f ca="1"/>
        <v>63.4</v>
      </c>
      <c r="E498" vm="6918">
        <f ca="1"/>
        <v>209.51</v>
      </c>
      <c r="F498" vm="6919">
        <f ca="1"/>
        <v>170.33</v>
      </c>
      <c r="G498" vm="6920">
        <f ca="1"/>
        <v>31.25</v>
      </c>
      <c r="H498" vm="6921">
        <f ca="1"/>
        <v>200.66</v>
      </c>
      <c r="I498" vm="5238">
        <f ca="1"/>
        <v>32.93</v>
      </c>
      <c r="J498" vm="6101">
        <f ca="1"/>
        <v>28.07</v>
      </c>
      <c r="K498" vm="6922">
        <f ca="1"/>
        <v>619.44000000000005</v>
      </c>
      <c r="L498" vm="6923">
        <f ca="1"/>
        <v>336.43</v>
      </c>
      <c r="M498" vm="6924">
        <f ca="1"/>
        <v>233.09</v>
      </c>
      <c r="N498" vm="6925">
        <f ca="1"/>
        <v>490.61</v>
      </c>
      <c r="O498" vm="6926">
        <f ca="1"/>
        <v>195.42</v>
      </c>
      <c r="P498" vm="6927">
        <f ca="1"/>
        <v>454.46</v>
      </c>
    </row>
    <row r="499" spans="1:16" x14ac:dyDescent="0.25">
      <c r="A499" vm="6928">
        <f ca="1"/>
        <v>45644</v>
      </c>
      <c r="B499" vm="6929">
        <f ca="1"/>
        <v>643.79999999999995</v>
      </c>
      <c r="C499" vm="6930">
        <f ca="1"/>
        <v>384.09</v>
      </c>
      <c r="D499" vm="4936">
        <f ca="1"/>
        <v>62.85</v>
      </c>
      <c r="E499" vm="6931">
        <f ca="1"/>
        <v>207.01</v>
      </c>
      <c r="F499" vm="6123">
        <f ca="1"/>
        <v>169.08</v>
      </c>
      <c r="G499" vm="6932">
        <f ca="1"/>
        <v>30.3</v>
      </c>
      <c r="H499" vm="3934">
        <f ca="1"/>
        <v>195.56</v>
      </c>
      <c r="I499" vm="3082">
        <f ca="1"/>
        <v>32.08</v>
      </c>
      <c r="J499" vm="3652">
        <f ca="1"/>
        <v>26.7</v>
      </c>
      <c r="K499" vm="6933">
        <f ca="1"/>
        <v>597.19000000000005</v>
      </c>
      <c r="L499" vm="6934">
        <f ca="1"/>
        <v>320.62</v>
      </c>
      <c r="M499" vm="6935">
        <f ca="1"/>
        <v>228.31</v>
      </c>
      <c r="N499" vm="6936">
        <f ca="1"/>
        <v>482.94</v>
      </c>
      <c r="O499" vm="6937">
        <f ca="1"/>
        <v>188.4</v>
      </c>
      <c r="P499" vm="6938">
        <f ca="1"/>
        <v>437.39</v>
      </c>
    </row>
    <row r="500" spans="1:16" x14ac:dyDescent="0.25">
      <c r="A500" vm="6939">
        <f ca="1"/>
        <v>45645</v>
      </c>
      <c r="B500" vm="6940">
        <f ca="1"/>
        <v>639.27</v>
      </c>
      <c r="C500" vm="6941">
        <f ca="1"/>
        <v>377.88</v>
      </c>
      <c r="D500" vm="6942">
        <f ca="1"/>
        <v>62.45</v>
      </c>
      <c r="E500" vm="6943">
        <f ca="1"/>
        <v>204.34</v>
      </c>
      <c r="F500" vm="6944">
        <f ca="1"/>
        <v>169.19</v>
      </c>
      <c r="G500" vm="6945">
        <f ca="1"/>
        <v>30.1</v>
      </c>
      <c r="H500" vm="6946">
        <f ca="1"/>
        <v>194.64</v>
      </c>
      <c r="I500" vm="2982">
        <f ca="1"/>
        <v>31.58</v>
      </c>
      <c r="J500" vm="6947">
        <f ca="1"/>
        <v>26.8</v>
      </c>
      <c r="K500" vm="6948">
        <f ca="1"/>
        <v>595.57000000000005</v>
      </c>
      <c r="L500" vm="6949">
        <f ca="1"/>
        <v>322.58999999999997</v>
      </c>
      <c r="M500" vm="6950">
        <f ca="1"/>
        <v>227.05</v>
      </c>
      <c r="N500" vm="6951">
        <f ca="1"/>
        <v>479.66</v>
      </c>
      <c r="O500" vm="6952">
        <f ca="1"/>
        <v>188.51</v>
      </c>
      <c r="P500" vm="6953">
        <f ca="1"/>
        <v>437.03</v>
      </c>
    </row>
    <row r="501" spans="1:16" x14ac:dyDescent="0.25">
      <c r="A501" vm="6954">
        <f ca="1"/>
        <v>45646</v>
      </c>
      <c r="B501" vm="6955">
        <f ca="1"/>
        <v>647.20000000000005</v>
      </c>
      <c r="C501" vm="6956">
        <f ca="1"/>
        <v>378.27</v>
      </c>
      <c r="D501" vm="5290">
        <f ca="1"/>
        <v>62.55</v>
      </c>
      <c r="E501" vm="6957">
        <f ca="1"/>
        <v>207.49</v>
      </c>
      <c r="F501" vm="5744">
        <f ca="1"/>
        <v>168.06</v>
      </c>
      <c r="G501" vm="6958">
        <f ca="1"/>
        <v>30.52</v>
      </c>
      <c r="H501" vm="6959">
        <f ca="1"/>
        <v>197.21</v>
      </c>
      <c r="I501" vm="6960">
        <f ca="1"/>
        <v>31.85</v>
      </c>
      <c r="J501" vm="6961">
        <f ca="1"/>
        <v>26.04</v>
      </c>
      <c r="K501" vm="6962">
        <f ca="1"/>
        <v>585.25</v>
      </c>
      <c r="L501" vm="2516">
        <f ca="1"/>
        <v>328.41</v>
      </c>
      <c r="M501" vm="6963">
        <f ca="1"/>
        <v>227.63</v>
      </c>
      <c r="N501" vm="6964">
        <f ca="1"/>
        <v>489.02</v>
      </c>
      <c r="O501" vm="6965">
        <f ca="1"/>
        <v>191.41</v>
      </c>
      <c r="P501" vm="6966">
        <f ca="1"/>
        <v>436.6</v>
      </c>
    </row>
    <row r="502" spans="1:16" x14ac:dyDescent="0.25">
      <c r="A502" vm="6967">
        <f ca="1"/>
        <v>45649</v>
      </c>
      <c r="B502" vm="6968">
        <f ca="1"/>
        <v>645.65</v>
      </c>
      <c r="C502" vm="6969">
        <f ca="1"/>
        <v>376.54</v>
      </c>
      <c r="D502" vm="6970">
        <f ca="1"/>
        <v>62.38</v>
      </c>
      <c r="E502" vm="1408">
        <f ca="1"/>
        <v>208</v>
      </c>
      <c r="F502" vm="6971">
        <f ca="1"/>
        <v>168.11</v>
      </c>
      <c r="G502" vm="1125">
        <f ca="1"/>
        <v>30.46</v>
      </c>
      <c r="H502" vm="6972">
        <f ca="1"/>
        <v>207.36</v>
      </c>
      <c r="I502" vm="5405">
        <f ca="1"/>
        <v>32.22</v>
      </c>
      <c r="J502" vm="6973">
        <f ca="1"/>
        <v>25.95</v>
      </c>
      <c r="K502" vm="6974">
        <f ca="1"/>
        <v>599.85</v>
      </c>
      <c r="L502" vm="6975">
        <f ca="1"/>
        <v>327.38</v>
      </c>
      <c r="M502" vm="329">
        <f ca="1"/>
        <v>226.36</v>
      </c>
      <c r="N502" vm="6976">
        <f ca="1"/>
        <v>486.49</v>
      </c>
      <c r="O502" vm="6977">
        <f ca="1"/>
        <v>194.63</v>
      </c>
      <c r="P502" vm="6978">
        <f ca="1"/>
        <v>435.25</v>
      </c>
    </row>
    <row r="503" spans="1:16" x14ac:dyDescent="0.25">
      <c r="A503" vm="6979">
        <f ca="1"/>
        <v>45650</v>
      </c>
      <c r="B503" vm="6980">
        <f ca="1"/>
        <v>652.57000000000005</v>
      </c>
      <c r="C503" vm="6981">
        <f ca="1"/>
        <v>376.45</v>
      </c>
      <c r="D503" vm="1046">
        <f ca="1"/>
        <v>62.84</v>
      </c>
      <c r="E503" vm="75">
        <f ca="1"/>
        <v>208.68</v>
      </c>
      <c r="F503" vm="6982">
        <f ca="1"/>
        <v>168.94</v>
      </c>
      <c r="G503" vm="1275">
        <f ca="1"/>
        <v>30.64</v>
      </c>
      <c r="H503" vm="6983">
        <f ca="1"/>
        <v>206.33</v>
      </c>
      <c r="I503" vm="2581">
        <f ca="1"/>
        <v>32.57</v>
      </c>
      <c r="J503" vm="6984">
        <f ca="1"/>
        <v>26.26</v>
      </c>
      <c r="K503" vm="6985">
        <f ca="1"/>
        <v>607.75</v>
      </c>
      <c r="L503" vm="6986">
        <f ca="1"/>
        <v>330.81</v>
      </c>
      <c r="M503" vm="6987">
        <f ca="1"/>
        <v>225.4</v>
      </c>
      <c r="N503" vm="6988">
        <f ca="1"/>
        <v>488.13</v>
      </c>
      <c r="O503" vm="6989">
        <f ca="1"/>
        <v>196.11</v>
      </c>
      <c r="P503" vm="6990">
        <f ca="1"/>
        <v>439.33</v>
      </c>
    </row>
    <row r="504" spans="1:16" x14ac:dyDescent="0.25">
      <c r="A504" vm="6991">
        <f ca="1"/>
        <v>45652</v>
      </c>
      <c r="B504" vm="6992">
        <f ca="1"/>
        <v>651.41999999999996</v>
      </c>
      <c r="C504" vm="6993">
        <f ca="1"/>
        <v>378.21</v>
      </c>
      <c r="D504" vm="5045">
        <f ca="1"/>
        <v>62.57</v>
      </c>
      <c r="E504" vm="6994">
        <f ca="1"/>
        <v>208.72</v>
      </c>
      <c r="F504" vm="5904">
        <f ca="1"/>
        <v>170.16</v>
      </c>
      <c r="G504" vm="6995">
        <f ca="1"/>
        <v>30.55</v>
      </c>
      <c r="H504" vm="6996">
        <f ca="1"/>
        <v>203.06</v>
      </c>
      <c r="I504" vm="2140">
        <f ca="1"/>
        <v>32.520000000000003</v>
      </c>
      <c r="J504" vm="4956">
        <f ca="1"/>
        <v>26.16</v>
      </c>
      <c r="K504" vm="6997">
        <f ca="1"/>
        <v>603.35</v>
      </c>
      <c r="L504" vm="6998">
        <f ca="1"/>
        <v>330.62</v>
      </c>
      <c r="M504" vm="4113">
        <f ca="1"/>
        <v>224.27</v>
      </c>
      <c r="N504" vm="6999">
        <f ca="1"/>
        <v>489.98</v>
      </c>
      <c r="O504" vm="7000">
        <f ca="1"/>
        <v>195.6</v>
      </c>
      <c r="P504" vm="7001">
        <f ca="1"/>
        <v>438.11</v>
      </c>
    </row>
    <row r="505" spans="1:16" x14ac:dyDescent="0.25">
      <c r="A505" vm="7002">
        <f ca="1"/>
        <v>45653</v>
      </c>
      <c r="B505" vm="7003">
        <f ca="1"/>
        <v>643.80999999999995</v>
      </c>
      <c r="C505" vm="7004">
        <f ca="1"/>
        <v>371.99</v>
      </c>
      <c r="D505" vm="6942">
        <f ca="1"/>
        <v>62.45</v>
      </c>
      <c r="E505" vm="7005">
        <f ca="1"/>
        <v>207.98</v>
      </c>
      <c r="F505" vm="5681">
        <f ca="1"/>
        <v>169.53</v>
      </c>
      <c r="G505" vm="7006">
        <f ca="1"/>
        <v>30.68</v>
      </c>
      <c r="H505" vm="2185">
        <f ca="1"/>
        <v>201.63</v>
      </c>
      <c r="I505" vm="2124">
        <f ca="1"/>
        <v>32.46</v>
      </c>
      <c r="J505" vm="7007">
        <f ca="1"/>
        <v>25.82</v>
      </c>
      <c r="K505" vm="7008">
        <f ca="1"/>
        <v>599.80999999999995</v>
      </c>
      <c r="L505" vm="7009">
        <f ca="1"/>
        <v>323.14</v>
      </c>
      <c r="M505" vm="7010">
        <f ca="1"/>
        <v>222.71</v>
      </c>
      <c r="N505" vm="7011">
        <f ca="1"/>
        <v>488.97</v>
      </c>
      <c r="O505" vm="7012">
        <f ca="1"/>
        <v>192.76</v>
      </c>
      <c r="P505" vm="7013">
        <f ca="1"/>
        <v>430.53</v>
      </c>
    </row>
    <row r="506" spans="1:16" x14ac:dyDescent="0.25">
      <c r="A506" vm="7014">
        <f ca="1"/>
        <v>45656</v>
      </c>
      <c r="B506" vm="7015">
        <f ca="1"/>
        <v>636.82000000000005</v>
      </c>
      <c r="C506" vm="7016">
        <f ca="1"/>
        <v>368.67</v>
      </c>
      <c r="D506" vm="983">
        <f ca="1"/>
        <v>62.03</v>
      </c>
      <c r="E506" vm="7017">
        <f ca="1"/>
        <v>205.08</v>
      </c>
      <c r="F506" vm="7018">
        <f ca="1"/>
        <v>167.09</v>
      </c>
      <c r="G506" vm="7019">
        <f ca="1"/>
        <v>30.36</v>
      </c>
      <c r="H506" vm="7020">
        <f ca="1"/>
        <v>200.39</v>
      </c>
      <c r="I506" vm="7021">
        <f ca="1"/>
        <v>32.15</v>
      </c>
      <c r="J506" vm="5051">
        <f ca="1"/>
        <v>26.19</v>
      </c>
      <c r="K506" vm="7022">
        <f ca="1"/>
        <v>591.24</v>
      </c>
      <c r="L506" vm="7023">
        <f ca="1"/>
        <v>318.98</v>
      </c>
      <c r="M506" vm="7024">
        <f ca="1"/>
        <v>219.66</v>
      </c>
      <c r="N506" vm="7025">
        <f ca="1"/>
        <v>483.37</v>
      </c>
      <c r="O506" vm="6712">
        <f ca="1"/>
        <v>191.24</v>
      </c>
      <c r="P506" vm="7026">
        <f ca="1"/>
        <v>424.83</v>
      </c>
    </row>
    <row r="507" spans="1:16" x14ac:dyDescent="0.25">
      <c r="A507" vm="7027">
        <f ca="1"/>
        <v>45657</v>
      </c>
      <c r="B507" vm="16">
        <f ca="1"/>
        <v>636.03</v>
      </c>
      <c r="C507" vm="17">
        <f ca="1"/>
        <v>368.84</v>
      </c>
      <c r="D507" vm="18">
        <f ca="1"/>
        <v>62.26</v>
      </c>
      <c r="E507" vm="19">
        <f ca="1"/>
        <v>205.56</v>
      </c>
      <c r="F507" vm="20">
        <f ca="1"/>
        <v>167.65</v>
      </c>
      <c r="G507" vm="21">
        <f ca="1"/>
        <v>30.71</v>
      </c>
      <c r="H507" vm="22">
        <f ca="1"/>
        <v>197.49</v>
      </c>
      <c r="I507" vm="23">
        <f ca="1"/>
        <v>32.270000000000003</v>
      </c>
      <c r="J507" vm="24">
        <f ca="1"/>
        <v>26.27</v>
      </c>
      <c r="K507" vm="25">
        <f ca="1"/>
        <v>585.51</v>
      </c>
      <c r="L507" vm="26">
        <f ca="1"/>
        <v>316.05</v>
      </c>
      <c r="M507" vm="27">
        <f ca="1"/>
        <v>221</v>
      </c>
      <c r="N507" vm="28">
        <f ca="1"/>
        <v>485.94</v>
      </c>
      <c r="O507" vm="29">
        <f ca="1"/>
        <v>189.3</v>
      </c>
      <c r="P507" vm="30">
        <f ca="1"/>
        <v>421.5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A0C6E-E01F-47D8-9D97-892AEE60717A}">
  <dimension ref="A1:P504"/>
  <sheetViews>
    <sheetView workbookViewId="0">
      <selection activeCell="C3" sqref="C3"/>
    </sheetView>
  </sheetViews>
  <sheetFormatPr defaultRowHeight="15" x14ac:dyDescent="0.25"/>
  <cols>
    <col min="1" max="1" width="9.85546875" bestFit="1" customWidth="1"/>
  </cols>
  <sheetData>
    <row r="1" spans="1:16" x14ac:dyDescent="0.25">
      <c r="A1" t="s">
        <v>7</v>
      </c>
      <c r="B1" s="4">
        <f ca="1">_xlfn.STDEV.P(B4:B504)</f>
        <v>1.6754203898178621E-2</v>
      </c>
      <c r="C1" s="4">
        <f t="shared" ref="C1:P1" ca="1" si="0">_xlfn.STDEV.P(C4:C504)</f>
        <v>1.7689061540142919E-2</v>
      </c>
      <c r="D1" s="4">
        <f t="shared" ca="1" si="0"/>
        <v>8.2307074065728816E-3</v>
      </c>
      <c r="E1" s="4">
        <f t="shared" ca="1" si="0"/>
        <v>1.506677658479633E-2</v>
      </c>
      <c r="F1" s="4">
        <f t="shared" ca="1" si="0"/>
        <v>9.4639951532317149E-3</v>
      </c>
      <c r="G1" s="4">
        <f t="shared" ca="1" si="0"/>
        <v>1.1723102417350983E-2</v>
      </c>
      <c r="H1" s="4">
        <f t="shared" ca="1" si="0"/>
        <v>2.2624161959090838E-2</v>
      </c>
      <c r="I1" s="4">
        <f t="shared" ca="1" si="0"/>
        <v>1.3243178962993811E-2</v>
      </c>
      <c r="J1" s="4">
        <f t="shared" ca="1" si="0"/>
        <v>2.8605103785542669E-2</v>
      </c>
      <c r="K1" s="4">
        <f t="shared" ca="1" si="0"/>
        <v>2.4041685107563177E-2</v>
      </c>
      <c r="L1" s="4">
        <f t="shared" ca="1" si="0"/>
        <v>1.8905927520503314E-2</v>
      </c>
      <c r="M1" s="4">
        <f t="shared" ca="1" si="0"/>
        <v>1.2612953973764216E-2</v>
      </c>
      <c r="N1" s="4">
        <f t="shared" ca="1" si="0"/>
        <v>1.1071194027859332E-2</v>
      </c>
      <c r="O1" s="4">
        <f t="shared" ca="1" si="0"/>
        <v>1.8395680441452764E-2</v>
      </c>
      <c r="P1" s="4">
        <f t="shared" ca="1" si="0"/>
        <v>1.4139762981812964E-2</v>
      </c>
    </row>
    <row r="2" spans="1:16" x14ac:dyDescent="0.25">
      <c r="A2" cm="1" vm="32">
        <f t="array" aca="1" ref="A2:A503" ca="1">_xlfn.TAKE(_xlfn.ANCHORARRAY(the.dates),,1)</f>
        <v>44929</v>
      </c>
      <c r="B2" s="2" t="str" cm="1">
        <f t="array" aca="1" ref="B2:P2" ca="1">TRANSPOSE(stock.tickers)</f>
        <v>PH</v>
      </c>
      <c r="C2" s="2" t="str">
        <f ca="1"/>
        <v>CSL</v>
      </c>
      <c r="D2" s="2" t="str">
        <f ca="1"/>
        <v>KO</v>
      </c>
      <c r="E2" s="2" t="str">
        <f ca="1"/>
        <v>STE</v>
      </c>
      <c r="F2" s="2" t="str">
        <f ca="1"/>
        <v>PG</v>
      </c>
      <c r="G2" s="2" t="str">
        <f ca="1"/>
        <v>KHC</v>
      </c>
      <c r="H2" s="2" t="str">
        <f ca="1"/>
        <v>TSM</v>
      </c>
      <c r="I2" s="2" t="str">
        <f ca="1"/>
        <v>CSX</v>
      </c>
      <c r="J2" s="2" t="str">
        <f ca="1"/>
        <v>PKOH</v>
      </c>
      <c r="K2" s="2" t="str">
        <f ca="1"/>
        <v>META</v>
      </c>
      <c r="L2" s="2" t="str">
        <f ca="1"/>
        <v>PWR</v>
      </c>
      <c r="M2" s="2" t="str">
        <f ca="1"/>
        <v>STZ</v>
      </c>
      <c r="N2" s="2" t="str">
        <f ca="1"/>
        <v>LMT</v>
      </c>
      <c r="O2" s="2" t="str">
        <f ca="1"/>
        <v>GOOGL</v>
      </c>
      <c r="P2" s="2" t="str">
        <f ca="1"/>
        <v>MSFT</v>
      </c>
    </row>
    <row r="3" spans="1:16" x14ac:dyDescent="0.25">
      <c r="A3" vm="48">
        <f ca="1"/>
        <v>44930</v>
      </c>
      <c r="B3" s="4" cm="1">
        <f t="array" aca="1" ref="B3:B503" ca="1">_xlfn.DROP(_xlfn.ANCHORARRAY(the.dates),1,1)/_xlfn.DROP(_xlfn.ANCHORARRAY(the.dates),-1,1)-1</f>
        <v>1.758294488620793E-2</v>
      </c>
      <c r="C3" s="4" cm="1">
        <f t="array" aca="1" ref="C3:C503" ca="1">_xlfn.DROP(_xlfn.ANCHORARRAY('Stock Prices'!C6),1)/_xlfn.DROP(_xlfn.ANCHORARRAY('Stock Prices'!C6),-1)-1</f>
        <v>1.6859447693030161E-2</v>
      </c>
      <c r="D3" s="4" cm="1">
        <f t="array" aca="1" ref="D3:D503" ca="1">_xlfn.DROP(_xlfn.ANCHORARRAY('Stock Prices'!D6),1)/_xlfn.DROP(_xlfn.ANCHORARRAY('Stock Prices'!D6),-1)-1</f>
        <v>-4.7656870532175599E-4</v>
      </c>
      <c r="E3" s="4" cm="1">
        <f t="array" aca="1" ref="E3:E503" ca="1">_xlfn.DROP(_xlfn.ANCHORARRAY('Stock Prices'!E6),1)/_xlfn.DROP(_xlfn.ANCHORARRAY('Stock Prices'!E6),-1)-1</f>
        <v>3.093005711822383E-2</v>
      </c>
      <c r="F3" s="4" cm="1">
        <f t="array" aca="1" ref="F3:F503" ca="1">_xlfn.DROP(_xlfn.ANCHORARRAY('Stock Prices'!F6),1)/_xlfn.DROP(_xlfn.ANCHORARRAY('Stock Prices'!F6),-1)-1</f>
        <v>4.3544236986210461E-3</v>
      </c>
      <c r="G3" s="4" cm="1">
        <f t="array" aca="1" ref="G3:G503" ca="1">_xlfn.DROP(_xlfn.ANCHORARRAY('Stock Prices'!G6),1)/_xlfn.DROP(_xlfn.ANCHORARRAY('Stock Prices'!G6),-1)-1</f>
        <v>1.1280039234919048E-2</v>
      </c>
      <c r="H3" s="4" cm="1">
        <f t="array" aca="1" ref="H3:H503" ca="1">_xlfn.DROP(_xlfn.ANCHORARRAY('Stock Prices'!H6),1)/_xlfn.DROP(_xlfn.ANCHORARRAY('Stock Prices'!H6),-1)-1</f>
        <v>3.0933405376198708E-2</v>
      </c>
      <c r="I3" s="4" cm="1">
        <f t="array" aca="1" ref="I3:I503" ca="1">_xlfn.DROP(_xlfn.ANCHORARRAY('Stock Prices'!I6),1)/_xlfn.DROP(_xlfn.ANCHORARRAY('Stock Prices'!I6),-1)-1</f>
        <v>1.2953367875647714E-2</v>
      </c>
      <c r="J3" s="4" cm="1">
        <f t="array" aca="1" ref="J3:J503" ca="1">_xlfn.DROP(_xlfn.ANCHORARRAY('Stock Prices'!J6),1)/_xlfn.DROP(_xlfn.ANCHORARRAY('Stock Prices'!J6),-1)-1</f>
        <v>-5.4432348367029482E-2</v>
      </c>
      <c r="K3" s="4" cm="1">
        <f t="array" aca="1" ref="K3:K503" ca="1">_xlfn.DROP(_xlfn.ANCHORARRAY('Stock Prices'!K6),1)/_xlfn.DROP(_xlfn.ANCHORARRAY('Stock Prices'!K6),-1)-1</f>
        <v>2.1083854417187853E-2</v>
      </c>
      <c r="L3" s="4" cm="1">
        <f t="array" aca="1" ref="L3:L503" ca="1">_xlfn.DROP(_xlfn.ANCHORARRAY('Stock Prices'!L6),1)/_xlfn.DROP(_xlfn.ANCHORARRAY('Stock Prices'!L6),-1)-1</f>
        <v>-1.4650451603726689E-2</v>
      </c>
      <c r="M3" s="4" cm="1">
        <f t="array" aca="1" ref="M3:M503" ca="1">_xlfn.DROP(_xlfn.ANCHORARRAY('Stock Prices'!M6),1)/_xlfn.DROP(_xlfn.ANCHORARRAY('Stock Prices'!M6),-1)-1</f>
        <v>1.5641476274165234E-2</v>
      </c>
      <c r="N3" s="4" cm="1">
        <f t="array" aca="1" ref="N3:N503" ca="1">_xlfn.DROP(_xlfn.ANCHORARRAY('Stock Prices'!N6),1)/_xlfn.DROP(_xlfn.ANCHORARRAY('Stock Prices'!N6),-1)-1</f>
        <v>-2.1569325487403868E-3</v>
      </c>
      <c r="O3" s="4" cm="1">
        <f t="array" aca="1" ref="O3:O503" ca="1">_xlfn.DROP(_xlfn.ANCHORARRAY('Stock Prices'!O6),1)/_xlfn.DROP(_xlfn.ANCHORARRAY('Stock Prices'!O6),-1)-1</f>
        <v>-1.1669658886894196E-2</v>
      </c>
      <c r="P3" s="4" cm="1">
        <f t="array" aca="1" ref="P3:P503" ca="1">_xlfn.DROP(_xlfn.ANCHORARRAY('Stock Prices'!P6),1)/_xlfn.DROP(_xlfn.ANCHORARRAY('Stock Prices'!P6),-1)-1</f>
        <v>-4.3743217296936421E-2</v>
      </c>
    </row>
    <row r="4" spans="1:16" x14ac:dyDescent="0.25">
      <c r="A4" vm="63">
        <f ca="1"/>
        <v>44931</v>
      </c>
      <c r="B4" s="4">
        <f ca="1"/>
        <v>4.0755835494628023E-3</v>
      </c>
      <c r="C4" s="4">
        <f ca="1"/>
        <v>-3.5048690396239146E-2</v>
      </c>
      <c r="D4" s="4">
        <f ca="1"/>
        <v>-1.1443102352193257E-2</v>
      </c>
      <c r="E4" s="4">
        <f ca="1"/>
        <v>-2.1064185657537093E-2</v>
      </c>
      <c r="F4" s="4">
        <f ca="1"/>
        <v>-1.2415424029429079E-2</v>
      </c>
      <c r="G4" s="4">
        <f ca="1"/>
        <v>2.1823472356934381E-3</v>
      </c>
      <c r="H4" s="4">
        <f ca="1"/>
        <v>-7.7306079664568594E-3</v>
      </c>
      <c r="I4" s="4">
        <f ca="1"/>
        <v>-1.1828644501278851E-2</v>
      </c>
      <c r="J4" s="4">
        <f ca="1"/>
        <v>3.453947368421062E-2</v>
      </c>
      <c r="K4" s="4">
        <f ca="1"/>
        <v>-3.3759912067206077E-3</v>
      </c>
      <c r="L4" s="4">
        <f ca="1"/>
        <v>-2.1508480692890797E-2</v>
      </c>
      <c r="M4" s="4">
        <f ca="1"/>
        <v>-9.7248658937532428E-2</v>
      </c>
      <c r="N4" s="4">
        <f ca="1"/>
        <v>1.1962224554040723E-3</v>
      </c>
      <c r="O4" s="4">
        <f ca="1"/>
        <v>-2.1344232515894568E-2</v>
      </c>
      <c r="P4" s="4">
        <f ca="1"/>
        <v>-2.9637712789175041E-2</v>
      </c>
    </row>
    <row r="5" spans="1:16" x14ac:dyDescent="0.25">
      <c r="A5" vm="79">
        <f ca="1"/>
        <v>44932</v>
      </c>
      <c r="B5" s="4">
        <f ca="1"/>
        <v>3.5055350553505393E-2</v>
      </c>
      <c r="C5" s="4">
        <f ca="1"/>
        <v>2.9318369655052523E-2</v>
      </c>
      <c r="D5" s="4">
        <f ca="1"/>
        <v>1.9292604501607746E-2</v>
      </c>
      <c r="E5" s="4">
        <f ca="1"/>
        <v>2.3813337604783991E-2</v>
      </c>
      <c r="F5" s="4">
        <f ca="1"/>
        <v>2.3812691233204619E-2</v>
      </c>
      <c r="G5" s="4">
        <f ca="1"/>
        <v>3.0486329542705137E-2</v>
      </c>
      <c r="H5" s="4">
        <f ca="1"/>
        <v>3.0899247326026558E-2</v>
      </c>
      <c r="I5" s="4">
        <f ca="1"/>
        <v>4.1734066645098711E-2</v>
      </c>
      <c r="J5" s="4">
        <f ca="1"/>
        <v>-2.2257551669316311E-2</v>
      </c>
      <c r="K5" s="4">
        <f ca="1"/>
        <v>2.4263431542461023E-2</v>
      </c>
      <c r="L5" s="4">
        <f ca="1"/>
        <v>2.6185734307000219E-2</v>
      </c>
      <c r="M5" s="4">
        <f ca="1"/>
        <v>2.6595744680850908E-2</v>
      </c>
      <c r="N5" s="4">
        <f ca="1"/>
        <v>-8.0281719663780615E-3</v>
      </c>
      <c r="O5" s="4">
        <f ca="1"/>
        <v>1.3225058004640466E-2</v>
      </c>
      <c r="P5" s="4">
        <f ca="1"/>
        <v>1.1785344788808549E-2</v>
      </c>
    </row>
    <row r="6" spans="1:16" x14ac:dyDescent="0.25">
      <c r="A6" vm="95">
        <f ca="1"/>
        <v>44935</v>
      </c>
      <c r="B6" s="4">
        <f ca="1"/>
        <v>3.1437368335762716E-3</v>
      </c>
      <c r="C6" s="4">
        <f ca="1"/>
        <v>4.2682669145923668E-3</v>
      </c>
      <c r="D6" s="4">
        <f ca="1"/>
        <v>-1.2460567823343816E-2</v>
      </c>
      <c r="E6" s="4">
        <f ca="1"/>
        <v>-4.6936114732725187E-3</v>
      </c>
      <c r="F6" s="4">
        <f ca="1"/>
        <v>-1.2214137214137222E-2</v>
      </c>
      <c r="G6" s="4">
        <f ca="1"/>
        <v>-9.1570791265555007E-3</v>
      </c>
      <c r="H6" s="4">
        <f ca="1"/>
        <v>2.8692199308313127E-2</v>
      </c>
      <c r="I6" s="4">
        <f ca="1"/>
        <v>-1.8633540372671176E-3</v>
      </c>
      <c r="J6" s="4">
        <f ca="1"/>
        <v>5.6097560975609806E-2</v>
      </c>
      <c r="K6" s="4">
        <f ca="1"/>
        <v>-4.2301184433165551E-3</v>
      </c>
      <c r="L6" s="4">
        <f ca="1"/>
        <v>-3.4502587694078546E-3</v>
      </c>
      <c r="M6" s="4">
        <f ca="1"/>
        <v>5.9748868039024572E-3</v>
      </c>
      <c r="N6" s="4">
        <f ca="1"/>
        <v>-3.0111571295748485E-2</v>
      </c>
      <c r="O6" s="4">
        <f ca="1"/>
        <v>7.7856652163956763E-3</v>
      </c>
      <c r="P6" s="4">
        <f ca="1"/>
        <v>9.7363624238651081E-3</v>
      </c>
    </row>
    <row r="7" spans="1:16" x14ac:dyDescent="0.25">
      <c r="A7" vm="111">
        <f ca="1"/>
        <v>44936</v>
      </c>
      <c r="B7" s="4">
        <f ca="1"/>
        <v>3.1661928146808904E-3</v>
      </c>
      <c r="C7" s="4">
        <f ca="1"/>
        <v>5.0917353980810542E-3</v>
      </c>
      <c r="D7" s="4">
        <f ca="1"/>
        <v>-7.6665069477718228E-3</v>
      </c>
      <c r="E7" s="4">
        <f ca="1"/>
        <v>5.5907780979827182E-2</v>
      </c>
      <c r="F7" s="4">
        <f ca="1"/>
        <v>-9.8658247829519485E-4</v>
      </c>
      <c r="G7" s="4">
        <f ca="1"/>
        <v>3.0805687203789844E-3</v>
      </c>
      <c r="H7" s="4">
        <f ca="1"/>
        <v>1.1953679491968572E-2</v>
      </c>
      <c r="I7" s="4">
        <f ca="1"/>
        <v>8.0896079651524566E-3</v>
      </c>
      <c r="J7" s="4">
        <f ca="1"/>
        <v>1.9245573518090753E-2</v>
      </c>
      <c r="K7" s="4">
        <f ca="1"/>
        <v>2.7187765505522599E-2</v>
      </c>
      <c r="L7" s="4">
        <f ca="1"/>
        <v>6.2752452394692071E-3</v>
      </c>
      <c r="M7" s="4">
        <f ca="1"/>
        <v>2.0834300032481101E-2</v>
      </c>
      <c r="N7" s="4">
        <f ca="1"/>
        <v>7.1896991219853046E-3</v>
      </c>
      <c r="O7" s="4">
        <f ca="1"/>
        <v>4.544421722335823E-3</v>
      </c>
      <c r="P7" s="4">
        <f ca="1"/>
        <v>7.6171187037687993E-3</v>
      </c>
    </row>
    <row r="8" spans="1:16" x14ac:dyDescent="0.25">
      <c r="A8" vm="127">
        <f ca="1"/>
        <v>44937</v>
      </c>
      <c r="B8" s="4">
        <f ca="1"/>
        <v>2.640901771336468E-3</v>
      </c>
      <c r="C8" s="4">
        <f ca="1"/>
        <v>3.0939920452166758E-2</v>
      </c>
      <c r="D8" s="4">
        <f ca="1"/>
        <v>-1.9314340898117788E-3</v>
      </c>
      <c r="E8" s="4">
        <f ca="1"/>
        <v>-4.1186978959905085E-3</v>
      </c>
      <c r="F8" s="4">
        <f ca="1"/>
        <v>-8.0979656330237848E-3</v>
      </c>
      <c r="G8" s="4">
        <f ca="1"/>
        <v>5.4334987006852131E-3</v>
      </c>
      <c r="H8" s="4">
        <f ca="1"/>
        <v>6.2753783684017517E-3</v>
      </c>
      <c r="I8" s="4">
        <f ca="1"/>
        <v>1.5432098765433278E-3</v>
      </c>
      <c r="J8" s="4">
        <f ca="1"/>
        <v>-4.0785498489426031E-2</v>
      </c>
      <c r="K8" s="4">
        <f ca="1"/>
        <v>-7.5193623580738223E-4</v>
      </c>
      <c r="L8" s="4">
        <f ca="1"/>
        <v>8.4581750412158208E-3</v>
      </c>
      <c r="M8" s="4">
        <f ca="1"/>
        <v>1.2000000000000011E-2</v>
      </c>
      <c r="N8" s="4">
        <f ca="1"/>
        <v>1.5358324861016737E-3</v>
      </c>
      <c r="O8" s="4">
        <f ca="1"/>
        <v>3.5059941189776067E-2</v>
      </c>
      <c r="P8" s="4">
        <f ca="1"/>
        <v>3.0238147258029313E-2</v>
      </c>
    </row>
    <row r="9" spans="1:16" x14ac:dyDescent="0.25">
      <c r="A9" vm="143">
        <f ca="1"/>
        <v>44938</v>
      </c>
      <c r="B9" s="4">
        <f ca="1"/>
        <v>1.2398817936528417E-2</v>
      </c>
      <c r="C9" s="4">
        <f ca="1"/>
        <v>-1.7503248862898002E-2</v>
      </c>
      <c r="D9" s="4">
        <f ca="1"/>
        <v>-1.2901144976616652E-2</v>
      </c>
      <c r="E9" s="4">
        <f ca="1"/>
        <v>-2.2920922816284106E-3</v>
      </c>
      <c r="F9" s="4">
        <f ca="1"/>
        <v>-5.6418425594052524E-3</v>
      </c>
      <c r="G9" s="4">
        <f ca="1"/>
        <v>-3.0545112781955597E-3</v>
      </c>
      <c r="H9" s="4">
        <f ca="1"/>
        <v>6.3829787234042534E-2</v>
      </c>
      <c r="I9" s="4">
        <f ca="1"/>
        <v>1.2326656394452407E-3</v>
      </c>
      <c r="J9" s="4">
        <f ca="1"/>
        <v>0.10157480314960643</v>
      </c>
      <c r="K9" s="4">
        <f ca="1"/>
        <v>2.8745579050342585E-2</v>
      </c>
      <c r="L9" s="4">
        <f ca="1"/>
        <v>5.0607719098727744E-2</v>
      </c>
      <c r="M9" s="4">
        <f ca="1"/>
        <v>2.4703557312253377E-3</v>
      </c>
      <c r="N9" s="4">
        <f ca="1"/>
        <v>-2.7213822894168738E-3</v>
      </c>
      <c r="O9" s="4">
        <f ca="1"/>
        <v>-4.2613636363636465E-3</v>
      </c>
      <c r="P9" s="4">
        <f ca="1"/>
        <v>1.1621495525300007E-2</v>
      </c>
    </row>
    <row r="10" spans="1:16" x14ac:dyDescent="0.25">
      <c r="A10" vm="159">
        <f ca="1"/>
        <v>44939</v>
      </c>
      <c r="B10" s="4">
        <f ca="1"/>
        <v>7.3291452503332355E-3</v>
      </c>
      <c r="C10" s="4">
        <f ca="1"/>
        <v>-1.0333567560864676E-2</v>
      </c>
      <c r="D10" s="4">
        <f ca="1"/>
        <v>3.5941839568698342E-3</v>
      </c>
      <c r="E10" s="4">
        <f ca="1"/>
        <v>8.9896618888278823E-3</v>
      </c>
      <c r="F10" s="4">
        <f ca="1"/>
        <v>7.1423803484413906E-3</v>
      </c>
      <c r="G10" s="4">
        <f ca="1"/>
        <v>-2.356823002591657E-4</v>
      </c>
      <c r="H10" s="4">
        <f ca="1"/>
        <v>-2.2988505747126853E-3</v>
      </c>
      <c r="I10" s="4">
        <f ca="1"/>
        <v>-2.1545090797168154E-3</v>
      </c>
      <c r="J10" s="4">
        <f ca="1"/>
        <v>1.1436740528949274E-2</v>
      </c>
      <c r="K10" s="4">
        <f ca="1"/>
        <v>1.9749835418036987E-3</v>
      </c>
      <c r="L10" s="4">
        <f ca="1"/>
        <v>4.6681550639333658E-3</v>
      </c>
      <c r="M10" s="4">
        <f ca="1"/>
        <v>8.1096823334378954E-3</v>
      </c>
      <c r="N10" s="4">
        <f ca="1"/>
        <v>-2.5793736734959105E-2</v>
      </c>
      <c r="O10" s="4">
        <f ca="1"/>
        <v>1.0863601448480198E-2</v>
      </c>
      <c r="P10" s="4">
        <f ca="1"/>
        <v>3.0187413525637474E-3</v>
      </c>
    </row>
    <row r="11" spans="1:16" x14ac:dyDescent="0.25">
      <c r="A11" vm="175">
        <f ca="1"/>
        <v>44943</v>
      </c>
      <c r="B11" s="4">
        <f ca="1"/>
        <v>-8.756181297048804E-3</v>
      </c>
      <c r="C11" s="4">
        <f ca="1"/>
        <v>-5.2624984337803493E-3</v>
      </c>
      <c r="D11" s="4">
        <f ca="1"/>
        <v>4.0696727983069447E-3</v>
      </c>
      <c r="E11" s="4">
        <f ca="1"/>
        <v>-1.0641983863782678E-2</v>
      </c>
      <c r="F11" s="4">
        <f ca="1"/>
        <v>-2.9162248144219971E-3</v>
      </c>
      <c r="G11" s="4">
        <f ca="1"/>
        <v>-2.1216407355022504E-3</v>
      </c>
      <c r="H11" s="4">
        <f ca="1"/>
        <v>2.5230414746543861E-2</v>
      </c>
      <c r="I11" s="4">
        <f ca="1"/>
        <v>5.5521283158543877E-3</v>
      </c>
      <c r="J11" s="4">
        <f ca="1"/>
        <v>-2.0494699646643189E-2</v>
      </c>
      <c r="K11" s="4">
        <f ca="1"/>
        <v>-1.1826544021024787E-2</v>
      </c>
      <c r="L11" s="4">
        <f ca="1"/>
        <v>-1.5488215488215218E-3</v>
      </c>
      <c r="M11" s="4">
        <f ca="1"/>
        <v>-5.4222222222222172E-3</v>
      </c>
      <c r="N11" s="4">
        <f ca="1"/>
        <v>-5.9355756619166034E-3</v>
      </c>
      <c r="O11" s="4">
        <f ca="1"/>
        <v>-9.0099869735127402E-3</v>
      </c>
      <c r="P11" s="4">
        <f ca="1"/>
        <v>4.6816870793797705E-3</v>
      </c>
    </row>
    <row r="12" spans="1:16" x14ac:dyDescent="0.25">
      <c r="A12" vm="190">
        <f ca="1"/>
        <v>44944</v>
      </c>
      <c r="B12" s="4">
        <f ca="1"/>
        <v>-2.1924946776397225E-2</v>
      </c>
      <c r="C12" s="4">
        <f ca="1"/>
        <v>-4.8704706722089153E-3</v>
      </c>
      <c r="D12" s="4">
        <f ca="1"/>
        <v>-3.0317769130998706E-2</v>
      </c>
      <c r="E12" s="4">
        <f ca="1"/>
        <v>-2.371422853712235E-2</v>
      </c>
      <c r="F12" s="4">
        <f ca="1"/>
        <v>-2.6788088274395161E-2</v>
      </c>
      <c r="G12" s="4">
        <f ca="1"/>
        <v>-6.3075832742735649E-2</v>
      </c>
      <c r="H12" s="4">
        <f ca="1"/>
        <v>5.3938644791549084E-3</v>
      </c>
      <c r="I12" s="4">
        <f ca="1"/>
        <v>-1.1349693251533899E-2</v>
      </c>
      <c r="J12" s="4">
        <f ca="1"/>
        <v>-1.8759018759018753E-2</v>
      </c>
      <c r="K12" s="4">
        <f ca="1"/>
        <v>-1.7287234042553168E-2</v>
      </c>
      <c r="L12" s="4">
        <f ca="1"/>
        <v>-2.6775477170027595E-2</v>
      </c>
      <c r="M12" s="4">
        <f ca="1"/>
        <v>-1.8679059790866037E-2</v>
      </c>
      <c r="N12" s="4">
        <f ca="1"/>
        <v>-1.3172018964129228E-2</v>
      </c>
      <c r="O12" s="4">
        <f ca="1"/>
        <v>-1.8621973929237035E-3</v>
      </c>
      <c r="P12" s="4">
        <f ca="1"/>
        <v>-1.8889120033284801E-2</v>
      </c>
    </row>
    <row r="13" spans="1:16" x14ac:dyDescent="0.25">
      <c r="A13" vm="206">
        <f ca="1"/>
        <v>44945</v>
      </c>
      <c r="B13" s="4">
        <f ca="1"/>
        <v>-3.2487573503135025E-2</v>
      </c>
      <c r="C13" s="4">
        <f ca="1"/>
        <v>-1.3037424581241353E-2</v>
      </c>
      <c r="D13" s="4">
        <f ca="1"/>
        <v>-1.5047650894499665E-3</v>
      </c>
      <c r="E13" s="4">
        <f ca="1"/>
        <v>2.0651839704827202E-2</v>
      </c>
      <c r="F13" s="4">
        <f ca="1"/>
        <v>-2.7252236869066415E-2</v>
      </c>
      <c r="G13" s="4">
        <f ca="1"/>
        <v>9.581442259203321E-3</v>
      </c>
      <c r="H13" s="4">
        <f ca="1"/>
        <v>-1.1959315971834084E-2</v>
      </c>
      <c r="I13" s="4">
        <f ca="1"/>
        <v>-2.1098355569345251E-2</v>
      </c>
      <c r="J13" s="4">
        <f ca="1"/>
        <v>-4.6323529411764652E-2</v>
      </c>
      <c r="K13" s="4">
        <f ca="1"/>
        <v>2.3530296196060618E-2</v>
      </c>
      <c r="L13" s="4">
        <f ca="1"/>
        <v>-5.6133056133056414E-3</v>
      </c>
      <c r="M13" s="4">
        <f ca="1"/>
        <v>-1.370673952641166E-2</v>
      </c>
      <c r="N13" s="4">
        <f ca="1"/>
        <v>-4.4417250209621839E-3</v>
      </c>
      <c r="O13" s="4">
        <f ca="1"/>
        <v>2.1180860403863022E-2</v>
      </c>
      <c r="P13" s="4">
        <f ca="1"/>
        <v>-1.6453924769941897E-2</v>
      </c>
    </row>
    <row r="14" spans="1:16" x14ac:dyDescent="0.25">
      <c r="A14" vm="222">
        <f ca="1"/>
        <v>44946</v>
      </c>
      <c r="B14" s="4">
        <f ca="1"/>
        <v>2.521742050300535E-2</v>
      </c>
      <c r="C14" s="4">
        <f ca="1"/>
        <v>8.4644322845417452E-3</v>
      </c>
      <c r="D14" s="4">
        <f ca="1"/>
        <v>6.0281312793033504E-3</v>
      </c>
      <c r="E14" s="4">
        <f ca="1"/>
        <v>2.9823768639855475E-2</v>
      </c>
      <c r="F14" s="4">
        <f ca="1"/>
        <v>3.8618171605111495E-3</v>
      </c>
      <c r="G14" s="4">
        <f ca="1"/>
        <v>-3.9960039960038607E-3</v>
      </c>
      <c r="H14" s="4">
        <f ca="1"/>
        <v>2.9751131221719351E-2</v>
      </c>
      <c r="I14" s="4">
        <f ca="1"/>
        <v>1.4580031695720974E-2</v>
      </c>
      <c r="J14" s="4">
        <f ca="1"/>
        <v>-2.5443330763299965E-2</v>
      </c>
      <c r="K14" s="4">
        <f ca="1"/>
        <v>2.3650385604113033E-2</v>
      </c>
      <c r="L14" s="4">
        <f ca="1"/>
        <v>1.916509861314375E-2</v>
      </c>
      <c r="M14" s="4">
        <f ca="1"/>
        <v>1.980700863382423E-2</v>
      </c>
      <c r="N14" s="4">
        <f ca="1"/>
        <v>9.0368987730757855E-3</v>
      </c>
      <c r="O14" s="4">
        <f ca="1"/>
        <v>5.3412144008597506E-2</v>
      </c>
      <c r="P14" s="4">
        <f ca="1"/>
        <v>3.5743543310481574E-2</v>
      </c>
    </row>
    <row r="15" spans="1:16" x14ac:dyDescent="0.25">
      <c r="A15" vm="238">
        <f ca="1"/>
        <v>44949</v>
      </c>
      <c r="B15" s="4">
        <f ca="1"/>
        <v>2.0928861522337083E-2</v>
      </c>
      <c r="C15" s="4">
        <f ca="1"/>
        <v>1.8609580330648523E-2</v>
      </c>
      <c r="D15" s="4">
        <f ca="1"/>
        <v>2.4966711051930268E-3</v>
      </c>
      <c r="E15" s="4">
        <f ca="1"/>
        <v>8.4832528886937819E-3</v>
      </c>
      <c r="F15" s="4">
        <f ca="1"/>
        <v>-1.3429390781282691E-2</v>
      </c>
      <c r="G15" s="4">
        <f ca="1"/>
        <v>9.5285857572717791E-3</v>
      </c>
      <c r="H15" s="4">
        <f ca="1"/>
        <v>5.08623530704162E-2</v>
      </c>
      <c r="I15" s="4">
        <f ca="1"/>
        <v>1.2496094970322336E-3</v>
      </c>
      <c r="J15" s="4">
        <f ca="1"/>
        <v>9.4936708860757779E-3</v>
      </c>
      <c r="K15" s="4">
        <f ca="1"/>
        <v>2.7983066657099931E-2</v>
      </c>
      <c r="L15" s="4">
        <f ca="1"/>
        <v>2.2634026258205653E-2</v>
      </c>
      <c r="M15" s="4">
        <f ca="1"/>
        <v>1.4125316914161523E-2</v>
      </c>
      <c r="N15" s="4">
        <f ca="1"/>
        <v>-4.5118209709438251E-3</v>
      </c>
      <c r="O15" s="4">
        <f ca="1"/>
        <v>1.8057539277698487E-2</v>
      </c>
      <c r="P15" s="4">
        <f ca="1"/>
        <v>9.8243276996088369E-3</v>
      </c>
    </row>
    <row r="16" spans="1:16" x14ac:dyDescent="0.25">
      <c r="A16" vm="254">
        <f ca="1"/>
        <v>44950</v>
      </c>
      <c r="B16" s="4">
        <f ca="1"/>
        <v>3.1439479002919324E-3</v>
      </c>
      <c r="C16" s="4">
        <f ca="1"/>
        <v>1.2484914062182995E-4</v>
      </c>
      <c r="D16" s="4">
        <f ca="1"/>
        <v>5.3129669599867313E-3</v>
      </c>
      <c r="E16" s="4">
        <f ca="1"/>
        <v>-9.813874788494048E-3</v>
      </c>
      <c r="F16" s="4">
        <f ca="1"/>
        <v>5.4590570719601494E-3</v>
      </c>
      <c r="G16" s="4">
        <f ca="1"/>
        <v>-1.0928961748633781E-2</v>
      </c>
      <c r="H16" s="4">
        <f ca="1"/>
        <v>-1.1499059167886183E-2</v>
      </c>
      <c r="I16" s="4">
        <f ca="1"/>
        <v>-5.9282371294850922E-3</v>
      </c>
      <c r="J16" s="4">
        <f ca="1"/>
        <v>1.0971786833855912E-2</v>
      </c>
      <c r="K16" s="4">
        <f ca="1"/>
        <v>-9.0737767850923579E-4</v>
      </c>
      <c r="L16" s="4">
        <f ca="1"/>
        <v>1.3105984620528144E-2</v>
      </c>
      <c r="M16" s="4">
        <f ca="1"/>
        <v>1.5625E-2</v>
      </c>
      <c r="N16" s="4">
        <f ca="1"/>
        <v>1.8015772298767274E-2</v>
      </c>
      <c r="O16" s="4">
        <f ca="1"/>
        <v>-2.0943982362962243E-2</v>
      </c>
      <c r="P16" s="4">
        <f ca="1"/>
        <v>-2.2260697501855775E-3</v>
      </c>
    </row>
    <row r="17" spans="1:16" x14ac:dyDescent="0.25">
      <c r="A17" vm="270">
        <f ca="1"/>
        <v>44951</v>
      </c>
      <c r="B17" s="4">
        <f ca="1"/>
        <v>-7.9631583996929711E-3</v>
      </c>
      <c r="C17" s="4">
        <f ca="1"/>
        <v>1.7476697736351632E-3</v>
      </c>
      <c r="D17" s="4">
        <f ca="1"/>
        <v>6.2758051197358E-3</v>
      </c>
      <c r="E17" s="4">
        <f ca="1"/>
        <v>8.7882042769260593E-4</v>
      </c>
      <c r="F17" s="4">
        <f ca="1"/>
        <v>-7.0511916513882333E-4</v>
      </c>
      <c r="G17" s="4">
        <f ca="1"/>
        <v>3.2646911099949438E-3</v>
      </c>
      <c r="H17" s="4">
        <f ca="1"/>
        <v>-2.2736886632825803E-2</v>
      </c>
      <c r="I17" s="4">
        <f ca="1"/>
        <v>-2.5423728813559254E-2</v>
      </c>
      <c r="J17" s="4">
        <f ca="1"/>
        <v>-2.3255813953488413E-2</v>
      </c>
      <c r="K17" s="4">
        <f ca="1"/>
        <v>-1.1457314517255734E-2</v>
      </c>
      <c r="L17" s="4">
        <f ca="1"/>
        <v>-1.7292587947990268E-2</v>
      </c>
      <c r="M17" s="4">
        <f ca="1"/>
        <v>6.2857142857142279E-3</v>
      </c>
      <c r="N17" s="4">
        <f ca="1"/>
        <v>1.0974333860160668E-2</v>
      </c>
      <c r="O17" s="4">
        <f ca="1"/>
        <v>-2.5383828045035917E-2</v>
      </c>
      <c r="P17" s="4">
        <f ca="1"/>
        <v>-5.9081143612624842E-3</v>
      </c>
    </row>
    <row r="18" spans="1:16" x14ac:dyDescent="0.25">
      <c r="A18" vm="286">
        <f ca="1"/>
        <v>44952</v>
      </c>
      <c r="B18" s="4">
        <f ca="1"/>
        <v>1.3571889103804136E-2</v>
      </c>
      <c r="C18" s="4">
        <f ca="1"/>
        <v>1.005233862258037E-2</v>
      </c>
      <c r="D18" s="4">
        <f ca="1"/>
        <v>-1.969473165928104E-3</v>
      </c>
      <c r="E18" s="4">
        <f ca="1"/>
        <v>-3.9024390243913576E-4</v>
      </c>
      <c r="F18" s="4">
        <f ca="1"/>
        <v>-4.0220152413208421E-3</v>
      </c>
      <c r="G18" s="4">
        <f ca="1"/>
        <v>-7.2590738423030654E-3</v>
      </c>
      <c r="H18" s="4">
        <f ca="1"/>
        <v>1.12541932691268E-2</v>
      </c>
      <c r="I18" s="4">
        <f ca="1"/>
        <v>-2.8985507246376829E-2</v>
      </c>
      <c r="J18" s="4">
        <f ca="1"/>
        <v>8.7301587301589212E-3</v>
      </c>
      <c r="K18" s="4">
        <f ca="1"/>
        <v>4.0989399293286377E-2</v>
      </c>
      <c r="L18" s="4">
        <f ca="1"/>
        <v>7.8581503123111851E-3</v>
      </c>
      <c r="M18" s="4">
        <f ca="1"/>
        <v>-1.8783034115231745E-3</v>
      </c>
      <c r="N18" s="4">
        <f ca="1"/>
        <v>1.2440549586048899E-2</v>
      </c>
      <c r="O18" s="4">
        <f ca="1"/>
        <v>2.4154589371980562E-2</v>
      </c>
      <c r="P18" s="4">
        <f ca="1"/>
        <v>3.0713602925896533E-2</v>
      </c>
    </row>
    <row r="19" spans="1:16" x14ac:dyDescent="0.25">
      <c r="A19" vm="301">
        <f ca="1"/>
        <v>44953</v>
      </c>
      <c r="B19" s="4">
        <f ca="1"/>
        <v>1.714322063547602E-2</v>
      </c>
      <c r="C19" s="4">
        <f ca="1"/>
        <v>2.1837473268629726E-2</v>
      </c>
      <c r="D19" s="4">
        <f ca="1"/>
        <v>-5.2622923861207482E-3</v>
      </c>
      <c r="E19" s="4">
        <f ca="1"/>
        <v>5.7583447198907844E-3</v>
      </c>
      <c r="F19" s="4">
        <f ca="1"/>
        <v>-4.1091037902940553E-3</v>
      </c>
      <c r="G19" s="4">
        <f ca="1"/>
        <v>7.5642965204236745E-4</v>
      </c>
      <c r="H19" s="4">
        <f ca="1"/>
        <v>-1.6051364365972098E-3</v>
      </c>
      <c r="I19" s="4">
        <f ca="1"/>
        <v>-2.3217247097844229E-3</v>
      </c>
      <c r="J19" s="4">
        <f ca="1"/>
        <v>6.2155782848150931E-2</v>
      </c>
      <c r="K19" s="4">
        <f ca="1"/>
        <v>3.0142566191446063E-2</v>
      </c>
      <c r="L19" s="4">
        <f ca="1"/>
        <v>-3.9984006397442151E-4</v>
      </c>
      <c r="M19" s="4">
        <f ca="1"/>
        <v>1.2691466083150083E-3</v>
      </c>
      <c r="N19" s="4">
        <f ca="1"/>
        <v>-4.5671038037442546E-4</v>
      </c>
      <c r="O19" s="4">
        <f ca="1"/>
        <v>1.897046759639065E-2</v>
      </c>
      <c r="P19" s="4">
        <f ca="1"/>
        <v>6.4516129032266001E-4</v>
      </c>
    </row>
    <row r="20" spans="1:16" x14ac:dyDescent="0.25">
      <c r="A20" vm="317">
        <f ca="1"/>
        <v>44956</v>
      </c>
      <c r="B20" s="4">
        <f ca="1"/>
        <v>-7.8173858661663154E-3</v>
      </c>
      <c r="C20" s="4">
        <f ca="1"/>
        <v>-1.5293596812492538E-2</v>
      </c>
      <c r="D20" s="4">
        <f ca="1"/>
        <v>2.4797487187964151E-3</v>
      </c>
      <c r="E20" s="4">
        <f ca="1"/>
        <v>-1.392527899078122E-2</v>
      </c>
      <c r="F20" s="4">
        <f ca="1"/>
        <v>3.130113110905608E-3</v>
      </c>
      <c r="G20" s="4">
        <f ca="1"/>
        <v>1.7132779037540846E-2</v>
      </c>
      <c r="H20" s="4">
        <f ca="1"/>
        <v>-1.8220793140407698E-3</v>
      </c>
      <c r="I20" s="4">
        <f ca="1"/>
        <v>-6.6489361702127825E-3</v>
      </c>
      <c r="J20" s="4">
        <f ca="1"/>
        <v>-3.3333333333333326E-2</v>
      </c>
      <c r="K20" s="4">
        <f ca="1"/>
        <v>-3.084223013048637E-2</v>
      </c>
      <c r="L20" s="4">
        <f ca="1"/>
        <v>-6.0000000000000053E-3</v>
      </c>
      <c r="M20" s="4">
        <f ca="1"/>
        <v>-1.0621093579264773E-2</v>
      </c>
      <c r="N20" s="4">
        <f ca="1"/>
        <v>2.1540469973888587E-3</v>
      </c>
      <c r="O20" s="4">
        <f ca="1"/>
        <v>-2.445406058166455E-2</v>
      </c>
      <c r="P20" s="4">
        <f ca="1"/>
        <v>-2.1961637653126975E-2</v>
      </c>
    </row>
    <row r="21" spans="1:16" x14ac:dyDescent="0.25">
      <c r="A21" vm="333">
        <f ca="1"/>
        <v>44957</v>
      </c>
      <c r="B21" s="4">
        <f ca="1"/>
        <v>2.741884651749138E-2</v>
      </c>
      <c r="C21" s="4">
        <f ca="1"/>
        <v>2.5299382842195683E-2</v>
      </c>
      <c r="D21" s="4">
        <f ca="1"/>
        <v>1.1213720316622711E-2</v>
      </c>
      <c r="E21" s="4">
        <f ca="1"/>
        <v>1.6139349505486456E-2</v>
      </c>
      <c r="F21" s="4">
        <f ca="1"/>
        <v>9.715623005460694E-3</v>
      </c>
      <c r="G21" s="4">
        <f ca="1"/>
        <v>3.9633391132030127E-3</v>
      </c>
      <c r="H21" s="4">
        <f ca="1"/>
        <v>-4.2950714055620676E-3</v>
      </c>
      <c r="I21" s="4">
        <f ca="1"/>
        <v>3.4805890227576963E-2</v>
      </c>
      <c r="J21" s="4">
        <f ca="1"/>
        <v>1.5325670498084198E-2</v>
      </c>
      <c r="K21" s="4">
        <f ca="1"/>
        <v>1.2987896096831264E-2</v>
      </c>
      <c r="L21" s="4">
        <f ca="1"/>
        <v>2.0724346076458788E-2</v>
      </c>
      <c r="M21" s="4">
        <f ca="1"/>
        <v>2.2795546916416276E-2</v>
      </c>
      <c r="N21" s="4">
        <f ca="1"/>
        <v>5.7969126555070805E-3</v>
      </c>
      <c r="O21" s="4">
        <f ca="1"/>
        <v>1.9599752424179995E-2</v>
      </c>
      <c r="P21" s="4">
        <f ca="1"/>
        <v>2.1012731243047256E-2</v>
      </c>
    </row>
    <row r="22" spans="1:16" x14ac:dyDescent="0.25">
      <c r="A22" vm="349">
        <f ca="1"/>
        <v>44958</v>
      </c>
      <c r="B22" s="4">
        <f ca="1"/>
        <v>8.2515337423312296E-3</v>
      </c>
      <c r="C22" s="4">
        <f ca="1"/>
        <v>1.8735549709000932E-2</v>
      </c>
      <c r="D22" s="4">
        <f ca="1"/>
        <v>1.6307893020228725E-4</v>
      </c>
      <c r="E22" s="4">
        <f ca="1"/>
        <v>3.8642196503801296E-2</v>
      </c>
      <c r="F22" s="4">
        <f ca="1"/>
        <v>5.6890012642225596E-3</v>
      </c>
      <c r="G22" s="4">
        <f ca="1"/>
        <v>2.467308166789195E-4</v>
      </c>
      <c r="H22" s="4">
        <f ca="1"/>
        <v>2.1675833063733219E-2</v>
      </c>
      <c r="I22" s="4">
        <f ca="1"/>
        <v>2.1668822768434515E-2</v>
      </c>
      <c r="J22" s="4">
        <f ca="1"/>
        <v>4.0000000000000036E-2</v>
      </c>
      <c r="K22" s="4">
        <f ca="1"/>
        <v>2.785795797811641E-2</v>
      </c>
      <c r="L22" s="4">
        <f ca="1"/>
        <v>4.4680990866681203E-3</v>
      </c>
      <c r="M22" s="4">
        <f ca="1"/>
        <v>8.940912232204612E-3</v>
      </c>
      <c r="N22" s="4">
        <f ca="1"/>
        <v>-2.1802011829210599E-3</v>
      </c>
      <c r="O22" s="4">
        <f ca="1"/>
        <v>1.6086604613516853E-2</v>
      </c>
      <c r="P22" s="4">
        <f ca="1"/>
        <v>1.9934627335458588E-2</v>
      </c>
    </row>
    <row r="23" spans="1:16" x14ac:dyDescent="0.25">
      <c r="A23" vm="365">
        <f ca="1"/>
        <v>44959</v>
      </c>
      <c r="B23" s="4">
        <f ca="1"/>
        <v>2.6955489975356794E-2</v>
      </c>
      <c r="C23" s="4">
        <f ca="1"/>
        <v>6.7694474878698951E-3</v>
      </c>
      <c r="D23" s="4">
        <f ca="1"/>
        <v>-1.7120495679113001E-2</v>
      </c>
      <c r="E23" s="4">
        <f ca="1"/>
        <v>2.969835423562861E-2</v>
      </c>
      <c r="F23" s="4">
        <f ca="1"/>
        <v>-7.1234024722397482E-3</v>
      </c>
      <c r="G23" s="4">
        <f ca="1"/>
        <v>-1.3566847557967332E-2</v>
      </c>
      <c r="H23" s="4">
        <f ca="1"/>
        <v>2.0160439096474692E-2</v>
      </c>
      <c r="I23" s="4">
        <f ca="1"/>
        <v>3.3238366571699984E-2</v>
      </c>
      <c r="J23" s="4">
        <f ca="1"/>
        <v>2.9753265602322276E-2</v>
      </c>
      <c r="K23" s="4">
        <f ca="1"/>
        <v>0.23282392894461856</v>
      </c>
      <c r="L23" s="4">
        <f ca="1"/>
        <v>-7.7843919670308459E-3</v>
      </c>
      <c r="M23" s="4">
        <f ca="1"/>
        <v>-4.8803459052185749E-3</v>
      </c>
      <c r="N23" s="4">
        <f ca="1"/>
        <v>-1.094645754461876E-2</v>
      </c>
      <c r="O23" s="4">
        <f ca="1"/>
        <v>7.2787015831922597E-2</v>
      </c>
      <c r="P23" s="4">
        <f ca="1"/>
        <v>4.6884272997032683E-2</v>
      </c>
    </row>
    <row r="24" spans="1:16" x14ac:dyDescent="0.25">
      <c r="A24" vm="381">
        <f ca="1"/>
        <v>44960</v>
      </c>
      <c r="B24" s="4">
        <f ca="1"/>
        <v>3.6883424677825571E-2</v>
      </c>
      <c r="C24" s="4">
        <f ca="1"/>
        <v>-2.6468187648179264E-2</v>
      </c>
      <c r="D24" s="4">
        <f ca="1"/>
        <v>-7.4651625746516848E-3</v>
      </c>
      <c r="E24" s="4">
        <f ca="1"/>
        <v>-8.2857919043738404E-3</v>
      </c>
      <c r="F24" s="4">
        <f ca="1"/>
        <v>3.09488640360156E-3</v>
      </c>
      <c r="G24" s="4">
        <f ca="1"/>
        <v>-1.5253813453363296E-2</v>
      </c>
      <c r="H24" s="4">
        <f ca="1"/>
        <v>-2.0589756854630159E-2</v>
      </c>
      <c r="I24" s="4">
        <f ca="1"/>
        <v>-1.1335784313725394E-2</v>
      </c>
      <c r="J24" s="4">
        <f ca="1"/>
        <v>7.0472163495427509E-4</v>
      </c>
      <c r="K24" s="4">
        <f ca="1"/>
        <v>-1.1866292313397309E-2</v>
      </c>
      <c r="L24" s="4">
        <f ca="1"/>
        <v>4.9446202531646666E-3</v>
      </c>
      <c r="M24" s="4">
        <f ca="1"/>
        <v>-7.0122607012260696E-3</v>
      </c>
      <c r="N24" s="4">
        <f ca="1"/>
        <v>4.1339486865417108E-3</v>
      </c>
      <c r="O24" s="4">
        <f ca="1"/>
        <v>-2.7473547428995659E-2</v>
      </c>
      <c r="P24" s="4">
        <f ca="1"/>
        <v>-2.3620559334845082E-2</v>
      </c>
    </row>
    <row r="25" spans="1:16" x14ac:dyDescent="0.25">
      <c r="A25" vm="396">
        <f ca="1"/>
        <v>44963</v>
      </c>
      <c r="B25" s="4">
        <f ca="1"/>
        <v>-2.8857142857142692E-3</v>
      </c>
      <c r="C25" s="4">
        <f ca="1"/>
        <v>-1.4971255190035171E-2</v>
      </c>
      <c r="D25" s="4">
        <f ca="1"/>
        <v>5.6827678422197714E-3</v>
      </c>
      <c r="E25" s="4">
        <f ca="1"/>
        <v>-2.0042916495457308E-2</v>
      </c>
      <c r="F25" s="4">
        <f ca="1"/>
        <v>-8.4846784937943065E-3</v>
      </c>
      <c r="G25" s="4">
        <f ca="1"/>
        <v>1.3966480446927276E-2</v>
      </c>
      <c r="H25" s="4">
        <f ca="1"/>
        <v>-2.9896471582505746E-2</v>
      </c>
      <c r="I25" s="4">
        <f ca="1"/>
        <v>-6.8174775333128546E-3</v>
      </c>
      <c r="J25" s="4">
        <f ca="1"/>
        <v>1.1267605633802802E-2</v>
      </c>
      <c r="K25" s="4">
        <f ca="1"/>
        <v>-2.5197019246233632E-3</v>
      </c>
      <c r="L25" s="4">
        <f ca="1"/>
        <v>1.9025126287475214E-3</v>
      </c>
      <c r="M25" s="4">
        <f ca="1"/>
        <v>5.0688848453341873E-3</v>
      </c>
      <c r="N25" s="4">
        <f ca="1"/>
        <v>2.1826261218088394E-2</v>
      </c>
      <c r="O25" s="4">
        <f ca="1"/>
        <v>-1.794235541133804E-2</v>
      </c>
      <c r="P25" s="4">
        <f ca="1"/>
        <v>-6.1157344687441384E-3</v>
      </c>
    </row>
    <row r="26" spans="1:16" x14ac:dyDescent="0.25">
      <c r="A26" vm="411">
        <f ca="1"/>
        <v>44964</v>
      </c>
      <c r="B26" s="4">
        <f ca="1"/>
        <v>8.5962348491230856E-5</v>
      </c>
      <c r="C26" s="4">
        <f ca="1"/>
        <v>1.6009402991123967E-2</v>
      </c>
      <c r="D26" s="4">
        <f ca="1"/>
        <v>-1.6619577862722057E-3</v>
      </c>
      <c r="E26" s="4">
        <f ca="1"/>
        <v>1.1041744316064195E-2</v>
      </c>
      <c r="F26" s="4">
        <f ca="1"/>
        <v>-9.7595473833097524E-3</v>
      </c>
      <c r="G26" s="4">
        <f ca="1"/>
        <v>-9.7670924117205793E-3</v>
      </c>
      <c r="H26" s="4">
        <f ca="1"/>
        <v>2.9619949907437659E-2</v>
      </c>
      <c r="I26" s="4">
        <f ca="1"/>
        <v>7.4882995319813794E-3</v>
      </c>
      <c r="J26" s="4">
        <f ca="1"/>
        <v>2.7158774373259087E-2</v>
      </c>
      <c r="K26" s="4">
        <f ca="1"/>
        <v>2.9882833494571548E-2</v>
      </c>
      <c r="L26" s="4">
        <f ca="1"/>
        <v>5.5657412257725802E-3</v>
      </c>
      <c r="M26" s="4">
        <f ca="1"/>
        <v>-7.3279020647442072E-3</v>
      </c>
      <c r="N26" s="4">
        <f ca="1"/>
        <v>-1.6414410573439842E-3</v>
      </c>
      <c r="O26" s="4">
        <f ca="1"/>
        <v>4.6064139941691007E-2</v>
      </c>
      <c r="P26" s="4">
        <f ca="1"/>
        <v>4.2022043073567827E-2</v>
      </c>
    </row>
    <row r="27" spans="1:16" x14ac:dyDescent="0.25">
      <c r="A27" vm="427">
        <f ca="1"/>
        <v>44965</v>
      </c>
      <c r="B27" s="4">
        <f ca="1"/>
        <v>8.509541000515819E-3</v>
      </c>
      <c r="C27" s="4">
        <f ca="1"/>
        <v>2.2339237274613399E-3</v>
      </c>
      <c r="D27" s="4">
        <f ca="1"/>
        <v>-5.8265357083402414E-3</v>
      </c>
      <c r="E27" s="4">
        <f ca="1"/>
        <v>-5.345375789134077E-3</v>
      </c>
      <c r="F27" s="4">
        <f ca="1"/>
        <v>-1.0355663476646293E-2</v>
      </c>
      <c r="G27" s="4">
        <f ca="1"/>
        <v>-1.1886697015680348E-2</v>
      </c>
      <c r="H27" s="4">
        <f ca="1"/>
        <v>-2.8556319407719855E-3</v>
      </c>
      <c r="I27" s="4">
        <f ca="1"/>
        <v>-1.052957572003721E-2</v>
      </c>
      <c r="J27" s="4">
        <f ca="1"/>
        <v>1.2881355932203409E-2</v>
      </c>
      <c r="K27" s="4">
        <f ca="1"/>
        <v>-4.2740841248303907E-2</v>
      </c>
      <c r="L27" s="4">
        <f ca="1"/>
        <v>-7.8791430617958236E-3</v>
      </c>
      <c r="M27" s="4">
        <f ca="1"/>
        <v>-6.9477615180857377E-4</v>
      </c>
      <c r="N27" s="4">
        <f ca="1"/>
        <v>2.8185253987573766E-3</v>
      </c>
      <c r="O27" s="4">
        <f ca="1"/>
        <v>-7.6830174656261629E-2</v>
      </c>
      <c r="P27" s="4">
        <f ca="1"/>
        <v>-3.1021079384062622E-3</v>
      </c>
    </row>
    <row r="28" spans="1:16" x14ac:dyDescent="0.25">
      <c r="A28" vm="441">
        <f ca="1"/>
        <v>44966</v>
      </c>
      <c r="B28" s="4">
        <f ca="1"/>
        <v>-1.0511662263132937E-3</v>
      </c>
      <c r="C28" s="4">
        <f ca="1"/>
        <v>9.7118293265403555E-3</v>
      </c>
      <c r="D28" s="4">
        <f ca="1"/>
        <v>-1.6744809109175973E-3</v>
      </c>
      <c r="E28" s="4">
        <f ca="1"/>
        <v>-0.10891823025249014</v>
      </c>
      <c r="F28" s="4">
        <f ca="1"/>
        <v>-1.0969185249332325E-2</v>
      </c>
      <c r="G28" s="4">
        <f ca="1"/>
        <v>-4.6071154338367393E-3</v>
      </c>
      <c r="H28" s="4">
        <f ca="1"/>
        <v>2.5562155282138344E-2</v>
      </c>
      <c r="I28" s="4">
        <f ca="1"/>
        <v>-2.5665101721439765E-2</v>
      </c>
      <c r="J28" s="4">
        <f ca="1"/>
        <v>-2.4765729585006668E-2</v>
      </c>
      <c r="K28" s="4">
        <f ca="1"/>
        <v>-3.0038706863653841E-2</v>
      </c>
      <c r="L28" s="4">
        <f ca="1"/>
        <v>6.5634024678384861E-4</v>
      </c>
      <c r="M28" s="4">
        <f ca="1"/>
        <v>-1.4122452526832641E-2</v>
      </c>
      <c r="N28" s="4">
        <f ca="1"/>
        <v>9.3686788033631174E-4</v>
      </c>
      <c r="O28" s="4">
        <f ca="1"/>
        <v>-4.3876421455167569E-2</v>
      </c>
      <c r="P28" s="4">
        <f ca="1"/>
        <v>-1.165973081393179E-2</v>
      </c>
    </row>
    <row r="29" spans="1:16" x14ac:dyDescent="0.25">
      <c r="A29" vm="457">
        <f ca="1"/>
        <v>44967</v>
      </c>
      <c r="B29" s="4">
        <f ca="1"/>
        <v>-7.7925032705762343E-3</v>
      </c>
      <c r="C29" s="4">
        <f ca="1"/>
        <v>7.7262693156732176E-3</v>
      </c>
      <c r="D29" s="4">
        <f ca="1"/>
        <v>0</v>
      </c>
      <c r="E29" s="4">
        <f ca="1"/>
        <v>2.7555370697722736E-3</v>
      </c>
      <c r="F29" s="4">
        <f ca="1"/>
        <v>8.8288945640275784E-3</v>
      </c>
      <c r="G29" s="4">
        <f ca="1"/>
        <v>1.902802777063517E-2</v>
      </c>
      <c r="H29" s="4">
        <f ca="1"/>
        <v>-1.3651877133105783E-2</v>
      </c>
      <c r="I29" s="4">
        <f ca="1"/>
        <v>1.4134275618374659E-2</v>
      </c>
      <c r="J29" s="4">
        <f ca="1"/>
        <v>2.2649279341111939E-2</v>
      </c>
      <c r="K29" s="4">
        <f ca="1"/>
        <v>-2.1189298561150927E-2</v>
      </c>
      <c r="L29" s="4">
        <f ca="1"/>
        <v>-7.3461891643710198E-3</v>
      </c>
      <c r="M29" s="4">
        <f ca="1"/>
        <v>6.2588152327223145E-3</v>
      </c>
      <c r="N29" s="4">
        <f ca="1"/>
        <v>2.2846688931906778E-2</v>
      </c>
      <c r="O29" s="4">
        <f ca="1"/>
        <v>-4.6310914640564915E-3</v>
      </c>
      <c r="P29" s="4">
        <f ca="1"/>
        <v>-1.9725362263863788E-3</v>
      </c>
    </row>
    <row r="30" spans="1:16" x14ac:dyDescent="0.25">
      <c r="A30" vm="472">
        <f ca="1"/>
        <v>44970</v>
      </c>
      <c r="B30" s="4">
        <f ca="1"/>
        <v>9.0575556065124463E-3</v>
      </c>
      <c r="C30" s="4">
        <f ca="1"/>
        <v>6.6890940384918274E-3</v>
      </c>
      <c r="D30" s="4">
        <f ca="1"/>
        <v>1.6437437101643804E-2</v>
      </c>
      <c r="E30" s="4">
        <f ca="1"/>
        <v>1.7887696375797013E-2</v>
      </c>
      <c r="F30" s="4">
        <f ca="1"/>
        <v>1.309127730363091E-2</v>
      </c>
      <c r="G30" s="4">
        <f ca="1"/>
        <v>1.7663386323492292E-2</v>
      </c>
      <c r="H30" s="4">
        <f ca="1"/>
        <v>7.7592534339938624E-3</v>
      </c>
      <c r="I30" s="4">
        <f ca="1"/>
        <v>1.9005384859043239E-3</v>
      </c>
      <c r="J30" s="4">
        <f ca="1"/>
        <v>-1.6107382550335614E-2</v>
      </c>
      <c r="K30" s="4">
        <f ca="1"/>
        <v>3.0318690783807112E-2</v>
      </c>
      <c r="L30" s="4">
        <f ca="1"/>
        <v>1.9492533368574039E-2</v>
      </c>
      <c r="M30" s="4">
        <f ca="1"/>
        <v>1.051248357424317E-3</v>
      </c>
      <c r="N30" s="4">
        <f ca="1"/>
        <v>2.3709003181999755E-3</v>
      </c>
      <c r="O30" s="4">
        <f ca="1"/>
        <v>4.2296711430700462E-4</v>
      </c>
      <c r="P30" s="4">
        <f ca="1"/>
        <v>3.1242873432155038E-2</v>
      </c>
    </row>
    <row r="31" spans="1:16" x14ac:dyDescent="0.25">
      <c r="A31" vm="488">
        <f ca="1"/>
        <v>44971</v>
      </c>
      <c r="B31" s="4">
        <f ca="1"/>
        <v>8.80581752073617E-4</v>
      </c>
      <c r="C31" s="4">
        <f ca="1"/>
        <v>-1.2434427822034522E-3</v>
      </c>
      <c r="D31" s="4">
        <f ca="1"/>
        <v>-1.6666666666666607E-2</v>
      </c>
      <c r="E31" s="4">
        <f ca="1"/>
        <v>-7.5387123064384332E-3</v>
      </c>
      <c r="F31" s="4">
        <f ca="1"/>
        <v>-5.6400371242949499E-3</v>
      </c>
      <c r="G31" s="4">
        <f ca="1"/>
        <v>-1.1157946937763397E-2</v>
      </c>
      <c r="H31" s="4">
        <f ca="1"/>
        <v>1.9248777442513632E-2</v>
      </c>
      <c r="I31" s="4">
        <f ca="1"/>
        <v>-6.0069554220676391E-3</v>
      </c>
      <c r="J31" s="4">
        <f ca="1"/>
        <v>-6.8212824010915885E-4</v>
      </c>
      <c r="K31" s="4">
        <f ca="1"/>
        <v>2.7866020174993622E-4</v>
      </c>
      <c r="L31" s="4">
        <f ca="1"/>
        <v>-5.8331713007975239E-4</v>
      </c>
      <c r="M31" s="4">
        <f ca="1"/>
        <v>-1.2207928590181161E-2</v>
      </c>
      <c r="N31" s="4">
        <f ca="1"/>
        <v>-8.0917899454335807E-4</v>
      </c>
      <c r="O31" s="4">
        <f ca="1"/>
        <v>7.3987950533771496E-4</v>
      </c>
      <c r="P31" s="4">
        <f ca="1"/>
        <v>3.1328320802006537E-3</v>
      </c>
    </row>
    <row r="32" spans="1:16" x14ac:dyDescent="0.25">
      <c r="A32" vm="503">
        <f ca="1"/>
        <v>44972</v>
      </c>
      <c r="B32" s="4">
        <f ca="1"/>
        <v>2.5003547608911658E-2</v>
      </c>
      <c r="C32" s="4">
        <f ca="1"/>
        <v>1.4628642570906347E-2</v>
      </c>
      <c r="D32" s="4">
        <f ca="1"/>
        <v>0</v>
      </c>
      <c r="E32" s="4">
        <f ca="1"/>
        <v>1.6885649763908717E-2</v>
      </c>
      <c r="F32" s="4">
        <f ca="1"/>
        <v>-2.2975301550832716E-3</v>
      </c>
      <c r="G32" s="4">
        <f ca="1"/>
        <v>6.2688064192577553E-3</v>
      </c>
      <c r="H32" s="4">
        <f ca="1"/>
        <v>-5.3082890975908459E-2</v>
      </c>
      <c r="I32" s="4">
        <f ca="1"/>
        <v>7.3155216284988001E-3</v>
      </c>
      <c r="J32" s="4">
        <f ca="1"/>
        <v>-1.0921501706484649E-2</v>
      </c>
      <c r="K32" s="4">
        <f ca="1"/>
        <v>-1.2926231334967619E-2</v>
      </c>
      <c r="L32" s="4">
        <f ca="1"/>
        <v>1.1673151750972943E-2</v>
      </c>
      <c r="M32" s="4">
        <f ca="1"/>
        <v>-3.853820598006652E-3</v>
      </c>
      <c r="N32" s="4">
        <f ca="1"/>
        <v>-2.2218530669878556E-3</v>
      </c>
      <c r="O32" s="4">
        <f ca="1"/>
        <v>2.3869877482044721E-2</v>
      </c>
      <c r="P32" s="4">
        <f ca="1"/>
        <v>-1.0471396553624612E-2</v>
      </c>
    </row>
    <row r="33" spans="1:16" x14ac:dyDescent="0.25">
      <c r="A33" vm="517">
        <f ca="1"/>
        <v>44973</v>
      </c>
      <c r="B33" s="4">
        <f ca="1"/>
        <v>-1.8329826115848991E-2</v>
      </c>
      <c r="C33" s="4">
        <f ca="1"/>
        <v>-3.6044326853023057E-3</v>
      </c>
      <c r="D33" s="4">
        <f ca="1"/>
        <v>-6.2090954858198266E-3</v>
      </c>
      <c r="E33" s="4">
        <f ca="1"/>
        <v>-3.2554383485590255E-2</v>
      </c>
      <c r="F33" s="4">
        <f ca="1"/>
        <v>-1.3097294185377195E-2</v>
      </c>
      <c r="G33" s="4">
        <f ca="1"/>
        <v>-8.721654622476982E-3</v>
      </c>
      <c r="H33" s="4">
        <f ca="1"/>
        <v>-2.0914187149633556E-2</v>
      </c>
      <c r="I33" s="4">
        <f ca="1"/>
        <v>-1.7682349226397331E-2</v>
      </c>
      <c r="J33" s="4">
        <f ca="1"/>
        <v>-1.6563146997929601E-2</v>
      </c>
      <c r="K33" s="4">
        <f ca="1"/>
        <v>-2.6642582975840989E-2</v>
      </c>
      <c r="L33" s="4">
        <f ca="1"/>
        <v>-4.3589743589743657E-3</v>
      </c>
      <c r="M33" s="4">
        <f ca="1"/>
        <v>1.0583422269654807E-2</v>
      </c>
      <c r="N33" s="4">
        <f ca="1"/>
        <v>-1.927119102620134E-2</v>
      </c>
      <c r="O33" s="4">
        <f ca="1"/>
        <v>-1.4751392613987946E-2</v>
      </c>
      <c r="P33" s="4">
        <f ca="1"/>
        <v>-2.662260507945946E-2</v>
      </c>
    </row>
    <row r="34" spans="1:16" x14ac:dyDescent="0.25">
      <c r="A34" vm="533">
        <f ca="1"/>
        <v>44974</v>
      </c>
      <c r="B34" s="4">
        <f ca="1"/>
        <v>2.6513228408642231E-3</v>
      </c>
      <c r="C34" s="4">
        <f ca="1"/>
        <v>2.439869155281893E-2</v>
      </c>
      <c r="D34" s="4">
        <f ca="1"/>
        <v>1.5197568389057725E-2</v>
      </c>
      <c r="E34" s="4">
        <f ca="1"/>
        <v>-1.053839732888151E-2</v>
      </c>
      <c r="F34" s="4">
        <f ca="1"/>
        <v>2.0927519323319377E-2</v>
      </c>
      <c r="G34" s="4">
        <f ca="1"/>
        <v>5.5304172951231578E-3</v>
      </c>
      <c r="H34" s="4">
        <f ca="1"/>
        <v>-7.9277692138295386E-3</v>
      </c>
      <c r="I34" s="4">
        <f ca="1"/>
        <v>3.2144005143042165E-3</v>
      </c>
      <c r="J34" s="4">
        <f ca="1"/>
        <v>1.0526315789473717E-2</v>
      </c>
      <c r="K34" s="4">
        <f ca="1"/>
        <v>2.5516121549524762E-3</v>
      </c>
      <c r="L34" s="4">
        <f ca="1"/>
        <v>-2.7040947720833319E-3</v>
      </c>
      <c r="M34" s="4">
        <f ca="1"/>
        <v>-2.0241133503475783E-3</v>
      </c>
      <c r="N34" s="4">
        <f ca="1"/>
        <v>9.2944297082226957E-3</v>
      </c>
      <c r="O34" s="4">
        <f ca="1"/>
        <v>-1.2145325096848625E-2</v>
      </c>
      <c r="P34" s="4">
        <f ca="1"/>
        <v>-1.5601754720579675E-2</v>
      </c>
    </row>
    <row r="35" spans="1:16" x14ac:dyDescent="0.25">
      <c r="A35" vm="549">
        <f ca="1"/>
        <v>44978</v>
      </c>
      <c r="B35" s="4">
        <f ca="1"/>
        <v>-3.3588387532350605E-2</v>
      </c>
      <c r="C35" s="4">
        <f ca="1"/>
        <v>-2.4268379728765055E-2</v>
      </c>
      <c r="D35" s="4">
        <f ca="1"/>
        <v>-5.322687957418526E-3</v>
      </c>
      <c r="E35" s="4">
        <f ca="1"/>
        <v>-2.4517557734894058E-2</v>
      </c>
      <c r="F35" s="4">
        <f ca="1"/>
        <v>-7.142346975215208E-4</v>
      </c>
      <c r="G35" s="4">
        <f ca="1"/>
        <v>-3.2500000000000862E-3</v>
      </c>
      <c r="H35" s="4">
        <f ca="1"/>
        <v>-2.7302996670366175E-2</v>
      </c>
      <c r="I35" s="4">
        <f ca="1"/>
        <v>-1.9865427747516873E-2</v>
      </c>
      <c r="J35" s="4">
        <f ca="1"/>
        <v>-4.7222222222222165E-2</v>
      </c>
      <c r="K35" s="4">
        <f ca="1"/>
        <v>-4.6274872744098694E-3</v>
      </c>
      <c r="L35" s="4">
        <f ca="1"/>
        <v>-4.0025823111685122E-2</v>
      </c>
      <c r="M35" s="4">
        <f ca="1"/>
        <v>-1.6269841269841212E-2</v>
      </c>
      <c r="N35" s="4">
        <f ca="1"/>
        <v>7.4848096209239046E-3</v>
      </c>
      <c r="O35" s="4">
        <f ca="1"/>
        <v>-2.7133015368309366E-2</v>
      </c>
      <c r="P35" s="4">
        <f ca="1"/>
        <v>-2.0886615515771534E-2</v>
      </c>
    </row>
    <row r="36" spans="1:16" x14ac:dyDescent="0.25">
      <c r="A36" vm="565">
        <f ca="1"/>
        <v>44979</v>
      </c>
      <c r="B36" s="4">
        <f ca="1"/>
        <v>5.1813471502590858E-3</v>
      </c>
      <c r="C36" s="4">
        <f ca="1"/>
        <v>-1.0626419743579807E-2</v>
      </c>
      <c r="D36" s="4">
        <f ca="1"/>
        <v>3.0100334448159849E-3</v>
      </c>
      <c r="E36" s="4">
        <f ca="1"/>
        <v>1.4593805740230614E-3</v>
      </c>
      <c r="F36" s="4">
        <f ca="1"/>
        <v>4.2169966406975234E-3</v>
      </c>
      <c r="G36" s="4">
        <f ca="1"/>
        <v>-7.2736393278153288E-3</v>
      </c>
      <c r="H36" s="4">
        <f ca="1"/>
        <v>-9.2423550890005091E-3</v>
      </c>
      <c r="I36" s="4">
        <f ca="1"/>
        <v>-1.9614253023864103E-2</v>
      </c>
      <c r="J36" s="4">
        <f ca="1"/>
        <v>2.0408163265306145E-2</v>
      </c>
      <c r="K36" s="4">
        <f ca="1"/>
        <v>-5.5788005578800703E-3</v>
      </c>
      <c r="L36" s="4">
        <f ca="1"/>
        <v>-2.0174848688633285E-3</v>
      </c>
      <c r="M36" s="4">
        <f ca="1"/>
        <v>-4.4372730939895577E-3</v>
      </c>
      <c r="N36" s="4">
        <f ca="1"/>
        <v>7.0953066633272499E-4</v>
      </c>
      <c r="O36" s="4">
        <f ca="1"/>
        <v>-1.5252206122671197E-3</v>
      </c>
      <c r="P36" s="4">
        <f ca="1"/>
        <v>-4.590968456880451E-3</v>
      </c>
    </row>
    <row r="37" spans="1:16" x14ac:dyDescent="0.25">
      <c r="A37" vm="581">
        <f ca="1"/>
        <v>44980</v>
      </c>
      <c r="B37" s="4">
        <f ca="1"/>
        <v>1.0685740762191642E-2</v>
      </c>
      <c r="C37" s="4">
        <f ca="1"/>
        <v>-1.0896213565787516E-3</v>
      </c>
      <c r="D37" s="4">
        <f ca="1"/>
        <v>1.8339446482162902E-3</v>
      </c>
      <c r="E37" s="4">
        <f ca="1"/>
        <v>1.3870898100172724E-2</v>
      </c>
      <c r="F37" s="4">
        <f ca="1"/>
        <v>-3.2028469750888799E-3</v>
      </c>
      <c r="G37" s="4">
        <f ca="1"/>
        <v>4.2950985346135173E-3</v>
      </c>
      <c r="H37" s="4">
        <f ca="1"/>
        <v>3.7429459864102288E-2</v>
      </c>
      <c r="I37" s="4">
        <f ca="1"/>
        <v>2.2007335778592818E-2</v>
      </c>
      <c r="J37" s="4">
        <f ca="1"/>
        <v>2.2857142857142909E-2</v>
      </c>
      <c r="K37" s="4">
        <f ca="1"/>
        <v>5.3763440860215006E-3</v>
      </c>
      <c r="L37" s="4">
        <f ca="1"/>
        <v>7.5606469002695409E-2</v>
      </c>
      <c r="M37" s="4">
        <f ca="1"/>
        <v>1.5667206915180865E-2</v>
      </c>
      <c r="N37" s="4">
        <f ca="1"/>
        <v>-9.3841886847534361E-4</v>
      </c>
      <c r="O37" s="4">
        <f ca="1"/>
        <v>-8.2924168030551471E-3</v>
      </c>
      <c r="P37" s="4">
        <f ca="1"/>
        <v>1.2961711263965725E-2</v>
      </c>
    </row>
    <row r="38" spans="1:16" x14ac:dyDescent="0.25">
      <c r="A38" vm="597">
        <f ca="1"/>
        <v>44981</v>
      </c>
      <c r="B38" s="4">
        <f ca="1"/>
        <v>-2.8079424658319363E-3</v>
      </c>
      <c r="C38" s="4">
        <f ca="1"/>
        <v>3.1945147843701616E-3</v>
      </c>
      <c r="D38" s="4">
        <f ca="1"/>
        <v>-4.1604260276252303E-3</v>
      </c>
      <c r="E38" s="4">
        <f ca="1"/>
        <v>-9.1562416821932002E-3</v>
      </c>
      <c r="F38" s="4">
        <f ca="1"/>
        <v>-5.6408425562300968E-3</v>
      </c>
      <c r="G38" s="4">
        <f ca="1"/>
        <v>-3.5220125786163958E-3</v>
      </c>
      <c r="H38" s="4">
        <f ca="1"/>
        <v>-2.1869449378330352E-2</v>
      </c>
      <c r="I38" s="4">
        <f ca="1"/>
        <v>3.2626427406199365E-3</v>
      </c>
      <c r="J38" s="4">
        <f ca="1"/>
        <v>-4.8882681564245911E-2</v>
      </c>
      <c r="K38" s="4">
        <f ca="1"/>
        <v>-9.5907928388747621E-3</v>
      </c>
      <c r="L38" s="4">
        <f ca="1"/>
        <v>6.3901766695901863E-3</v>
      </c>
      <c r="M38" s="4">
        <f ca="1"/>
        <v>-6.6932624113474892E-3</v>
      </c>
      <c r="N38" s="4">
        <f ca="1"/>
        <v>2.7552809551640856E-3</v>
      </c>
      <c r="O38" s="4">
        <f ca="1"/>
        <v>-1.9364066453955386E-2</v>
      </c>
      <c r="P38" s="4">
        <f ca="1"/>
        <v>-2.1784354515837823E-2</v>
      </c>
    </row>
    <row r="39" spans="1:16" x14ac:dyDescent="0.25">
      <c r="A39" vm="613">
        <f ca="1"/>
        <v>44984</v>
      </c>
      <c r="B39" s="4">
        <f ca="1"/>
        <v>7.0396230210041377E-3</v>
      </c>
      <c r="C39" s="4">
        <f ca="1"/>
        <v>5.8638499475747174E-3</v>
      </c>
      <c r="D39" s="4">
        <f ca="1"/>
        <v>-3.3422459893051037E-4</v>
      </c>
      <c r="E39" s="4">
        <f ca="1"/>
        <v>1.1819695911459815E-2</v>
      </c>
      <c r="F39" s="4">
        <f ca="1"/>
        <v>-8.6169754416198785E-4</v>
      </c>
      <c r="G39" s="4">
        <f ca="1"/>
        <v>1.2623074981064075E-3</v>
      </c>
      <c r="H39" s="4">
        <f ca="1"/>
        <v>-9.1930541368744345E-3</v>
      </c>
      <c r="I39" s="4">
        <f ca="1"/>
        <v>6.5040650406511524E-4</v>
      </c>
      <c r="J39" s="4">
        <f ca="1"/>
        <v>1.6886930983847304E-2</v>
      </c>
      <c r="K39" s="4">
        <f ca="1"/>
        <v>-4.9885556664123198E-3</v>
      </c>
      <c r="L39" s="4">
        <f ca="1"/>
        <v>1.4068725099601664E-2</v>
      </c>
      <c r="M39" s="4">
        <f ca="1"/>
        <v>2.6774956490696056E-3</v>
      </c>
      <c r="N39" s="4">
        <f ca="1"/>
        <v>-1.8942547876769078E-3</v>
      </c>
      <c r="O39" s="4">
        <f ca="1"/>
        <v>8.3024795242905292E-3</v>
      </c>
      <c r="P39" s="4">
        <f ca="1"/>
        <v>3.7717679158975059E-3</v>
      </c>
    </row>
    <row r="40" spans="1:16" x14ac:dyDescent="0.25">
      <c r="A40" vm="628">
        <f ca="1"/>
        <v>44985</v>
      </c>
      <c r="B40" s="4">
        <f ca="1"/>
        <v>3.9089249029902184E-3</v>
      </c>
      <c r="C40" s="4">
        <f ca="1"/>
        <v>-3.0885645896068237E-3</v>
      </c>
      <c r="D40" s="4">
        <f ca="1"/>
        <v>-5.182213306586414E-3</v>
      </c>
      <c r="E40" s="4">
        <f ca="1"/>
        <v>-1.5929485477619298E-3</v>
      </c>
      <c r="F40" s="4">
        <f ca="1"/>
        <v>-1.1355469311484678E-2</v>
      </c>
      <c r="G40" s="4">
        <f ca="1"/>
        <v>-1.8154311649016597E-2</v>
      </c>
      <c r="H40" s="4">
        <f ca="1"/>
        <v>-2.6345933562428314E-3</v>
      </c>
      <c r="I40" s="4">
        <f ca="1"/>
        <v>-9.0997725056873868E-3</v>
      </c>
      <c r="J40" s="4">
        <f ca="1"/>
        <v>-3.8989169675090141E-2</v>
      </c>
      <c r="K40" s="4">
        <f ca="1"/>
        <v>3.1850890645275465E-2</v>
      </c>
      <c r="L40" s="4">
        <f ca="1"/>
        <v>-9.2081031307550409E-3</v>
      </c>
      <c r="M40" s="4">
        <f ca="1"/>
        <v>-4.4060705861409533E-3</v>
      </c>
      <c r="N40" s="4">
        <f ca="1"/>
        <v>-1.090742246970744E-2</v>
      </c>
      <c r="O40" s="4">
        <f ca="1"/>
        <v>2.1141649048626032E-3</v>
      </c>
      <c r="P40" s="4">
        <f ca="1"/>
        <v>-2.9581068116405485E-3</v>
      </c>
    </row>
    <row r="41" spans="1:16" x14ac:dyDescent="0.25">
      <c r="A41" vm="644">
        <f ca="1"/>
        <v>44986</v>
      </c>
      <c r="B41" s="4">
        <f ca="1"/>
        <v>4.2631803325281492E-3</v>
      </c>
      <c r="C41" s="4">
        <f ca="1"/>
        <v>-1.0843466811247815E-3</v>
      </c>
      <c r="D41" s="4">
        <f ca="1"/>
        <v>-1.0922534027894448E-2</v>
      </c>
      <c r="E41" s="4">
        <f ca="1"/>
        <v>2.6059671329043965E-3</v>
      </c>
      <c r="F41" s="4">
        <f ca="1"/>
        <v>7.269555103226466E-4</v>
      </c>
      <c r="G41" s="4">
        <f ca="1"/>
        <v>-1.3867488443759624E-2</v>
      </c>
      <c r="H41" s="4">
        <f ca="1"/>
        <v>1.5504766280004745E-2</v>
      </c>
      <c r="I41" s="4">
        <f ca="1"/>
        <v>1.2135126270908625E-2</v>
      </c>
      <c r="J41" s="4">
        <f ca="1"/>
        <v>1.8031555221637907E-2</v>
      </c>
      <c r="K41" s="4">
        <f ca="1"/>
        <v>-8.6886932662627592E-3</v>
      </c>
      <c r="L41" s="4">
        <f ca="1"/>
        <v>-1.0842627013630701E-2</v>
      </c>
      <c r="M41" s="4">
        <f ca="1"/>
        <v>-1.7881090746535544E-2</v>
      </c>
      <c r="N41" s="4">
        <f ca="1"/>
        <v>1.4759836376665447E-4</v>
      </c>
      <c r="O41" s="4">
        <f ca="1"/>
        <v>3.3311125916055673E-3</v>
      </c>
      <c r="P41" s="4">
        <f ca="1"/>
        <v>-1.2629299975944086E-2</v>
      </c>
    </row>
    <row r="42" spans="1:16" x14ac:dyDescent="0.25">
      <c r="A42" vm="659">
        <f ca="1"/>
        <v>44987</v>
      </c>
      <c r="B42" s="4">
        <f ca="1"/>
        <v>6.0846186500636001E-3</v>
      </c>
      <c r="C42" s="4">
        <f ca="1"/>
        <v>1.1591843064278518E-2</v>
      </c>
      <c r="D42" s="4">
        <f ca="1"/>
        <v>1.4610941216445905E-2</v>
      </c>
      <c r="E42" s="4">
        <f ca="1"/>
        <v>-7.4262677699987734E-4</v>
      </c>
      <c r="F42" s="4">
        <f ca="1"/>
        <v>1.6489902658724409E-2</v>
      </c>
      <c r="G42" s="4">
        <f ca="1"/>
        <v>6.7708333333333925E-3</v>
      </c>
      <c r="H42" s="4">
        <f ca="1"/>
        <v>6.8988916534720168E-3</v>
      </c>
      <c r="I42" s="4">
        <f ca="1"/>
        <v>1.3609850939727774E-2</v>
      </c>
      <c r="J42" s="4">
        <f ca="1"/>
        <v>-1.4760147601476148E-2</v>
      </c>
      <c r="K42" s="4">
        <f ca="1"/>
        <v>6.4006458309306957E-3</v>
      </c>
      <c r="L42" s="4">
        <f ca="1"/>
        <v>2.5054807391169387E-3</v>
      </c>
      <c r="M42" s="4">
        <f ca="1"/>
        <v>9.2853891670461319E-3</v>
      </c>
      <c r="N42" s="4">
        <f ca="1"/>
        <v>8.3907827883540342E-3</v>
      </c>
      <c r="O42" s="4">
        <f ca="1"/>
        <v>1.814962372731288E-2</v>
      </c>
      <c r="P42" s="4">
        <f ca="1"/>
        <v>1.9653226133918178E-2</v>
      </c>
    </row>
    <row r="43" spans="1:16" x14ac:dyDescent="0.25">
      <c r="A43" vm="673">
        <f ca="1"/>
        <v>44988</v>
      </c>
      <c r="B43" s="4">
        <f ca="1"/>
        <v>1.2236286919831363E-2</v>
      </c>
      <c r="C43" s="4">
        <f ca="1"/>
        <v>1.7284329130418108E-2</v>
      </c>
      <c r="D43" s="4">
        <f ca="1"/>
        <v>-4.6885465505693835E-3</v>
      </c>
      <c r="E43" s="4">
        <f ca="1"/>
        <v>8.3342180698586787E-3</v>
      </c>
      <c r="F43" s="4">
        <f ca="1"/>
        <v>7.2893589651967794E-3</v>
      </c>
      <c r="G43" s="4">
        <f ca="1"/>
        <v>9.8292809105018364E-3</v>
      </c>
      <c r="H43" s="4">
        <f ca="1"/>
        <v>8.5364483881837927E-3</v>
      </c>
      <c r="I43" s="4">
        <f ca="1"/>
        <v>-4.1560102301790858E-3</v>
      </c>
      <c r="J43" s="4">
        <f ca="1"/>
        <v>7.0411985018726586E-2</v>
      </c>
      <c r="K43" s="4">
        <f ca="1"/>
        <v>6.142210508222079E-2</v>
      </c>
      <c r="L43" s="4">
        <f ca="1"/>
        <v>1.9181505779443775E-2</v>
      </c>
      <c r="M43" s="4">
        <f ca="1"/>
        <v>6.8097772165598425E-3</v>
      </c>
      <c r="N43" s="4">
        <f ca="1"/>
        <v>-8.7809161422514048E-4</v>
      </c>
      <c r="O43" s="4">
        <f ca="1"/>
        <v>1.7934782608695743E-2</v>
      </c>
      <c r="P43" s="4">
        <f ca="1"/>
        <v>1.6646091354386439E-2</v>
      </c>
    </row>
    <row r="44" spans="1:16" x14ac:dyDescent="0.25">
      <c r="A44" vm="689">
        <f ca="1"/>
        <v>44991</v>
      </c>
      <c r="B44" s="4">
        <f ca="1"/>
        <v>1.8063081839654327E-3</v>
      </c>
      <c r="C44" s="4">
        <f ca="1"/>
        <v>-4.3701024713683756E-3</v>
      </c>
      <c r="D44" s="4">
        <f ca="1"/>
        <v>1.5477792732166984E-2</v>
      </c>
      <c r="E44" s="4">
        <f ca="1"/>
        <v>-1.9952619110292114E-2</v>
      </c>
      <c r="F44" s="4">
        <f ca="1"/>
        <v>-4.256828662646317E-3</v>
      </c>
      <c r="G44" s="4">
        <f ca="1"/>
        <v>-1.2807377049179891E-3</v>
      </c>
      <c r="H44" s="4">
        <f ca="1"/>
        <v>-2.3387905111929008E-3</v>
      </c>
      <c r="I44" s="4">
        <f ca="1"/>
        <v>-1.9582664526484717E-2</v>
      </c>
      <c r="J44" s="4">
        <f ca="1"/>
        <v>-6.9979006298104274E-4</v>
      </c>
      <c r="K44" s="4">
        <f ca="1"/>
        <v>-1.8893387314439236E-3</v>
      </c>
      <c r="L44" s="4">
        <f ca="1"/>
        <v>1.5326140264835253E-3</v>
      </c>
      <c r="M44" s="4">
        <f ca="1"/>
        <v>-1.2138857782754808E-2</v>
      </c>
      <c r="N44" s="4">
        <f ca="1"/>
        <v>4.7709723995061903E-3</v>
      </c>
      <c r="O44" s="4">
        <f ca="1"/>
        <v>1.5803523758675775E-2</v>
      </c>
      <c r="P44" s="4">
        <f ca="1"/>
        <v>6.1890399153903264E-3</v>
      </c>
    </row>
    <row r="45" spans="1:16" x14ac:dyDescent="0.25">
      <c r="A45" vm="705">
        <f ca="1"/>
        <v>44992</v>
      </c>
      <c r="B45" s="4">
        <f ca="1"/>
        <v>-2.6629680998612182E-3</v>
      </c>
      <c r="C45" s="4">
        <f ca="1"/>
        <v>-1.4340850612986067E-2</v>
      </c>
      <c r="D45" s="4">
        <f ca="1"/>
        <v>-5.7985420808482901E-3</v>
      </c>
      <c r="E45" s="4">
        <f ca="1"/>
        <v>-2.401160292221749E-2</v>
      </c>
      <c r="F45" s="4">
        <f ca="1"/>
        <v>-1.9878874242963973E-2</v>
      </c>
      <c r="G45" s="4">
        <f ca="1"/>
        <v>-8.9766606822262451E-3</v>
      </c>
      <c r="H45" s="4">
        <f ca="1"/>
        <v>-8.149140433132418E-3</v>
      </c>
      <c r="I45" s="4">
        <f ca="1"/>
        <v>-2.7832351015062096E-2</v>
      </c>
      <c r="J45" s="4">
        <f ca="1"/>
        <v>-1.4005602240896309E-3</v>
      </c>
      <c r="K45" s="4">
        <f ca="1"/>
        <v>-2.1092482422931935E-3</v>
      </c>
      <c r="L45" s="4">
        <f ca="1"/>
        <v>-2.4484299442982804E-3</v>
      </c>
      <c r="M45" s="4">
        <f ca="1"/>
        <v>-5.9853087875214595E-3</v>
      </c>
      <c r="N45" s="4">
        <f ca="1"/>
        <v>-3.1447195784826132E-3</v>
      </c>
      <c r="O45" s="4">
        <f ca="1"/>
        <v>-1.3350152423000083E-2</v>
      </c>
      <c r="P45" s="4">
        <f ca="1"/>
        <v>-1.0589013898080757E-2</v>
      </c>
    </row>
    <row r="46" spans="1:16" x14ac:dyDescent="0.25">
      <c r="A46" vm="720">
        <f ca="1"/>
        <v>44993</v>
      </c>
      <c r="B46" s="4">
        <f ca="1"/>
        <v>8.7055682260666067E-3</v>
      </c>
      <c r="C46" s="4">
        <f ca="1"/>
        <v>1.2745210948596819E-2</v>
      </c>
      <c r="D46" s="4">
        <f ca="1"/>
        <v>4.9991668055326954E-4</v>
      </c>
      <c r="E46" s="4">
        <f ca="1"/>
        <v>-7.7054323297924832E-3</v>
      </c>
      <c r="F46" s="4">
        <f ca="1"/>
        <v>1.4539110206457373E-4</v>
      </c>
      <c r="G46" s="4">
        <f ca="1"/>
        <v>-8.281573498964856E-3</v>
      </c>
      <c r="H46" s="4">
        <f ca="1"/>
        <v>2.2284749577940355E-2</v>
      </c>
      <c r="I46" s="4">
        <f ca="1"/>
        <v>1.953519703603912E-2</v>
      </c>
      <c r="J46" s="4">
        <f ca="1"/>
        <v>-2.8050490883589907E-3</v>
      </c>
      <c r="K46" s="4">
        <f ca="1"/>
        <v>2.493089805430726E-3</v>
      </c>
      <c r="L46" s="4">
        <f ca="1"/>
        <v>-3.3134932809718576E-3</v>
      </c>
      <c r="M46" s="4">
        <f ca="1"/>
        <v>3.6493020709804647E-4</v>
      </c>
      <c r="N46" s="4">
        <f ca="1"/>
        <v>1.7548990933020647E-3</v>
      </c>
      <c r="O46" s="4">
        <f ca="1"/>
        <v>4.1551246537396835E-3</v>
      </c>
      <c r="P46" s="4">
        <f ca="1"/>
        <v>-1.7706079087154158E-3</v>
      </c>
    </row>
    <row r="47" spans="1:16" x14ac:dyDescent="0.25">
      <c r="A47" vm="736">
        <f ca="1"/>
        <v>44994</v>
      </c>
      <c r="B47" s="4">
        <f ca="1"/>
        <v>-3.2371026001599246E-2</v>
      </c>
      <c r="C47" s="4">
        <f ca="1"/>
        <v>-3.1045070315757539E-2</v>
      </c>
      <c r="D47" s="4">
        <f ca="1"/>
        <v>-9.6602265156562339E-3</v>
      </c>
      <c r="E47" s="4">
        <f ca="1"/>
        <v>1.2368961118198518E-2</v>
      </c>
      <c r="F47" s="4">
        <f ca="1"/>
        <v>-7.341183311527999E-3</v>
      </c>
      <c r="G47" s="4">
        <f ca="1"/>
        <v>-1.3830897703549061E-2</v>
      </c>
      <c r="H47" s="4">
        <f ca="1"/>
        <v>-2.1468677749642229E-2</v>
      </c>
      <c r="I47" s="4">
        <f ca="1"/>
        <v>-1.684836471754203E-2</v>
      </c>
      <c r="J47" s="4">
        <f ca="1"/>
        <v>-9.8452883263010493E-3</v>
      </c>
      <c r="K47" s="4">
        <f ca="1"/>
        <v>-1.7732605287343883E-2</v>
      </c>
      <c r="L47" s="4">
        <f ca="1"/>
        <v>-1.157421658560609E-2</v>
      </c>
      <c r="M47" s="4">
        <f ca="1"/>
        <v>-1.5959872321021473E-2</v>
      </c>
      <c r="N47" s="4">
        <f ca="1"/>
        <v>-7.6120959332637295E-3</v>
      </c>
      <c r="O47" s="4">
        <f ca="1"/>
        <v>-2.0477453580901916E-2</v>
      </c>
      <c r="P47" s="4">
        <f ca="1"/>
        <v>-5.4394954670871076E-3</v>
      </c>
    </row>
    <row r="48" spans="1:16" x14ac:dyDescent="0.25">
      <c r="A48" vm="751">
        <f ca="1"/>
        <v>44995</v>
      </c>
      <c r="B48" s="4">
        <f ca="1"/>
        <v>-3.5505656398711949E-2</v>
      </c>
      <c r="C48" s="4">
        <f ca="1"/>
        <v>-4.8978953133557712E-2</v>
      </c>
      <c r="D48" s="4">
        <f ca="1"/>
        <v>-4.2045072317524745E-3</v>
      </c>
      <c r="E48" s="4">
        <f ca="1"/>
        <v>-2.7503835196142967E-2</v>
      </c>
      <c r="F48" s="4">
        <f ca="1"/>
        <v>4.5397964413853575E-3</v>
      </c>
      <c r="G48" s="4">
        <f ca="1"/>
        <v>3.9693040486901143E-3</v>
      </c>
      <c r="H48" s="4">
        <f ca="1"/>
        <v>-1.8339333933393265E-2</v>
      </c>
      <c r="I48" s="4">
        <f ca="1"/>
        <v>-9.0725806451613655E-3</v>
      </c>
      <c r="J48" s="4">
        <f ca="1"/>
        <v>-4.6164772727272707E-2</v>
      </c>
      <c r="K48" s="4">
        <f ca="1"/>
        <v>-1.1998458913534127E-2</v>
      </c>
      <c r="L48" s="4">
        <f ca="1"/>
        <v>-1.993148551853019E-2</v>
      </c>
      <c r="M48" s="4">
        <f ca="1"/>
        <v>-1.7608897126969447E-2</v>
      </c>
      <c r="N48" s="4">
        <f ca="1"/>
        <v>-7.3552590101932935E-4</v>
      </c>
      <c r="O48" s="4">
        <f ca="1"/>
        <v>-1.8305892547660241E-2</v>
      </c>
      <c r="P48" s="4">
        <f ca="1"/>
        <v>-1.4782815472415889E-2</v>
      </c>
    </row>
    <row r="49" spans="1:16" x14ac:dyDescent="0.25">
      <c r="A49" vm="767">
        <f ca="1"/>
        <v>44998</v>
      </c>
      <c r="B49" s="4">
        <f ca="1"/>
        <v>-1.8849528761781142E-2</v>
      </c>
      <c r="C49" s="4">
        <f ca="1"/>
        <v>-2.4146441793500673E-2</v>
      </c>
      <c r="D49" s="4">
        <f ca="1"/>
        <v>1.0133423408207998E-2</v>
      </c>
      <c r="E49" s="4">
        <f ca="1"/>
        <v>6.1971830985914078E-3</v>
      </c>
      <c r="F49" s="4">
        <f ca="1"/>
        <v>6.9247029666883453E-3</v>
      </c>
      <c r="G49" s="4">
        <f ca="1"/>
        <v>4.7443331576173531E-3</v>
      </c>
      <c r="H49" s="4">
        <f ca="1"/>
        <v>5.6160458452720885E-3</v>
      </c>
      <c r="I49" s="4">
        <f ca="1"/>
        <v>-1.4581213970837559E-2</v>
      </c>
      <c r="J49" s="4">
        <f ca="1"/>
        <v>-9.9032017870439359E-2</v>
      </c>
      <c r="K49" s="4">
        <f ca="1"/>
        <v>7.7433012088463649E-3</v>
      </c>
      <c r="L49" s="4">
        <f ca="1"/>
        <v>-9.4057832856688783E-3</v>
      </c>
      <c r="M49" s="4">
        <f ca="1"/>
        <v>-4.7169811320755262E-3</v>
      </c>
      <c r="N49" s="4">
        <f ca="1"/>
        <v>3.8485804416403813E-3</v>
      </c>
      <c r="O49" s="4">
        <f ca="1"/>
        <v>5.2962595167163062E-3</v>
      </c>
      <c r="P49" s="4">
        <f ca="1"/>
        <v>2.1440926827305917E-2</v>
      </c>
    </row>
    <row r="50" spans="1:16" x14ac:dyDescent="0.25">
      <c r="A50" vm="782">
        <f ca="1"/>
        <v>44999</v>
      </c>
      <c r="B50" s="4">
        <f ca="1"/>
        <v>6.4139239362825951E-3</v>
      </c>
      <c r="C50" s="4">
        <f ca="1"/>
        <v>4.2153184673110466E-4</v>
      </c>
      <c r="D50" s="4">
        <f ca="1"/>
        <v>3.6783146630998687E-3</v>
      </c>
      <c r="E50" s="4">
        <f ca="1"/>
        <v>-3.3594624860022737E-4</v>
      </c>
      <c r="F50" s="4">
        <f ca="1"/>
        <v>1.237874619950774E-2</v>
      </c>
      <c r="G50" s="4">
        <f ca="1"/>
        <v>5.2465897166853459E-4</v>
      </c>
      <c r="H50" s="4">
        <f ca="1"/>
        <v>1.7665830863916154E-2</v>
      </c>
      <c r="I50" s="4">
        <f ca="1"/>
        <v>6.8823124569856731E-3</v>
      </c>
      <c r="J50" s="4">
        <f ca="1"/>
        <v>6.6115702479339067E-3</v>
      </c>
      <c r="K50" s="4">
        <f ca="1"/>
        <v>7.2526257600884492E-2</v>
      </c>
      <c r="L50" s="4">
        <f ca="1"/>
        <v>2.4828382626547851E-2</v>
      </c>
      <c r="M50" s="4">
        <f ca="1"/>
        <v>1.9194312796208646E-2</v>
      </c>
      <c r="N50" s="4">
        <f ca="1"/>
        <v>3.226279513125041E-3</v>
      </c>
      <c r="O50" s="4">
        <f ca="1"/>
        <v>3.1390626714959957E-2</v>
      </c>
      <c r="P50" s="4">
        <f ca="1"/>
        <v>2.7055765595463299E-2</v>
      </c>
    </row>
    <row r="51" spans="1:16" x14ac:dyDescent="0.25">
      <c r="A51" vm="797">
        <f ca="1"/>
        <v>45000</v>
      </c>
      <c r="B51" s="4">
        <f ca="1"/>
        <v>-6.1875411405660996E-2</v>
      </c>
      <c r="C51" s="4">
        <f ca="1"/>
        <v>-6.1939072177980115E-2</v>
      </c>
      <c r="D51" s="4">
        <f ca="1"/>
        <v>6.6633349991671587E-3</v>
      </c>
      <c r="E51" s="4">
        <f ca="1"/>
        <v>-1.2042119413016694E-2</v>
      </c>
      <c r="F51" s="4">
        <f ca="1"/>
        <v>1.4158026456918327E-2</v>
      </c>
      <c r="G51" s="4">
        <f ca="1"/>
        <v>-7.8657577346619156E-4</v>
      </c>
      <c r="H51" s="4">
        <f ca="1"/>
        <v>-2.9006607682831254E-2</v>
      </c>
      <c r="I51" s="4">
        <f ca="1"/>
        <v>-9.5693779904306719E-3</v>
      </c>
      <c r="J51" s="4">
        <f ca="1"/>
        <v>5.8292282430213449E-2</v>
      </c>
      <c r="K51" s="4">
        <f ca="1"/>
        <v>1.9224822183280033E-2</v>
      </c>
      <c r="L51" s="4">
        <f ca="1"/>
        <v>-2.7544760235382548E-2</v>
      </c>
      <c r="M51" s="4">
        <f ca="1"/>
        <v>4.5570797488956316E-3</v>
      </c>
      <c r="N51" s="4">
        <f ca="1"/>
        <v>-1.1610666778040013E-2</v>
      </c>
      <c r="O51" s="4">
        <f ca="1"/>
        <v>2.2773225497499272E-2</v>
      </c>
      <c r="P51" s="4">
        <f ca="1"/>
        <v>1.7830438283676475E-2</v>
      </c>
    </row>
    <row r="52" spans="1:16" x14ac:dyDescent="0.25">
      <c r="A52" vm="811">
        <f ca="1"/>
        <v>45001</v>
      </c>
      <c r="B52" s="4">
        <f ca="1"/>
        <v>1.4671174331823966E-3</v>
      </c>
      <c r="C52" s="4">
        <f ca="1"/>
        <v>7.591070385841947E-3</v>
      </c>
      <c r="D52" s="4">
        <f ca="1"/>
        <v>-2.1512493794473286E-3</v>
      </c>
      <c r="E52" s="4">
        <f ca="1"/>
        <v>1.3209365610295398E-2</v>
      </c>
      <c r="F52" s="4">
        <f ca="1"/>
        <v>7.4737361630119459E-3</v>
      </c>
      <c r="G52" s="4">
        <f ca="1"/>
        <v>1.836788244555132E-3</v>
      </c>
      <c r="H52" s="4">
        <f ca="1"/>
        <v>2.9988465974625012E-2</v>
      </c>
      <c r="I52" s="4">
        <f ca="1"/>
        <v>1.207729468599017E-2</v>
      </c>
      <c r="J52" s="4">
        <f ca="1"/>
        <v>-3.80139643134213E-2</v>
      </c>
      <c r="K52" s="4">
        <f ca="1"/>
        <v>3.6308470290771222E-2</v>
      </c>
      <c r="L52" s="4">
        <f ca="1"/>
        <v>1.2038109952362541E-2</v>
      </c>
      <c r="M52" s="4">
        <f ca="1"/>
        <v>-1.7590149516271136E-3</v>
      </c>
      <c r="N52" s="4">
        <f ca="1"/>
        <v>-1.4789461452324737E-4</v>
      </c>
      <c r="O52" s="4">
        <f ca="1"/>
        <v>4.3803974612423247E-2</v>
      </c>
      <c r="P52" s="4">
        <f ca="1"/>
        <v>4.0536467751657534E-2</v>
      </c>
    </row>
    <row r="53" spans="1:16" x14ac:dyDescent="0.25">
      <c r="A53" vm="826">
        <f ca="1"/>
        <v>45002</v>
      </c>
      <c r="B53" s="4">
        <f ca="1"/>
        <v>-2.8917197452229204E-2</v>
      </c>
      <c r="C53" s="4">
        <f ca="1"/>
        <v>-2.7237874465049883E-2</v>
      </c>
      <c r="D53" s="4">
        <f ca="1"/>
        <v>-4.6434494195687348E-3</v>
      </c>
      <c r="E53" s="4">
        <f ca="1"/>
        <v>-1.2085944494180878E-2</v>
      </c>
      <c r="F53" s="4">
        <f ca="1"/>
        <v>2.7993561480865736E-4</v>
      </c>
      <c r="G53" s="4">
        <f ca="1"/>
        <v>-1.4405447878470312E-2</v>
      </c>
      <c r="H53" s="4">
        <f ca="1"/>
        <v>1.9036954087345848E-3</v>
      </c>
      <c r="I53" s="4">
        <f ca="1"/>
        <v>-1.4319809069212375E-2</v>
      </c>
      <c r="J53" s="4">
        <f ca="1"/>
        <v>-6.6935483870967705E-2</v>
      </c>
      <c r="K53" s="4">
        <f ca="1"/>
        <v>-4.5478944029668678E-2</v>
      </c>
      <c r="L53" s="4">
        <f ca="1"/>
        <v>-1.3421538070097383E-2</v>
      </c>
      <c r="M53" s="4">
        <f ca="1"/>
        <v>-2.2026431718061623E-2</v>
      </c>
      <c r="N53" s="4">
        <f ca="1"/>
        <v>-1.5573493364888891E-2</v>
      </c>
      <c r="O53" s="4">
        <f ca="1"/>
        <v>1.2958532695374947E-2</v>
      </c>
      <c r="P53" s="4">
        <f ca="1"/>
        <v>1.1694424330195519E-2</v>
      </c>
    </row>
    <row r="54" spans="1:16" x14ac:dyDescent="0.25">
      <c r="A54" vm="841">
        <f ca="1"/>
        <v>45005</v>
      </c>
      <c r="B54" s="4">
        <f ca="1"/>
        <v>3.5779876688967427E-2</v>
      </c>
      <c r="C54" s="4">
        <f ca="1"/>
        <v>1.3106640392282598E-2</v>
      </c>
      <c r="D54" s="4">
        <f ca="1"/>
        <v>9.6634455181605627E-3</v>
      </c>
      <c r="E54" s="4">
        <f ca="1"/>
        <v>2.6619845944721332E-2</v>
      </c>
      <c r="F54" s="4">
        <f ca="1"/>
        <v>1.539215000349814E-2</v>
      </c>
      <c r="G54" s="4">
        <f ca="1"/>
        <v>8.2381078926387907E-3</v>
      </c>
      <c r="H54" s="4">
        <f ca="1"/>
        <v>6.3708505644350932E-3</v>
      </c>
      <c r="I54" s="4">
        <f ca="1"/>
        <v>9.3393289519196898E-3</v>
      </c>
      <c r="J54" s="4">
        <f ca="1"/>
        <v>1.1235955056179581E-2</v>
      </c>
      <c r="K54" s="4">
        <f ca="1"/>
        <v>1.1246868769490215E-2</v>
      </c>
      <c r="L54" s="4">
        <f ca="1"/>
        <v>1.4119922630560833E-2</v>
      </c>
      <c r="M54" s="4">
        <f ca="1"/>
        <v>2.1337126600284417E-2</v>
      </c>
      <c r="N54" s="4">
        <f ca="1"/>
        <v>2.1100306952583248E-2</v>
      </c>
      <c r="O54" s="4">
        <f ca="1"/>
        <v>-3.9362330249951283E-3</v>
      </c>
      <c r="P54" s="4">
        <f ca="1"/>
        <v>-2.5766739433847441E-2</v>
      </c>
    </row>
    <row r="55" spans="1:16" x14ac:dyDescent="0.25">
      <c r="A55" vm="855">
        <f ca="1"/>
        <v>45006</v>
      </c>
      <c r="B55" s="4">
        <f ca="1"/>
        <v>3.2865782224614559E-2</v>
      </c>
      <c r="C55" s="4">
        <f ca="1"/>
        <v>9.9063644999322076E-3</v>
      </c>
      <c r="D55" s="4">
        <f ca="1"/>
        <v>-4.6204620462045876E-3</v>
      </c>
      <c r="E55" s="4">
        <f ca="1"/>
        <v>1.7819706498951815E-2</v>
      </c>
      <c r="F55" s="4">
        <f ca="1"/>
        <v>-7.2348928546819291E-3</v>
      </c>
      <c r="G55" s="4">
        <f ca="1"/>
        <v>2.6357406431207764E-3</v>
      </c>
      <c r="H55" s="4">
        <f ca="1"/>
        <v>2.7321190581963473E-2</v>
      </c>
      <c r="I55" s="4">
        <f ca="1"/>
        <v>4.7978067169294203E-3</v>
      </c>
      <c r="J55" s="4">
        <f ca="1"/>
        <v>0</v>
      </c>
      <c r="K55" s="4">
        <f ca="1"/>
        <v>2.1990799251807358E-2</v>
      </c>
      <c r="L55" s="4">
        <f ca="1"/>
        <v>2.7528768516752677E-2</v>
      </c>
      <c r="M55" s="4">
        <f ca="1"/>
        <v>3.5747446610956413E-3</v>
      </c>
      <c r="N55" s="4">
        <f ca="1"/>
        <v>-1.9760353163759126E-3</v>
      </c>
      <c r="O55" s="4">
        <f ca="1"/>
        <v>3.6554040703418389E-2</v>
      </c>
      <c r="P55" s="4">
        <f ca="1"/>
        <v>5.6937148734523824E-3</v>
      </c>
    </row>
    <row r="56" spans="1:16" x14ac:dyDescent="0.25">
      <c r="A56" vm="870">
        <f ca="1"/>
        <v>45007</v>
      </c>
      <c r="B56" s="4">
        <f ca="1"/>
        <v>-1.2537935685601242E-2</v>
      </c>
      <c r="C56" s="4">
        <f ca="1"/>
        <v>-2.4411000627071577E-2</v>
      </c>
      <c r="D56" s="4">
        <f ca="1"/>
        <v>-4.4761273209549257E-3</v>
      </c>
      <c r="E56" s="4">
        <f ca="1"/>
        <v>-1.6532061358339289E-2</v>
      </c>
      <c r="F56" s="4">
        <f ca="1"/>
        <v>-6.2465297057190394E-4</v>
      </c>
      <c r="G56" s="4">
        <f ca="1"/>
        <v>-1.2355415352260701E-2</v>
      </c>
      <c r="H56" s="4">
        <f ca="1"/>
        <v>1.2972972972973285E-3</v>
      </c>
      <c r="I56" s="4">
        <f ca="1"/>
        <v>-3.5129604365620737E-2</v>
      </c>
      <c r="J56" s="4">
        <f ca="1"/>
        <v>-1.2820512820512664E-2</v>
      </c>
      <c r="K56" s="4">
        <f ca="1"/>
        <v>-1.1624455876533379E-2</v>
      </c>
      <c r="L56" s="4">
        <f ca="1"/>
        <v>-1.8933300334117109E-2</v>
      </c>
      <c r="M56" s="4">
        <f ca="1"/>
        <v>-9.390757274367445E-3</v>
      </c>
      <c r="N56" s="4">
        <f ca="1"/>
        <v>-1.234307860813888E-2</v>
      </c>
      <c r="O56" s="4">
        <f ca="1"/>
        <v>-1.4773160503240512E-2</v>
      </c>
      <c r="P56" s="4">
        <f ca="1"/>
        <v>-5.4423259551462655E-3</v>
      </c>
    </row>
    <row r="57" spans="1:16" x14ac:dyDescent="0.25">
      <c r="A57" vm="886">
        <f ca="1"/>
        <v>45008</v>
      </c>
      <c r="B57" s="4">
        <f ca="1"/>
        <v>-5.2775363218675597E-3</v>
      </c>
      <c r="C57" s="4">
        <f ca="1"/>
        <v>-2.2267113539323202E-2</v>
      </c>
      <c r="D57" s="4">
        <f ca="1"/>
        <v>-2.1648626144878946E-3</v>
      </c>
      <c r="E57" s="4">
        <f ca="1"/>
        <v>-1.1022927689596784E-4</v>
      </c>
      <c r="F57" s="4">
        <f ca="1"/>
        <v>-1.3889853462046853E-3</v>
      </c>
      <c r="G57" s="4">
        <f ca="1"/>
        <v>-3.9925472451423083E-3</v>
      </c>
      <c r="H57" s="4">
        <f ca="1"/>
        <v>2.1269704167566461E-2</v>
      </c>
      <c r="I57" s="4">
        <f ca="1"/>
        <v>-7.4231177094380429E-3</v>
      </c>
      <c r="J57" s="4">
        <f ca="1"/>
        <v>-4.3290043290043267E-2</v>
      </c>
      <c r="K57" s="4">
        <f ca="1"/>
        <v>2.2371252690055465E-2</v>
      </c>
      <c r="L57" s="4">
        <f ca="1"/>
        <v>2.5857719475277374E-3</v>
      </c>
      <c r="M57" s="4">
        <f ca="1"/>
        <v>3.9693658354349459E-3</v>
      </c>
      <c r="N57" s="4">
        <f ca="1"/>
        <v>-2.1326508850501025E-3</v>
      </c>
      <c r="O57" s="4">
        <f ca="1"/>
        <v>2.1572990229273392E-2</v>
      </c>
      <c r="P57" s="4">
        <f ca="1"/>
        <v>1.9721620331264456E-2</v>
      </c>
    </row>
    <row r="58" spans="1:16" x14ac:dyDescent="0.25">
      <c r="A58" vm="902">
        <f ca="1"/>
        <v>45009</v>
      </c>
      <c r="B58" s="4">
        <f ca="1"/>
        <v>1.4044067161849139E-3</v>
      </c>
      <c r="C58" s="4">
        <f ca="1"/>
        <v>-4.2731029301277257E-3</v>
      </c>
      <c r="D58" s="4">
        <f ca="1"/>
        <v>1.6355140186915751E-2</v>
      </c>
      <c r="E58" s="4">
        <f ca="1"/>
        <v>2.0835630029765184E-2</v>
      </c>
      <c r="F58" s="4">
        <f ca="1"/>
        <v>2.037693859100087E-2</v>
      </c>
      <c r="G58" s="4">
        <f ca="1"/>
        <v>2.0309994655264507E-2</v>
      </c>
      <c r="H58" s="4">
        <f ca="1"/>
        <v>-1.9029495718363432E-2</v>
      </c>
      <c r="I58" s="4">
        <f ca="1"/>
        <v>6.0541310541311066E-3</v>
      </c>
      <c r="J58" s="4">
        <f ca="1"/>
        <v>9.0497737556560764E-4</v>
      </c>
      <c r="K58" s="4">
        <f ca="1"/>
        <v>8.4687683571567085E-3</v>
      </c>
      <c r="L58" s="4">
        <f ca="1"/>
        <v>1.1385796062150177E-2</v>
      </c>
      <c r="M58" s="4">
        <f ca="1"/>
        <v>1.3768082236383039E-2</v>
      </c>
      <c r="N58" s="4">
        <f ca="1"/>
        <v>1.4191066467194036E-2</v>
      </c>
      <c r="O58" s="4">
        <f ca="1"/>
        <v>-1.5151515151514694E-3</v>
      </c>
      <c r="P58" s="4">
        <f ca="1"/>
        <v>1.0480443708132059E-2</v>
      </c>
    </row>
    <row r="59" spans="1:16" x14ac:dyDescent="0.25">
      <c r="A59" vm="917">
        <f ca="1"/>
        <v>45012</v>
      </c>
      <c r="B59" s="4">
        <f ca="1"/>
        <v>1.1811637111602824E-2</v>
      </c>
      <c r="C59" s="4">
        <f ca="1"/>
        <v>2.5371374675783986E-2</v>
      </c>
      <c r="D59" s="4">
        <f ca="1"/>
        <v>7.3891625615765122E-3</v>
      </c>
      <c r="E59" s="4">
        <f ca="1"/>
        <v>6.0475161987041393E-3</v>
      </c>
      <c r="F59" s="4">
        <f ca="1"/>
        <v>-5.2480916030535063E-3</v>
      </c>
      <c r="G59" s="4">
        <f ca="1"/>
        <v>1.1000523834468368E-2</v>
      </c>
      <c r="H59" s="4">
        <f ca="1"/>
        <v>-2.2955059812479917E-2</v>
      </c>
      <c r="I59" s="4">
        <f ca="1"/>
        <v>1.7699115044247815E-2</v>
      </c>
      <c r="J59" s="4">
        <f ca="1"/>
        <v>2.4412296564195302E-2</v>
      </c>
      <c r="K59" s="4">
        <f ca="1"/>
        <v>-1.5387602543565748E-2</v>
      </c>
      <c r="L59" s="4">
        <f ca="1"/>
        <v>1.0386864037815524E-2</v>
      </c>
      <c r="M59" s="4">
        <f ca="1"/>
        <v>7.0658407891719399E-3</v>
      </c>
      <c r="N59" s="4">
        <f ca="1"/>
        <v>-2.4233995026763377E-3</v>
      </c>
      <c r="O59" s="4">
        <f ca="1"/>
        <v>-2.8262518968133588E-2</v>
      </c>
      <c r="P59" s="4">
        <f ca="1"/>
        <v>-1.4933884592080449E-2</v>
      </c>
    </row>
    <row r="60" spans="1:16" x14ac:dyDescent="0.25">
      <c r="A60" vm="933">
        <f ca="1"/>
        <v>45013</v>
      </c>
      <c r="B60" s="4">
        <f ca="1"/>
        <v>9.4868477792151573E-3</v>
      </c>
      <c r="C60" s="4">
        <f ca="1"/>
        <v>7.1747228993239709E-3</v>
      </c>
      <c r="D60" s="4">
        <f ca="1"/>
        <v>1.1409942950284524E-3</v>
      </c>
      <c r="E60" s="4">
        <f ca="1"/>
        <v>-5.4207814512665653E-3</v>
      </c>
      <c r="F60" s="4">
        <f ca="1"/>
        <v>2.8091812264476879E-3</v>
      </c>
      <c r="G60" s="4">
        <f ca="1"/>
        <v>-5.4404145077719956E-3</v>
      </c>
      <c r="H60" s="4">
        <f ca="1"/>
        <v>1.6545334215751772E-3</v>
      </c>
      <c r="I60" s="4">
        <f ca="1"/>
        <v>1.2521739130434861E-2</v>
      </c>
      <c r="J60" s="4">
        <f ca="1"/>
        <v>8.8261253309795951E-3</v>
      </c>
      <c r="K60" s="4">
        <f ca="1"/>
        <v>-1.0648787221455347E-2</v>
      </c>
      <c r="L60" s="4">
        <f ca="1"/>
        <v>5.1092643890429112E-3</v>
      </c>
      <c r="M60" s="4">
        <f ca="1"/>
        <v>-9.5676340607775412E-4</v>
      </c>
      <c r="N60" s="4">
        <f ca="1"/>
        <v>-4.1192251631846366E-3</v>
      </c>
      <c r="O60" s="4">
        <f ca="1"/>
        <v>-1.3956666016006203E-2</v>
      </c>
      <c r="P60" s="4">
        <f ca="1"/>
        <v>-4.1609378392067908E-3</v>
      </c>
    </row>
    <row r="61" spans="1:16" x14ac:dyDescent="0.25">
      <c r="A61" vm="949">
        <f ca="1"/>
        <v>45014</v>
      </c>
      <c r="B61" s="4">
        <f ca="1"/>
        <v>1.9619210349667515E-2</v>
      </c>
      <c r="C61" s="4">
        <f ca="1"/>
        <v>1.7169733777798069E-2</v>
      </c>
      <c r="D61" s="4">
        <f ca="1"/>
        <v>7.1637902963204159E-3</v>
      </c>
      <c r="E61" s="4">
        <f ca="1"/>
        <v>1.160218013059211E-2</v>
      </c>
      <c r="F61" s="4">
        <f ca="1"/>
        <v>3.0746105493304476E-3</v>
      </c>
      <c r="G61" s="4">
        <f ca="1"/>
        <v>7.2935660328210528E-3</v>
      </c>
      <c r="H61" s="4">
        <f ca="1"/>
        <v>2.1473406012553653E-2</v>
      </c>
      <c r="I61" s="4">
        <f ca="1"/>
        <v>1.648917897629687E-2</v>
      </c>
      <c r="J61" s="4">
        <f ca="1"/>
        <v>3.1933508311461134E-2</v>
      </c>
      <c r="K61" s="4">
        <f ca="1"/>
        <v>2.3270879011361378E-2</v>
      </c>
      <c r="L61" s="4">
        <f ca="1"/>
        <v>1.3351298383145638E-2</v>
      </c>
      <c r="M61" s="4">
        <f ca="1"/>
        <v>2.0065669463699365E-2</v>
      </c>
      <c r="N61" s="4">
        <f ca="1"/>
        <v>5.8331919226199958E-3</v>
      </c>
      <c r="O61" s="4">
        <f ca="1"/>
        <v>3.5632980302879869E-3</v>
      </c>
      <c r="P61" s="4">
        <f ca="1"/>
        <v>1.9183955237437766E-2</v>
      </c>
    </row>
    <row r="62" spans="1:16" x14ac:dyDescent="0.25">
      <c r="A62" vm="964">
        <f ca="1"/>
        <v>45015</v>
      </c>
      <c r="B62" s="4">
        <f ca="1"/>
        <v>7.1819732471496422E-3</v>
      </c>
      <c r="C62" s="4">
        <f ca="1"/>
        <v>1.0190796857463491E-2</v>
      </c>
      <c r="D62" s="4">
        <f ca="1"/>
        <v>-1.6165535079204485E-4</v>
      </c>
      <c r="E62" s="4">
        <f ca="1"/>
        <v>7.1481916142110968E-3</v>
      </c>
      <c r="F62" s="4">
        <f ca="1"/>
        <v>4.3593760643008128E-3</v>
      </c>
      <c r="G62" s="4">
        <f ca="1"/>
        <v>4.3961727437289433E-3</v>
      </c>
      <c r="H62" s="4">
        <f ca="1"/>
        <v>-3.1263475636050808E-3</v>
      </c>
      <c r="I62" s="4">
        <f ca="1"/>
        <v>-3.0415680973301384E-3</v>
      </c>
      <c r="J62" s="4">
        <f ca="1"/>
        <v>2.0347604917337891E-2</v>
      </c>
      <c r="K62" s="4">
        <f ca="1"/>
        <v>1.212563915266629E-2</v>
      </c>
      <c r="L62" s="4">
        <f ca="1"/>
        <v>6.4063822071800391E-3</v>
      </c>
      <c r="M62" s="4">
        <f ca="1"/>
        <v>5.4989270386265332E-3</v>
      </c>
      <c r="N62" s="4">
        <f ca="1"/>
        <v>-2.1299479111748232E-3</v>
      </c>
      <c r="O62" s="4">
        <f ca="1"/>
        <v>-4.9314528059966056E-3</v>
      </c>
      <c r="P62" s="4">
        <f ca="1"/>
        <v>1.261987094934236E-2</v>
      </c>
    </row>
    <row r="63" spans="1:16" x14ac:dyDescent="0.25">
      <c r="A63" vm="980">
        <f ca="1"/>
        <v>45016</v>
      </c>
      <c r="B63" s="4">
        <f ca="1"/>
        <v>-1.3667290608193605E-3</v>
      </c>
      <c r="C63" s="4">
        <f ca="1"/>
        <v>4.6662518887208293E-3</v>
      </c>
      <c r="D63" s="4">
        <f ca="1"/>
        <v>2.9102667744542732E-3</v>
      </c>
      <c r="E63" s="4">
        <f ca="1"/>
        <v>1.313559322033897E-2</v>
      </c>
      <c r="F63" s="4">
        <f ca="1"/>
        <v>8.4096303831808772E-3</v>
      </c>
      <c r="G63" s="4">
        <f ca="1"/>
        <v>-4.3769309989701854E-3</v>
      </c>
      <c r="H63" s="4">
        <f ca="1"/>
        <v>5.9478749864820823E-3</v>
      </c>
      <c r="I63" s="4">
        <f ca="1"/>
        <v>1.4915254237288122E-2</v>
      </c>
      <c r="J63" s="4">
        <f ca="1"/>
        <v>3.7390943082675765E-3</v>
      </c>
      <c r="K63" s="4">
        <f ca="1"/>
        <v>1.9726712856042994E-2</v>
      </c>
      <c r="L63" s="4">
        <f ca="1"/>
        <v>7.206341580590081E-4</v>
      </c>
      <c r="M63" s="4">
        <f ca="1"/>
        <v>4.3572984749455923E-3</v>
      </c>
      <c r="N63" s="4">
        <f ca="1"/>
        <v>-9.5101229975902424E-4</v>
      </c>
      <c r="O63" s="4">
        <f ca="1"/>
        <v>2.8149469719496611E-2</v>
      </c>
      <c r="P63" s="4">
        <f ca="1"/>
        <v>1.496215455025518E-2</v>
      </c>
    </row>
    <row r="64" spans="1:16" x14ac:dyDescent="0.25">
      <c r="A64" vm="995">
        <f ca="1"/>
        <v>45019</v>
      </c>
      <c r="B64" s="4">
        <f ca="1"/>
        <v>9.1041623278094175E-3</v>
      </c>
      <c r="C64" s="4">
        <f ca="1"/>
        <v>-1.1500862564691738E-3</v>
      </c>
      <c r="D64" s="4">
        <f ca="1"/>
        <v>5.9648557149765136E-3</v>
      </c>
      <c r="E64" s="4">
        <f ca="1"/>
        <v>-3.9732329569217573E-3</v>
      </c>
      <c r="F64" s="4">
        <f ca="1"/>
        <v>5.5148295110631906E-3</v>
      </c>
      <c r="G64" s="4">
        <f ca="1"/>
        <v>4.6547711404190117E-3</v>
      </c>
      <c r="H64" s="4">
        <f ca="1"/>
        <v>-1.9350677273703987E-3</v>
      </c>
      <c r="I64" s="4">
        <f ca="1"/>
        <v>-3.0060120240480437E-3</v>
      </c>
      <c r="J64" s="4">
        <f ca="1"/>
        <v>-8.2781456953642252E-3</v>
      </c>
      <c r="K64" s="4">
        <f ca="1"/>
        <v>5.3316976502784108E-3</v>
      </c>
      <c r="L64" s="4">
        <f ca="1"/>
        <v>-5.1008161305808875E-3</v>
      </c>
      <c r="M64" s="4">
        <f ca="1"/>
        <v>-2.0806587276993582E-3</v>
      </c>
      <c r="N64" s="4">
        <f ca="1"/>
        <v>2.9382522793137689E-2</v>
      </c>
      <c r="O64" s="4">
        <f ca="1"/>
        <v>6.0734599440854797E-3</v>
      </c>
      <c r="P64" s="4">
        <f ca="1"/>
        <v>-3.711411723898661E-3</v>
      </c>
    </row>
    <row r="65" spans="1:16" x14ac:dyDescent="0.25">
      <c r="A65" vm="1011">
        <f ca="1"/>
        <v>45020</v>
      </c>
      <c r="B65" s="4">
        <f ca="1"/>
        <v>-5.4633369696612366E-2</v>
      </c>
      <c r="C65" s="4">
        <f ca="1"/>
        <v>-6.0139054957707883E-2</v>
      </c>
      <c r="D65" s="4">
        <f ca="1"/>
        <v>-3.0448717948717841E-3</v>
      </c>
      <c r="E65" s="4">
        <f ca="1"/>
        <v>3.9365945832459115E-3</v>
      </c>
      <c r="F65" s="4">
        <f ca="1"/>
        <v>4.8157313892047693E-3</v>
      </c>
      <c r="G65" s="4">
        <f ca="1"/>
        <v>-6.1776061776062097E-3</v>
      </c>
      <c r="H65" s="4">
        <f ca="1"/>
        <v>-7.2167169323568148E-3</v>
      </c>
      <c r="I65" s="4">
        <f ca="1"/>
        <v>-1.1390284757118896E-2</v>
      </c>
      <c r="J65" s="4">
        <f ca="1"/>
        <v>-3.3388981636060078E-2</v>
      </c>
      <c r="K65" s="4">
        <f ca="1"/>
        <v>7.7439339184306455E-3</v>
      </c>
      <c r="L65" s="4">
        <f ca="1"/>
        <v>-1.8939622413897017E-2</v>
      </c>
      <c r="M65" s="4">
        <f ca="1"/>
        <v>-3.1896016325082099E-2</v>
      </c>
      <c r="N65" s="4">
        <f ca="1"/>
        <v>3.9455838231063911E-3</v>
      </c>
      <c r="O65" s="4">
        <f ca="1"/>
        <v>3.4495975469528428E-3</v>
      </c>
      <c r="P65" s="4">
        <f ca="1"/>
        <v>-1.7407652404000107E-4</v>
      </c>
    </row>
    <row r="66" spans="1:16" x14ac:dyDescent="0.25">
      <c r="A66" vm="1027">
        <f ca="1"/>
        <v>45021</v>
      </c>
      <c r="B66" s="4">
        <f ca="1"/>
        <v>-2.5137225548902187E-2</v>
      </c>
      <c r="C66" s="4">
        <f ca="1"/>
        <v>-2.5396974979974507E-2</v>
      </c>
      <c r="D66" s="4">
        <f ca="1"/>
        <v>9.4840057868508243E-3</v>
      </c>
      <c r="E66" s="4">
        <f ca="1"/>
        <v>5.1236472002926803E-3</v>
      </c>
      <c r="F66" s="4">
        <f ca="1"/>
        <v>6.8561538973574976E-3</v>
      </c>
      <c r="G66" s="4">
        <f ca="1"/>
        <v>1.0619010619010716E-2</v>
      </c>
      <c r="H66" s="4">
        <f ca="1"/>
        <v>-2.1373548877074988E-2</v>
      </c>
      <c r="I66" s="4">
        <f ca="1"/>
        <v>-7.4550999661132655E-3</v>
      </c>
      <c r="J66" s="4">
        <f ca="1"/>
        <v>1.899827288428324E-2</v>
      </c>
      <c r="K66" s="4">
        <f ca="1"/>
        <v>-1.5089418777943453E-2</v>
      </c>
      <c r="L66" s="4">
        <f ca="1"/>
        <v>-1.684598831847528E-2</v>
      </c>
      <c r="M66" s="4">
        <f ca="1"/>
        <v>1.4709251706914728E-2</v>
      </c>
      <c r="N66" s="4">
        <f ca="1"/>
        <v>2.9680271830352378E-3</v>
      </c>
      <c r="O66" s="4">
        <f ca="1"/>
        <v>-2.3873185637891536E-3</v>
      </c>
      <c r="P66" s="4">
        <f ca="1"/>
        <v>-9.8892680548785528E-3</v>
      </c>
    </row>
    <row r="67" spans="1:16" x14ac:dyDescent="0.25">
      <c r="A67" vm="1043">
        <f ca="1"/>
        <v>45022</v>
      </c>
      <c r="B67" s="4">
        <f ca="1"/>
        <v>-3.5190991106259784E-4</v>
      </c>
      <c r="C67" s="4">
        <f ca="1"/>
        <v>-5.9949719590022266E-3</v>
      </c>
      <c r="D67" s="4">
        <f ca="1"/>
        <v>6.3694267515934655E-4</v>
      </c>
      <c r="E67" s="4">
        <f ca="1"/>
        <v>4.4213263979193673E-3</v>
      </c>
      <c r="F67" s="4">
        <f ca="1"/>
        <v>6.3466878222928624E-3</v>
      </c>
      <c r="G67" s="4">
        <f ca="1"/>
        <v>3.075345976422339E-3</v>
      </c>
      <c r="H67" s="4">
        <f ca="1"/>
        <v>4.4345898004416462E-4</v>
      </c>
      <c r="I67" s="4">
        <f ca="1"/>
        <v>2.4923181973369735E-2</v>
      </c>
      <c r="J67" s="4">
        <f ca="1"/>
        <v>1.6949152542372836E-2</v>
      </c>
      <c r="K67" s="4">
        <f ca="1"/>
        <v>2.1846037450349964E-2</v>
      </c>
      <c r="L67" s="4">
        <f ca="1"/>
        <v>-4.8777437308485938E-3</v>
      </c>
      <c r="M67" s="4">
        <f ca="1"/>
        <v>1.4450867052023142E-2</v>
      </c>
      <c r="N67" s="4">
        <f ca="1"/>
        <v>3.673544358049341E-4</v>
      </c>
      <c r="O67" s="4">
        <f ca="1"/>
        <v>3.780989757825215E-2</v>
      </c>
      <c r="P67" s="4">
        <f ca="1"/>
        <v>2.5532812829710982E-2</v>
      </c>
    </row>
    <row r="68" spans="1:16" x14ac:dyDescent="0.25">
      <c r="A68" vm="1059">
        <f ca="1"/>
        <v>45026</v>
      </c>
      <c r="B68" s="4">
        <f ca="1"/>
        <v>8.6408295196338525E-3</v>
      </c>
      <c r="C68" s="4">
        <f ca="1"/>
        <v>2.4027237354085518E-2</v>
      </c>
      <c r="D68" s="4">
        <f ca="1"/>
        <v>-2.3870146403565107E-3</v>
      </c>
      <c r="E68" s="4">
        <f ca="1"/>
        <v>-4.4536509580527239E-3</v>
      </c>
      <c r="F68" s="4">
        <f ca="1"/>
        <v>-8.2774931020890286E-3</v>
      </c>
      <c r="G68" s="4">
        <f ca="1"/>
        <v>-1.0219724067449532E-3</v>
      </c>
      <c r="H68" s="4">
        <f ca="1"/>
        <v>-1.3519503546099321E-2</v>
      </c>
      <c r="I68" s="4">
        <f ca="1"/>
        <v>-9.993337774817368E-4</v>
      </c>
      <c r="J68" s="4">
        <f ca="1"/>
        <v>-2.2499999999999964E-2</v>
      </c>
      <c r="K68" s="4">
        <f ca="1"/>
        <v>-6.2471078204534569E-3</v>
      </c>
      <c r="L68" s="4">
        <f ca="1"/>
        <v>1.5144850122541298E-2</v>
      </c>
      <c r="M68" s="4">
        <f ca="1"/>
        <v>-1.7806267806264042E-4</v>
      </c>
      <c r="N68" s="4">
        <f ca="1"/>
        <v>1.3423914152232763E-2</v>
      </c>
      <c r="O68" s="4">
        <f ca="1"/>
        <v>-1.8262313226342086E-2</v>
      </c>
      <c r="P68" s="4">
        <f ca="1"/>
        <v>-7.5788751714679359E-3</v>
      </c>
    </row>
    <row r="69" spans="1:16" x14ac:dyDescent="0.25">
      <c r="A69" vm="1074">
        <f ca="1"/>
        <v>45027</v>
      </c>
      <c r="B69" s="4">
        <f ca="1"/>
        <v>8.9158232065233989E-3</v>
      </c>
      <c r="C69" s="4">
        <f ca="1"/>
        <v>1.0449320794148065E-3</v>
      </c>
      <c r="D69" s="4">
        <f ca="1"/>
        <v>-1.7546658159195427E-3</v>
      </c>
      <c r="E69" s="4">
        <f ca="1"/>
        <v>1.6229712858926382E-2</v>
      </c>
      <c r="F69" s="4">
        <f ca="1"/>
        <v>-1.9872813990461369E-3</v>
      </c>
      <c r="G69" s="4">
        <f ca="1"/>
        <v>3.8363171355497716E-3</v>
      </c>
      <c r="H69" s="4">
        <f ca="1"/>
        <v>2.471354751741206E-3</v>
      </c>
      <c r="I69" s="4">
        <f ca="1"/>
        <v>1.0670223407802659E-2</v>
      </c>
      <c r="J69" s="4">
        <f ca="1"/>
        <v>4.8593350383631773E-2</v>
      </c>
      <c r="K69" s="4">
        <f ca="1"/>
        <v>-4.1909196740396171E-3</v>
      </c>
      <c r="L69" s="4">
        <f ca="1"/>
        <v>1.3557013742726332E-2</v>
      </c>
      <c r="M69" s="4">
        <f ca="1"/>
        <v>1.5850400712377644E-2</v>
      </c>
      <c r="N69" s="4">
        <f ca="1"/>
        <v>-1.7936587820835515E-2</v>
      </c>
      <c r="O69" s="4">
        <f ca="1"/>
        <v>-1.0240511086057946E-2</v>
      </c>
      <c r="P69" s="4">
        <f ca="1"/>
        <v>-2.2668371401914356E-2</v>
      </c>
    </row>
    <row r="70" spans="1:16" x14ac:dyDescent="0.25">
      <c r="A70" vm="1088">
        <f ca="1"/>
        <v>45028</v>
      </c>
      <c r="B70" s="4">
        <f ca="1"/>
        <v>2.0567331278696699E-2</v>
      </c>
      <c r="C70" s="4">
        <f ca="1"/>
        <v>-7.5915733535769636E-4</v>
      </c>
      <c r="D70" s="4">
        <f ca="1"/>
        <v>1.7577500798977574E-3</v>
      </c>
      <c r="E70" s="4">
        <f ca="1"/>
        <v>-9.4696969696971278E-3</v>
      </c>
      <c r="F70" s="4">
        <f ca="1"/>
        <v>2.7213593521837609E-3</v>
      </c>
      <c r="G70" s="4">
        <f ca="1"/>
        <v>7.6433121019103822E-4</v>
      </c>
      <c r="H70" s="4">
        <f ca="1"/>
        <v>-2.6557597489914708E-2</v>
      </c>
      <c r="I70" s="4">
        <f ca="1"/>
        <v>-4.948861761794765E-3</v>
      </c>
      <c r="J70" s="4">
        <f ca="1"/>
        <v>-2.3577235772357819E-2</v>
      </c>
      <c r="K70" s="4">
        <f ca="1"/>
        <v>7.0142623334112919E-4</v>
      </c>
      <c r="L70" s="4">
        <f ca="1"/>
        <v>7.7566725706956774E-3</v>
      </c>
      <c r="M70" s="4">
        <f ca="1"/>
        <v>-7.6262272089762106E-3</v>
      </c>
      <c r="N70" s="4">
        <f ca="1"/>
        <v>5.3296162676286229E-4</v>
      </c>
      <c r="O70" s="4">
        <f ca="1"/>
        <v>-6.7394399620313017E-3</v>
      </c>
      <c r="P70" s="4">
        <f ca="1"/>
        <v>2.3335572605451826E-3</v>
      </c>
    </row>
    <row r="71" spans="1:16" x14ac:dyDescent="0.25">
      <c r="A71" vm="1103">
        <f ca="1"/>
        <v>45029</v>
      </c>
      <c r="B71" s="4">
        <f ca="1"/>
        <v>-1.5314926660914496E-2</v>
      </c>
      <c r="C71" s="4">
        <f ca="1"/>
        <v>9.0218423551746696E-4</v>
      </c>
      <c r="D71" s="4">
        <f ca="1"/>
        <v>7.3376934120275017E-3</v>
      </c>
      <c r="E71" s="4">
        <f ca="1"/>
        <v>8.3199834633869152E-3</v>
      </c>
      <c r="F71" s="4">
        <f ca="1"/>
        <v>4.6336135566293901E-3</v>
      </c>
      <c r="G71" s="4">
        <f ca="1"/>
        <v>-2.8004073319755074E-3</v>
      </c>
      <c r="H71" s="4">
        <f ca="1"/>
        <v>2.0720617013927356E-3</v>
      </c>
      <c r="I71" s="4">
        <f ca="1"/>
        <v>8.6206896551723755E-3</v>
      </c>
      <c r="J71" s="4">
        <f ca="1"/>
        <v>2.9142381348875812E-2</v>
      </c>
      <c r="K71" s="4">
        <f ca="1"/>
        <v>2.9672897196261649E-2</v>
      </c>
      <c r="L71" s="4">
        <f ca="1"/>
        <v>2.4242424242415517E-4</v>
      </c>
      <c r="M71" s="4">
        <f ca="1"/>
        <v>-9.7164561434504026E-4</v>
      </c>
      <c r="N71" s="4">
        <f ca="1"/>
        <v>8.2769924195860156E-3</v>
      </c>
      <c r="O71" s="4">
        <f ca="1"/>
        <v>2.6662844036697386E-2</v>
      </c>
      <c r="P71" s="4">
        <f ca="1"/>
        <v>2.239937916681356E-2</v>
      </c>
    </row>
    <row r="72" spans="1:16" x14ac:dyDescent="0.25">
      <c r="A72" vm="1119">
        <f ca="1"/>
        <v>45030</v>
      </c>
      <c r="B72" s="4">
        <f ca="1"/>
        <v>-1.3769363166953319E-3</v>
      </c>
      <c r="C72" s="4">
        <f ca="1"/>
        <v>4.2696522605445431E-4</v>
      </c>
      <c r="D72" s="4">
        <f ca="1"/>
        <v>-1.5835312747426444E-3</v>
      </c>
      <c r="E72" s="4">
        <f ca="1"/>
        <v>-4.4024190241902406E-2</v>
      </c>
      <c r="F72" s="4">
        <f ca="1"/>
        <v>-5.0734664294657117E-3</v>
      </c>
      <c r="G72" s="4">
        <f ca="1"/>
        <v>-1.7870819504722801E-3</v>
      </c>
      <c r="H72" s="4">
        <f ca="1"/>
        <v>1.723147616312426E-3</v>
      </c>
      <c r="I72" s="4">
        <f ca="1"/>
        <v>1.3149243918475495E-3</v>
      </c>
      <c r="J72" s="4">
        <f ca="1"/>
        <v>0</v>
      </c>
      <c r="K72" s="4">
        <f ca="1"/>
        <v>5.1735874744724963E-3</v>
      </c>
      <c r="L72" s="4">
        <f ca="1"/>
        <v>5.9379544352884395E-3</v>
      </c>
      <c r="M72" s="4">
        <f ca="1"/>
        <v>8.9743589743589425E-3</v>
      </c>
      <c r="N72" s="4">
        <f ca="1"/>
        <v>-8.4325598406956859E-3</v>
      </c>
      <c r="O72" s="4">
        <f ca="1"/>
        <v>1.3404077073443155E-2</v>
      </c>
      <c r="P72" s="4">
        <f ca="1"/>
        <v>-1.2765663814518269E-2</v>
      </c>
    </row>
    <row r="73" spans="1:16" x14ac:dyDescent="0.25">
      <c r="A73" vm="1132">
        <f ca="1"/>
        <v>45033</v>
      </c>
      <c r="B73" s="4">
        <f ca="1"/>
        <v>1.9742408573846015E-2</v>
      </c>
      <c r="C73" s="4">
        <f ca="1"/>
        <v>2.8404779969650962E-2</v>
      </c>
      <c r="D73" s="4">
        <f ca="1"/>
        <v>6.5027755749405003E-3</v>
      </c>
      <c r="E73" s="4">
        <f ca="1"/>
        <v>8.6313193588161141E-3</v>
      </c>
      <c r="F73" s="4">
        <f ca="1"/>
        <v>3.3112582781469335E-4</v>
      </c>
      <c r="G73" s="4">
        <f ca="1"/>
        <v>1.1253196930946174E-2</v>
      </c>
      <c r="H73" s="4">
        <f ca="1"/>
        <v>9.0596330275227732E-3</v>
      </c>
      <c r="I73" s="4">
        <f ca="1"/>
        <v>-3.2829940906109467E-4</v>
      </c>
      <c r="J73" s="4">
        <f ca="1"/>
        <v>3.5598705501618255E-2</v>
      </c>
      <c r="K73" s="4">
        <f ca="1"/>
        <v>-1.1874125242674616E-2</v>
      </c>
      <c r="L73" s="4">
        <f ca="1"/>
        <v>4.9993976629321146E-3</v>
      </c>
      <c r="M73" s="4">
        <f ca="1"/>
        <v>6.3532401524777349E-3</v>
      </c>
      <c r="N73" s="4">
        <f ca="1"/>
        <v>3.3812168282136845E-3</v>
      </c>
      <c r="O73" s="4">
        <f ca="1"/>
        <v>-2.6637273812804341E-2</v>
      </c>
      <c r="P73" s="4">
        <f ca="1"/>
        <v>9.2961487383798058E-3</v>
      </c>
    </row>
    <row r="74" spans="1:16" x14ac:dyDescent="0.25">
      <c r="A74" vm="1147">
        <f ca="1"/>
        <v>45034</v>
      </c>
      <c r="B74" s="4">
        <f ca="1"/>
        <v>-2.1818628806736795E-3</v>
      </c>
      <c r="C74" s="4">
        <f ca="1"/>
        <v>3.1816295476552181E-3</v>
      </c>
      <c r="D74" s="4">
        <f ca="1"/>
        <v>1.5757957768673947E-3</v>
      </c>
      <c r="E74" s="4">
        <f ca="1"/>
        <v>-2.3227383863080542E-2</v>
      </c>
      <c r="F74" s="4">
        <f ca="1"/>
        <v>1.0592519033432168E-3</v>
      </c>
      <c r="G74" s="4">
        <f ca="1"/>
        <v>-2.0232675771370001E-3</v>
      </c>
      <c r="H74" s="4">
        <f ca="1"/>
        <v>1.7047391749063223E-3</v>
      </c>
      <c r="I74" s="4">
        <f ca="1"/>
        <v>-1.3136288998357726E-3</v>
      </c>
      <c r="J74" s="4">
        <f ca="1"/>
        <v>-1.7187500000000022E-2</v>
      </c>
      <c r="K74" s="4">
        <f ca="1"/>
        <v>-4.4320570227543987E-3</v>
      </c>
      <c r="L74" s="4">
        <f ca="1"/>
        <v>5.6338028169014009E-3</v>
      </c>
      <c r="M74" s="4">
        <f ca="1"/>
        <v>-1.0144548937652487E-2</v>
      </c>
      <c r="N74" s="4">
        <f ca="1"/>
        <v>2.403806878522996E-2</v>
      </c>
      <c r="O74" s="4">
        <f ca="1"/>
        <v>-1.3871850523733076E-2</v>
      </c>
      <c r="P74" s="4">
        <f ca="1"/>
        <v>-1.4889196675900163E-3</v>
      </c>
    </row>
    <row r="75" spans="1:16" x14ac:dyDescent="0.25">
      <c r="A75" vm="1162">
        <f ca="1"/>
        <v>45035</v>
      </c>
      <c r="B75" s="4">
        <f ca="1"/>
        <v>-3.9113027409916068E-3</v>
      </c>
      <c r="C75" s="4">
        <f ca="1"/>
        <v>1.4754550468836225E-2</v>
      </c>
      <c r="D75" s="4">
        <f ca="1"/>
        <v>1.8879798615480947E-3</v>
      </c>
      <c r="E75" s="4">
        <f ca="1"/>
        <v>1.6215922076508571E-2</v>
      </c>
      <c r="F75" s="4">
        <f ca="1"/>
        <v>1.9839957674760988E-4</v>
      </c>
      <c r="G75" s="4">
        <f ca="1"/>
        <v>2.5342118601101582E-4</v>
      </c>
      <c r="H75" s="4">
        <f ca="1"/>
        <v>-1.0324483775811188E-2</v>
      </c>
      <c r="I75" s="4">
        <f ca="1"/>
        <v>4.9325879644852577E-3</v>
      </c>
      <c r="J75" s="4">
        <f ca="1"/>
        <v>1.5500794912559623E-2</v>
      </c>
      <c r="K75" s="4">
        <f ca="1"/>
        <v>-1.0050943136444945E-2</v>
      </c>
      <c r="L75" s="4">
        <f ca="1"/>
        <v>-1.060849871863645E-2</v>
      </c>
      <c r="M75" s="4">
        <f ca="1"/>
        <v>2.2872223444030393E-3</v>
      </c>
      <c r="N75" s="4">
        <f ca="1"/>
        <v>-1.2464849125466193E-2</v>
      </c>
      <c r="O75" s="4">
        <f ca="1"/>
        <v>-3.0622009569377662E-3</v>
      </c>
      <c r="P75" s="4">
        <f ca="1"/>
        <v>2.7742136838093678E-4</v>
      </c>
    </row>
    <row r="76" spans="1:16" x14ac:dyDescent="0.25">
      <c r="A76" vm="1178">
        <f ca="1"/>
        <v>45036</v>
      </c>
      <c r="B76" s="4">
        <f ca="1"/>
        <v>-1.2676622453081099E-2</v>
      </c>
      <c r="C76" s="4">
        <f ca="1"/>
        <v>-2.8536485935589662E-3</v>
      </c>
      <c r="D76" s="4">
        <f ca="1"/>
        <v>4.3969849246230375E-3</v>
      </c>
      <c r="E76" s="4">
        <f ca="1"/>
        <v>-7.0147255689424481E-3</v>
      </c>
      <c r="F76" s="4">
        <f ca="1"/>
        <v>-2.5786828881249058E-3</v>
      </c>
      <c r="G76" s="4">
        <f ca="1"/>
        <v>-1.5201418799088984E-3</v>
      </c>
      <c r="H76" s="4">
        <f ca="1"/>
        <v>2.361572853376126E-2</v>
      </c>
      <c r="I76" s="4">
        <f ca="1"/>
        <v>8.1806282722514112E-3</v>
      </c>
      <c r="J76" s="4">
        <f ca="1"/>
        <v>-2.0743639921722123E-2</v>
      </c>
      <c r="K76" s="4">
        <f ca="1"/>
        <v>-1.2192860454334653E-2</v>
      </c>
      <c r="L76" s="4">
        <f ca="1"/>
        <v>7.7103788928378769E-3</v>
      </c>
      <c r="M76" s="4">
        <f ca="1"/>
        <v>-4.0373897397639746E-3</v>
      </c>
      <c r="N76" s="4">
        <f ca="1"/>
        <v>-9.2091445189433907E-3</v>
      </c>
      <c r="O76" s="4">
        <f ca="1"/>
        <v>1.0654636206565593E-2</v>
      </c>
      <c r="P76" s="4">
        <f ca="1"/>
        <v>-8.1123244929796057E-3</v>
      </c>
    </row>
    <row r="77" spans="1:16" x14ac:dyDescent="0.25">
      <c r="A77" vm="1192">
        <f ca="1"/>
        <v>45037</v>
      </c>
      <c r="B77" s="4">
        <f ca="1"/>
        <v>4.6033883443461487E-3</v>
      </c>
      <c r="C77" s="4">
        <f ca="1"/>
        <v>-5.8599073316979444E-3</v>
      </c>
      <c r="D77" s="4">
        <f ca="1"/>
        <v>1.4071294559099279E-3</v>
      </c>
      <c r="E77" s="4">
        <f ca="1"/>
        <v>8.7899050905952958E-3</v>
      </c>
      <c r="F77" s="4">
        <f ca="1"/>
        <v>3.4603911170036472E-2</v>
      </c>
      <c r="G77" s="4">
        <f ca="1"/>
        <v>-4.821111393047417E-3</v>
      </c>
      <c r="H77" s="4">
        <f ca="1"/>
        <v>-4.3901892709150014E-2</v>
      </c>
      <c r="I77" s="4">
        <f ca="1"/>
        <v>3.2781564427134091E-2</v>
      </c>
      <c r="J77" s="4">
        <f ca="1"/>
        <v>-4.7961630695444457E-3</v>
      </c>
      <c r="K77" s="4">
        <f ca="1"/>
        <v>-8.4479279110150074E-4</v>
      </c>
      <c r="L77" s="4">
        <f ca="1"/>
        <v>-8.9066889832026819E-3</v>
      </c>
      <c r="M77" s="4">
        <f ca="1"/>
        <v>-2.2471910112359383E-3</v>
      </c>
      <c r="N77" s="4">
        <f ca="1"/>
        <v>-1.640847941296375E-2</v>
      </c>
      <c r="O77" s="4">
        <f ca="1"/>
        <v>1.1397093741094544E-3</v>
      </c>
      <c r="P77" s="4">
        <f ca="1"/>
        <v>-1.2233057215756959E-3</v>
      </c>
    </row>
    <row r="78" spans="1:16" x14ac:dyDescent="0.25">
      <c r="A78" vm="1208">
        <f ca="1"/>
        <v>45040</v>
      </c>
      <c r="B78" s="4">
        <f ca="1"/>
        <v>6.7331670822941003E-3</v>
      </c>
      <c r="C78" s="4">
        <f ca="1"/>
        <v>-4.9805803061457876E-3</v>
      </c>
      <c r="D78" s="4">
        <f ca="1"/>
        <v>-1.5612802498047307E-3</v>
      </c>
      <c r="E78" s="4">
        <f ca="1"/>
        <v>2.2986048003421633E-3</v>
      </c>
      <c r="F78" s="4">
        <f ca="1"/>
        <v>1.7940667649132269E-3</v>
      </c>
      <c r="G78" s="4">
        <f ca="1"/>
        <v>-1.0198878123406363E-3</v>
      </c>
      <c r="H78" s="4">
        <f ca="1"/>
        <v>-8.5510132364999825E-3</v>
      </c>
      <c r="I78" s="4">
        <f ca="1"/>
        <v>-1.3827781269641792E-2</v>
      </c>
      <c r="J78" s="4">
        <f ca="1"/>
        <v>1.3654618473895486E-2</v>
      </c>
      <c r="K78" s="4">
        <f ca="1"/>
        <v>-4.6972614965468118E-4</v>
      </c>
      <c r="L78" s="4">
        <f ca="1"/>
        <v>1.4897466827503036E-2</v>
      </c>
      <c r="M78" s="4">
        <f ca="1"/>
        <v>-9.0973326267443921E-3</v>
      </c>
      <c r="N78" s="4">
        <f ca="1"/>
        <v>-3.3778883017303585E-3</v>
      </c>
      <c r="O78" s="4">
        <f ca="1"/>
        <v>5.3125889384308955E-3</v>
      </c>
      <c r="P78" s="4">
        <f ca="1"/>
        <v>-1.3962765957446832E-2</v>
      </c>
    </row>
    <row r="79" spans="1:16" x14ac:dyDescent="0.25">
      <c r="A79" vm="1223">
        <f ca="1"/>
        <v>45041</v>
      </c>
      <c r="B79" s="4">
        <f ca="1"/>
        <v>-1.8113698290809888E-2</v>
      </c>
      <c r="C79" s="4">
        <f ca="1"/>
        <v>-1.914952240999257E-2</v>
      </c>
      <c r="D79" s="4">
        <f ca="1"/>
        <v>-1.5637216575449253E-3</v>
      </c>
      <c r="E79" s="4">
        <f ca="1"/>
        <v>-3.0186666666666695E-2</v>
      </c>
      <c r="F79" s="4">
        <f ca="1"/>
        <v>2.558362647904211E-4</v>
      </c>
      <c r="G79" s="4">
        <f ca="1"/>
        <v>6.6360387953037225E-3</v>
      </c>
      <c r="H79" s="4">
        <f ca="1"/>
        <v>-2.7764650283553793E-2</v>
      </c>
      <c r="I79" s="4">
        <f ca="1"/>
        <v>-1.5296367112810683E-2</v>
      </c>
      <c r="J79" s="4">
        <f ca="1"/>
        <v>-2.1394611727416746E-2</v>
      </c>
      <c r="K79" s="4">
        <f ca="1"/>
        <v>-2.4625217350439321E-2</v>
      </c>
      <c r="L79" s="4">
        <f ca="1"/>
        <v>-6.2399714744162393E-3</v>
      </c>
      <c r="M79" s="4">
        <f ca="1"/>
        <v>9.5819591763972589E-3</v>
      </c>
      <c r="N79" s="4">
        <f ca="1"/>
        <v>-1.1103717874074714E-2</v>
      </c>
      <c r="O79" s="4">
        <f ca="1"/>
        <v>-2.0005661979805689E-2</v>
      </c>
      <c r="P79" s="4">
        <f ca="1"/>
        <v>-2.2536111012527837E-2</v>
      </c>
    </row>
    <row r="80" spans="1:16" x14ac:dyDescent="0.25">
      <c r="A80" vm="1239">
        <f ca="1"/>
        <v>45042</v>
      </c>
      <c r="B80" s="4">
        <f ca="1"/>
        <v>-1.7218000063069727E-2</v>
      </c>
      <c r="C80" s="4">
        <f ca="1"/>
        <v>-4.775504471183134E-3</v>
      </c>
      <c r="D80" s="4">
        <f ca="1"/>
        <v>-4.6985121378231298E-3</v>
      </c>
      <c r="E80" s="4">
        <f ca="1"/>
        <v>5.554333479982354E-3</v>
      </c>
      <c r="F80" s="4">
        <f ca="1"/>
        <v>-1.157363002749523E-2</v>
      </c>
      <c r="G80" s="4">
        <f ca="1"/>
        <v>-2.0283975659228792E-3</v>
      </c>
      <c r="H80" s="4">
        <f ca="1"/>
        <v>-4.8608579414277653E-4</v>
      </c>
      <c r="I80" s="4">
        <f ca="1"/>
        <v>-2.459546925566336E-2</v>
      </c>
      <c r="J80" s="4">
        <f ca="1"/>
        <v>-4.0485829959513442E-3</v>
      </c>
      <c r="K80" s="4">
        <f ca="1"/>
        <v>8.9135148157071242E-3</v>
      </c>
      <c r="L80" s="4">
        <f ca="1"/>
        <v>-1.8837459634015064E-2</v>
      </c>
      <c r="M80" s="4">
        <f ca="1"/>
        <v>-4.8117247163731447E-3</v>
      </c>
      <c r="N80" s="4">
        <f ca="1"/>
        <v>-2.9353631355397591E-2</v>
      </c>
      <c r="O80" s="4">
        <f ca="1"/>
        <v>-1.3480982185845036E-3</v>
      </c>
      <c r="P80" s="4">
        <f ca="1"/>
        <v>7.2434826809962827E-2</v>
      </c>
    </row>
    <row r="81" spans="1:16" x14ac:dyDescent="0.25">
      <c r="A81" vm="1254">
        <f ca="1"/>
        <v>45043</v>
      </c>
      <c r="B81" s="4">
        <f ca="1"/>
        <v>3.7381678164607912E-2</v>
      </c>
      <c r="C81" s="4">
        <f ca="1"/>
        <v>2.3898010067272102E-2</v>
      </c>
      <c r="D81" s="4">
        <f ca="1"/>
        <v>2.04563335955954E-3</v>
      </c>
      <c r="E81" s="4">
        <f ca="1"/>
        <v>1.6406890894175463E-2</v>
      </c>
      <c r="F81" s="4">
        <f ca="1"/>
        <v>1.2226678742398578E-2</v>
      </c>
      <c r="G81" s="4">
        <f ca="1"/>
        <v>8.1300813008129413E-3</v>
      </c>
      <c r="H81" s="4">
        <f ca="1"/>
        <v>1.7264437689969547E-2</v>
      </c>
      <c r="I81" s="4">
        <f ca="1"/>
        <v>8.2946250829463164E-3</v>
      </c>
      <c r="J81" s="4">
        <f ca="1"/>
        <v>2.7642276422764178E-2</v>
      </c>
      <c r="K81" s="4">
        <f ca="1"/>
        <v>0.13925501432664755</v>
      </c>
      <c r="L81" s="4">
        <f ca="1"/>
        <v>2.9865301395745725E-2</v>
      </c>
      <c r="M81" s="4">
        <f ca="1"/>
        <v>1.3839602555003605E-2</v>
      </c>
      <c r="N81" s="4">
        <f ca="1"/>
        <v>7.3220397729734099E-3</v>
      </c>
      <c r="O81" s="4">
        <f ca="1"/>
        <v>3.7412014270562288E-2</v>
      </c>
      <c r="P81" s="4">
        <f ca="1"/>
        <v>3.2027626366929463E-2</v>
      </c>
    </row>
    <row r="82" spans="1:16" x14ac:dyDescent="0.25">
      <c r="A82" vm="1268">
        <f ca="1"/>
        <v>45044</v>
      </c>
      <c r="B82" s="4">
        <f ca="1"/>
        <v>4.88710176306828E-3</v>
      </c>
      <c r="C82" s="4">
        <f ca="1"/>
        <v>-8.2701585113714726E-3</v>
      </c>
      <c r="D82" s="4">
        <f ca="1"/>
        <v>7.3806532663318603E-3</v>
      </c>
      <c r="E82" s="4">
        <f ca="1"/>
        <v>1.4527845036319764E-2</v>
      </c>
      <c r="F82" s="4">
        <f ca="1"/>
        <v>-5.7519013229379023E-4</v>
      </c>
      <c r="G82" s="4">
        <f ca="1"/>
        <v>-1.0332661290322509E-2</v>
      </c>
      <c r="H82" s="4">
        <f ca="1"/>
        <v>7.5295804948010137E-3</v>
      </c>
      <c r="I82" s="4">
        <f ca="1"/>
        <v>8.2263902599539751E-3</v>
      </c>
      <c r="J82" s="4">
        <f ca="1"/>
        <v>2.6107594936708889E-2</v>
      </c>
      <c r="K82" s="4">
        <f ca="1"/>
        <v>7.3775989268947129E-3</v>
      </c>
      <c r="L82" s="4">
        <f ca="1"/>
        <v>3.9652009232407082E-3</v>
      </c>
      <c r="M82" s="4">
        <f ca="1"/>
        <v>3.98144907245368E-3</v>
      </c>
      <c r="N82" s="4">
        <f ca="1"/>
        <v>-1.1827956989247657E-3</v>
      </c>
      <c r="O82" s="4">
        <f ca="1"/>
        <v>-2.3236360256528865E-3</v>
      </c>
      <c r="P82" s="4">
        <f ca="1"/>
        <v>7.9716563330380907E-3</v>
      </c>
    </row>
    <row r="83" spans="1:16" x14ac:dyDescent="0.25">
      <c r="A83" vm="1281">
        <f ca="1"/>
        <v>45047</v>
      </c>
      <c r="B83" s="4">
        <f ca="1"/>
        <v>7.6643683821719932E-3</v>
      </c>
      <c r="C83" s="4">
        <f ca="1"/>
        <v>2.7333796618020934E-3</v>
      </c>
      <c r="D83" s="4">
        <f ca="1"/>
        <v>2.3382696804363778E-3</v>
      </c>
      <c r="E83" s="4">
        <f ca="1"/>
        <v>1.8880933439406E-2</v>
      </c>
      <c r="F83" s="4">
        <f ca="1"/>
        <v>1.214989129044719E-3</v>
      </c>
      <c r="G83" s="4">
        <f ca="1"/>
        <v>1.2477718360071277E-2</v>
      </c>
      <c r="H83" s="4">
        <f ca="1"/>
        <v>-3.7959667852905943E-3</v>
      </c>
      <c r="I83" s="4">
        <f ca="1"/>
        <v>2.1540469973890364E-2</v>
      </c>
      <c r="J83" s="4">
        <f ca="1"/>
        <v>-2.698535080956066E-2</v>
      </c>
      <c r="K83" s="4">
        <f ca="1"/>
        <v>1.1900798934753709E-2</v>
      </c>
      <c r="L83" s="4">
        <f ca="1"/>
        <v>-2.5347795331288614E-3</v>
      </c>
      <c r="M83" s="4">
        <f ca="1"/>
        <v>3.3119797794918249E-3</v>
      </c>
      <c r="N83" s="4">
        <f ca="1"/>
        <v>1.0722359780385382E-2</v>
      </c>
      <c r="O83" s="4">
        <f ca="1"/>
        <v>-1.3042668157257076E-3</v>
      </c>
      <c r="P83" s="4">
        <f ca="1"/>
        <v>-5.5327735468332362E-3</v>
      </c>
    </row>
    <row r="84" spans="1:16" x14ac:dyDescent="0.25">
      <c r="A84" vm="1296">
        <f ca="1"/>
        <v>45048</v>
      </c>
      <c r="B84" s="4">
        <f ca="1"/>
        <v>-7.178421969025961E-3</v>
      </c>
      <c r="C84" s="4">
        <f ca="1"/>
        <v>-2.0837183515061919E-2</v>
      </c>
      <c r="D84" s="4">
        <f ca="1"/>
        <v>-4.5101088646966048E-3</v>
      </c>
      <c r="E84" s="4">
        <f ca="1"/>
        <v>-1.0723023267919407E-2</v>
      </c>
      <c r="F84" s="4">
        <f ca="1"/>
        <v>-8.9416874241543542E-4</v>
      </c>
      <c r="G84" s="4">
        <f ca="1"/>
        <v>-7.7967806841044984E-3</v>
      </c>
      <c r="H84" s="4">
        <f ca="1"/>
        <v>-1.2145748987854366E-2</v>
      </c>
      <c r="I84" s="4">
        <f ca="1"/>
        <v>-7.348242811501593E-3</v>
      </c>
      <c r="J84" s="4">
        <f ca="1"/>
        <v>3.0110935023771823E-2</v>
      </c>
      <c r="K84" s="4">
        <f ca="1"/>
        <v>-1.6201990295254487E-2</v>
      </c>
      <c r="L84" s="4">
        <f ca="1"/>
        <v>-6.4416996631404544E-3</v>
      </c>
      <c r="M84" s="4">
        <f ca="1"/>
        <v>-7.2536159492680996E-3</v>
      </c>
      <c r="N84" s="4">
        <f ca="1"/>
        <v>-2.2452761860128234E-2</v>
      </c>
      <c r="O84" s="4">
        <f ca="1"/>
        <v>-1.7537313432835933E-2</v>
      </c>
      <c r="P84" s="4">
        <f ca="1"/>
        <v>-4.90901950517042E-4</v>
      </c>
    </row>
    <row r="85" spans="1:16" x14ac:dyDescent="0.25">
      <c r="A85" vm="1311">
        <f ca="1"/>
        <v>45049</v>
      </c>
      <c r="B85" s="4">
        <f ca="1"/>
        <v>-5.5381207310317704E-3</v>
      </c>
      <c r="C85" s="4">
        <f ca="1"/>
        <v>5.6150615769356982E-3</v>
      </c>
      <c r="D85" s="4">
        <f ca="1"/>
        <v>-5.6241212310577104E-3</v>
      </c>
      <c r="E85" s="4">
        <f ca="1"/>
        <v>-1.2470402525651125E-2</v>
      </c>
      <c r="F85" s="4">
        <f ca="1"/>
        <v>-1.2785271367385942E-3</v>
      </c>
      <c r="G85" s="4">
        <f ca="1"/>
        <v>2.0278833967046772E-2</v>
      </c>
      <c r="H85" s="4">
        <f ca="1"/>
        <v>-3.134040501446389E-3</v>
      </c>
      <c r="I85" s="4">
        <f ca="1"/>
        <v>-4.5059542967492705E-3</v>
      </c>
      <c r="J85" s="4">
        <f ca="1"/>
        <v>1.4615384615384475E-2</v>
      </c>
      <c r="K85" s="4">
        <f ca="1"/>
        <v>-9.2375856880120288E-3</v>
      </c>
      <c r="L85" s="4">
        <f ca="1"/>
        <v>5.9481322864618491E-4</v>
      </c>
      <c r="M85" s="4">
        <f ca="1"/>
        <v>-1.3388169408470429E-2</v>
      </c>
      <c r="N85" s="4">
        <f ca="1"/>
        <v>-1.2682778007801376E-2</v>
      </c>
      <c r="O85" s="4">
        <f ca="1"/>
        <v>8.5453854918338124E-4</v>
      </c>
      <c r="P85" s="4">
        <f ca="1"/>
        <v>-3.3070298942406984E-3</v>
      </c>
    </row>
    <row r="86" spans="1:16" x14ac:dyDescent="0.25">
      <c r="A86" vm="1326">
        <f ca="1"/>
        <v>45050</v>
      </c>
      <c r="B86" s="4">
        <f ca="1"/>
        <v>-2.8772971969556194E-3</v>
      </c>
      <c r="C86" s="4">
        <f ca="1"/>
        <v>-1.5812687687687732E-2</v>
      </c>
      <c r="D86" s="4">
        <f ca="1"/>
        <v>1.0997643362136156E-3</v>
      </c>
      <c r="E86" s="4">
        <f ca="1"/>
        <v>6.3938618925829527E-3</v>
      </c>
      <c r="F86" s="4">
        <f ca="1"/>
        <v>-4.6085898995070762E-3</v>
      </c>
      <c r="G86" s="4">
        <f ca="1"/>
        <v>1.4658385093167858E-2</v>
      </c>
      <c r="H86" s="4">
        <f ca="1"/>
        <v>9.5525997581620281E-3</v>
      </c>
      <c r="I86" s="4">
        <f ca="1"/>
        <v>1.2285806660200516E-2</v>
      </c>
      <c r="J86" s="4">
        <f ca="1"/>
        <v>0.13343442001516292</v>
      </c>
      <c r="K86" s="4">
        <f ca="1"/>
        <v>-1.4808252119984822E-2</v>
      </c>
      <c r="L86" s="4">
        <f ca="1"/>
        <v>-1.7060991558673244E-2</v>
      </c>
      <c r="M86" s="4">
        <f ca="1"/>
        <v>-1.370288248337026E-2</v>
      </c>
      <c r="N86" s="4">
        <f ca="1"/>
        <v>-2.5161674796388978E-3</v>
      </c>
      <c r="O86" s="4">
        <f ca="1"/>
        <v>-6.8304714922682308E-3</v>
      </c>
      <c r="P86" s="4">
        <f ca="1"/>
        <v>3.3180026281209862E-3</v>
      </c>
    </row>
    <row r="87" spans="1:16" x14ac:dyDescent="0.25">
      <c r="A87" vm="1341">
        <f ca="1"/>
        <v>45051</v>
      </c>
      <c r="B87" s="4">
        <f ca="1"/>
        <v>3.4161779763566935E-2</v>
      </c>
      <c r="C87" s="4">
        <f ca="1"/>
        <v>1.8259833134684156E-2</v>
      </c>
      <c r="D87" s="4">
        <f ca="1"/>
        <v>4.7080979284368496E-3</v>
      </c>
      <c r="E87" s="4">
        <f ca="1"/>
        <v>1.5883100381195447E-3</v>
      </c>
      <c r="F87" s="4">
        <f ca="1"/>
        <v>3.343836409234191E-3</v>
      </c>
      <c r="G87" s="4">
        <f ca="1"/>
        <v>1.1753183153770719E-2</v>
      </c>
      <c r="H87" s="4">
        <f ca="1"/>
        <v>1.7726673853156072E-2</v>
      </c>
      <c r="I87" s="4">
        <f ca="1"/>
        <v>1.7566272756307955E-2</v>
      </c>
      <c r="J87" s="4">
        <f ca="1"/>
        <v>1.772575250836117E-2</v>
      </c>
      <c r="K87" s="4">
        <f ca="1"/>
        <v>-3.1688934566632687E-3</v>
      </c>
      <c r="L87" s="4">
        <f ca="1"/>
        <v>3.459328696703956E-2</v>
      </c>
      <c r="M87" s="4">
        <f ca="1"/>
        <v>4.6310867317116422E-3</v>
      </c>
      <c r="N87" s="4">
        <f ca="1"/>
        <v>7.9879627375920581E-3</v>
      </c>
      <c r="O87" s="4">
        <f ca="1"/>
        <v>8.4057694144616946E-3</v>
      </c>
      <c r="P87" s="4">
        <f ca="1"/>
        <v>1.7157264005762674E-2</v>
      </c>
    </row>
    <row r="88" spans="1:16" x14ac:dyDescent="0.25">
      <c r="A88" vm="1356">
        <f ca="1"/>
        <v>45054</v>
      </c>
      <c r="B88" s="4">
        <f ca="1"/>
        <v>4.6204620462044765E-3</v>
      </c>
      <c r="C88" s="4">
        <f ca="1"/>
        <v>-7.7722633205357106E-3</v>
      </c>
      <c r="D88" s="4">
        <f ca="1"/>
        <v>-1.5620118712901254E-3</v>
      </c>
      <c r="E88" s="4">
        <f ca="1"/>
        <v>-1.0571942065757955E-3</v>
      </c>
      <c r="F88" s="4">
        <f ca="1"/>
        <v>-4.6785874511311443E-3</v>
      </c>
      <c r="G88" s="4">
        <f ca="1"/>
        <v>-5.8083252662149976E-3</v>
      </c>
      <c r="H88" s="4">
        <f ca="1"/>
        <v>6.7082499705779508E-3</v>
      </c>
      <c r="I88" s="4">
        <f ca="1"/>
        <v>6.2774639045826142E-4</v>
      </c>
      <c r="J88" s="4">
        <f ca="1"/>
        <v>2.3989484061781141E-2</v>
      </c>
      <c r="K88" s="4">
        <f ca="1"/>
        <v>2.1049918377868959E-3</v>
      </c>
      <c r="L88" s="4">
        <f ca="1"/>
        <v>-1.2801777050330254E-2</v>
      </c>
      <c r="M88" s="4">
        <f ca="1"/>
        <v>2.130325814536338E-2</v>
      </c>
      <c r="N88" s="4">
        <f ca="1"/>
        <v>-1.0054001843965543E-2</v>
      </c>
      <c r="O88" s="4">
        <f ca="1"/>
        <v>2.0839253575826389E-2</v>
      </c>
      <c r="P88" s="4">
        <f ca="1"/>
        <v>-6.4381136327056332E-3</v>
      </c>
    </row>
    <row r="89" spans="1:16" x14ac:dyDescent="0.25">
      <c r="A89" vm="1372">
        <f ca="1"/>
        <v>45055</v>
      </c>
      <c r="B89" s="4">
        <f ca="1"/>
        <v>1.2752359335802321E-2</v>
      </c>
      <c r="C89" s="4">
        <f ca="1"/>
        <v>-5.2378255945638719E-3</v>
      </c>
      <c r="D89" s="4">
        <f ca="1"/>
        <v>-8.2916145181477496E-3</v>
      </c>
      <c r="E89" s="4">
        <f ca="1"/>
        <v>-9.8423113556989072E-3</v>
      </c>
      <c r="F89" s="4">
        <f ca="1"/>
        <v>-1.0238248551191265E-2</v>
      </c>
      <c r="G89" s="4">
        <f ca="1"/>
        <v>-4.8685491723465812E-3</v>
      </c>
      <c r="H89" s="4">
        <f ca="1"/>
        <v>-5.6114098667290335E-3</v>
      </c>
      <c r="I89" s="4">
        <f ca="1"/>
        <v>4.3914680050189947E-3</v>
      </c>
      <c r="J89" s="4">
        <f ca="1"/>
        <v>-1.2836970474967568E-3</v>
      </c>
      <c r="K89" s="4">
        <f ca="1"/>
        <v>4.286877866850336E-4</v>
      </c>
      <c r="L89" s="4">
        <f ca="1"/>
        <v>1.2553292278540962E-2</v>
      </c>
      <c r="M89" s="4">
        <f ca="1"/>
        <v>-1.2007011393514344E-2</v>
      </c>
      <c r="N89" s="4">
        <f ca="1"/>
        <v>2.3948908994146922E-3</v>
      </c>
      <c r="O89" s="4">
        <f ca="1"/>
        <v>-3.8971884568990145E-3</v>
      </c>
      <c r="P89" s="4">
        <f ca="1"/>
        <v>-5.3458610076136948E-3</v>
      </c>
    </row>
    <row r="90" spans="1:16" x14ac:dyDescent="0.25">
      <c r="A90" vm="1388">
        <f ca="1"/>
        <v>45056</v>
      </c>
      <c r="B90" s="4">
        <f ca="1"/>
        <v>-3.6064993659874478E-2</v>
      </c>
      <c r="C90" s="4">
        <f ca="1"/>
        <v>-1.147953133153079E-2</v>
      </c>
      <c r="D90" s="4">
        <f ca="1"/>
        <v>1.7352894778355221E-3</v>
      </c>
      <c r="E90" s="4">
        <f ca="1"/>
        <v>1.2131252672082038E-2</v>
      </c>
      <c r="F90" s="4">
        <f ca="1"/>
        <v>2.0818424305510952E-3</v>
      </c>
      <c r="G90" s="4">
        <f ca="1"/>
        <v>-4.8923679060666192E-3</v>
      </c>
      <c r="H90" s="4">
        <f ca="1"/>
        <v>-1.881025158711469E-3</v>
      </c>
      <c r="I90" s="4">
        <f ca="1"/>
        <v>-6.5584009993755465E-3</v>
      </c>
      <c r="J90" s="4">
        <f ca="1"/>
        <v>-8.9974293059126298E-3</v>
      </c>
      <c r="K90" s="4">
        <f ca="1"/>
        <v>-1.2426618674208356E-3</v>
      </c>
      <c r="L90" s="4">
        <f ca="1"/>
        <v>2.5146198830410249E-3</v>
      </c>
      <c r="M90" s="4">
        <f ca="1"/>
        <v>3.2378248913331742E-3</v>
      </c>
      <c r="N90" s="4">
        <f ca="1"/>
        <v>2.4555349084149913E-3</v>
      </c>
      <c r="O90" s="4">
        <f ca="1"/>
        <v>4.0987424312994847E-2</v>
      </c>
      <c r="P90" s="4">
        <f ca="1"/>
        <v>1.7296416938110681E-2</v>
      </c>
    </row>
    <row r="91" spans="1:16" x14ac:dyDescent="0.25">
      <c r="A91" vm="1404">
        <f ca="1"/>
        <v>45057</v>
      </c>
      <c r="B91" s="4">
        <f ca="1"/>
        <v>-7.0056289769946378E-3</v>
      </c>
      <c r="C91" s="4">
        <f ca="1"/>
        <v>-3.5990210662699695E-3</v>
      </c>
      <c r="D91" s="4">
        <f ca="1"/>
        <v>5.6692913385827381E-3</v>
      </c>
      <c r="E91" s="4">
        <f ca="1"/>
        <v>9.826284386715245E-2</v>
      </c>
      <c r="F91" s="4">
        <f ca="1"/>
        <v>2.3372070375899945E-3</v>
      </c>
      <c r="G91" s="4">
        <f ca="1"/>
        <v>-7.3746312684364046E-4</v>
      </c>
      <c r="H91" s="4">
        <f ca="1"/>
        <v>-1.7314487632508868E-2</v>
      </c>
      <c r="I91" s="4">
        <f ca="1"/>
        <v>-6.2873310279787376E-4</v>
      </c>
      <c r="J91" s="4">
        <f ca="1"/>
        <v>4.7989623865110298E-2</v>
      </c>
      <c r="K91" s="4">
        <f ca="1"/>
        <v>1.1626909215719738E-2</v>
      </c>
      <c r="L91" s="4">
        <f ca="1"/>
        <v>9.3332555562031239E-4</v>
      </c>
      <c r="M91" s="4">
        <f ca="1"/>
        <v>-5.8358017595826484E-3</v>
      </c>
      <c r="N91" s="4">
        <f ca="1"/>
        <v>-5.4286660046342083E-3</v>
      </c>
      <c r="O91" s="4">
        <f ca="1"/>
        <v>4.3131991051454044E-2</v>
      </c>
      <c r="P91" s="4">
        <f ca="1"/>
        <v>-7.0442829240178195E-3</v>
      </c>
    </row>
    <row r="92" spans="1:16" x14ac:dyDescent="0.25">
      <c r="A92" vm="1420">
        <f ca="1"/>
        <v>45058</v>
      </c>
      <c r="B92" s="4">
        <f ca="1"/>
        <v>-1.8484857820634248E-3</v>
      </c>
      <c r="C92" s="4">
        <f ca="1"/>
        <v>1.1702947408977149E-2</v>
      </c>
      <c r="D92" s="4">
        <f ca="1"/>
        <v>3.9148136548701196E-3</v>
      </c>
      <c r="E92" s="4">
        <f ca="1"/>
        <v>1.3701923076923084E-2</v>
      </c>
      <c r="F92" s="4">
        <f ca="1"/>
        <v>1.0169052399767065E-2</v>
      </c>
      <c r="G92" s="4">
        <f ca="1"/>
        <v>2.4600246002459691E-4</v>
      </c>
      <c r="H92" s="4">
        <f ca="1"/>
        <v>0</v>
      </c>
      <c r="I92" s="4">
        <f ca="1"/>
        <v>9.4369298521557177E-4</v>
      </c>
      <c r="J92" s="4">
        <f ca="1"/>
        <v>-8.6633663366336711E-3</v>
      </c>
      <c r="K92" s="4">
        <f ca="1"/>
        <v>-8.3973026845921561E-3</v>
      </c>
      <c r="L92" s="4">
        <f ca="1"/>
        <v>1.3170930706917661E-2</v>
      </c>
      <c r="M92" s="4">
        <f ca="1"/>
        <v>1.2807399831013422E-2</v>
      </c>
      <c r="N92" s="4">
        <f ca="1"/>
        <v>2.2188200315076401E-4</v>
      </c>
      <c r="O92" s="4">
        <f ca="1"/>
        <v>8.0638243115724872E-3</v>
      </c>
      <c r="P92" s="4">
        <f ca="1"/>
        <v>-3.6761149269614046E-3</v>
      </c>
    </row>
    <row r="93" spans="1:16" x14ac:dyDescent="0.25">
      <c r="A93" vm="1434">
        <f ca="1"/>
        <v>45061</v>
      </c>
      <c r="B93" s="4">
        <f ca="1"/>
        <v>1.1450970708972497E-2</v>
      </c>
      <c r="C93" s="4">
        <f ca="1"/>
        <v>1.6089874803636883E-2</v>
      </c>
      <c r="D93" s="4">
        <f ca="1"/>
        <v>-2.6516924036812384E-3</v>
      </c>
      <c r="E93" s="4">
        <f ca="1"/>
        <v>-9.4854161726276587E-5</v>
      </c>
      <c r="F93" s="4">
        <f ca="1"/>
        <v>3.2059502436521115E-4</v>
      </c>
      <c r="G93" s="4">
        <f ca="1"/>
        <v>-1.2051155927201074E-2</v>
      </c>
      <c r="H93" s="4">
        <f ca="1"/>
        <v>2.6728994366534753E-2</v>
      </c>
      <c r="I93" s="4">
        <f ca="1"/>
        <v>5.9710873664360342E-3</v>
      </c>
      <c r="J93" s="4">
        <f ca="1"/>
        <v>4.3695380774033676E-3</v>
      </c>
      <c r="K93" s="4">
        <f ca="1"/>
        <v>2.1598734014798282E-2</v>
      </c>
      <c r="L93" s="4">
        <f ca="1"/>
        <v>5.5220017256256693E-3</v>
      </c>
      <c r="M93" s="4">
        <f ca="1"/>
        <v>1.1328210757409529E-2</v>
      </c>
      <c r="N93" s="4">
        <f ca="1"/>
        <v>2.5067104416691688E-3</v>
      </c>
      <c r="O93" s="4">
        <f ca="1"/>
        <v>-8.5099140498681169E-3</v>
      </c>
      <c r="P93" s="4">
        <f ca="1"/>
        <v>1.5859144900798317E-3</v>
      </c>
    </row>
    <row r="94" spans="1:16" x14ac:dyDescent="0.25">
      <c r="A94" vm="1449">
        <f ca="1"/>
        <v>45062</v>
      </c>
      <c r="B94" s="4">
        <f ca="1"/>
        <v>-1.8797680805614836E-2</v>
      </c>
      <c r="C94" s="4">
        <f ca="1"/>
        <v>-3.6074022019208174E-2</v>
      </c>
      <c r="D94" s="4">
        <f ca="1"/>
        <v>-1.1260556771973684E-2</v>
      </c>
      <c r="E94" s="4">
        <f ca="1"/>
        <v>-1.3755158184319161E-2</v>
      </c>
      <c r="F94" s="4">
        <f ca="1"/>
        <v>-1.7306582911350565E-3</v>
      </c>
      <c r="G94" s="4">
        <f ca="1"/>
        <v>-2.9126213592232997E-2</v>
      </c>
      <c r="H94" s="4">
        <f ca="1"/>
        <v>2.5682932523931612E-3</v>
      </c>
      <c r="I94" s="4">
        <f ca="1"/>
        <v>-1.0309278350515427E-2</v>
      </c>
      <c r="J94" s="4">
        <f ca="1"/>
        <v>-1.24300807955251E-2</v>
      </c>
      <c r="K94" s="4">
        <f ca="1"/>
        <v>-1.6746211169726966E-4</v>
      </c>
      <c r="L94" s="4">
        <f ca="1"/>
        <v>-2.9288942280189967E-2</v>
      </c>
      <c r="M94" s="4">
        <f ca="1"/>
        <v>-1.5803412495115743E-2</v>
      </c>
      <c r="N94" s="4">
        <f ca="1"/>
        <v>-9.2715524871658239E-3</v>
      </c>
      <c r="O94" s="4">
        <f ca="1"/>
        <v>2.5748862758561586E-2</v>
      </c>
      <c r="P94" s="4">
        <f ca="1"/>
        <v>7.367672720222318E-3</v>
      </c>
    </row>
    <row r="95" spans="1:16" x14ac:dyDescent="0.25">
      <c r="A95" vm="1465">
        <f ca="1"/>
        <v>45063</v>
      </c>
      <c r="B95" s="4">
        <f ca="1"/>
        <v>2.9172109224357756E-2</v>
      </c>
      <c r="C95" s="4">
        <f ca="1"/>
        <v>2.2162818955042463E-2</v>
      </c>
      <c r="D95" s="4">
        <f ca="1"/>
        <v>-1.1072445428661482E-3</v>
      </c>
      <c r="E95" s="4">
        <f ca="1"/>
        <v>-1.0147645842350839E-2</v>
      </c>
      <c r="F95" s="4">
        <f ca="1"/>
        <v>-4.237832284576859E-3</v>
      </c>
      <c r="G95" s="4">
        <f ca="1"/>
        <v>-2.3076923076923439E-3</v>
      </c>
      <c r="H95" s="4">
        <f ca="1"/>
        <v>5.8220773171867801E-2</v>
      </c>
      <c r="I95" s="4">
        <f ca="1"/>
        <v>8.5227272727272929E-3</v>
      </c>
      <c r="J95" s="4">
        <f ca="1"/>
        <v>-5.0346129641284376E-3</v>
      </c>
      <c r="K95" s="4">
        <f ca="1"/>
        <v>1.5346285905703194E-2</v>
      </c>
      <c r="L95" s="4">
        <f ca="1"/>
        <v>4.1251694266009054E-4</v>
      </c>
      <c r="M95" s="4">
        <f ca="1"/>
        <v>1.7777581719528923E-2</v>
      </c>
      <c r="N95" s="4">
        <f ca="1"/>
        <v>2.1374489089406534E-2</v>
      </c>
      <c r="O95" s="4">
        <f ca="1"/>
        <v>1.11287758346581E-2</v>
      </c>
      <c r="P95" s="4">
        <f ca="1"/>
        <v>7.2496311028420468E-3</v>
      </c>
    </row>
    <row r="96" spans="1:16" x14ac:dyDescent="0.25">
      <c r="A96" vm="1478">
        <f ca="1"/>
        <v>45064</v>
      </c>
      <c r="B96" s="4">
        <f ca="1"/>
        <v>1.2782545630363629E-2</v>
      </c>
      <c r="C96" s="4">
        <f ca="1"/>
        <v>2.2443060244401014E-2</v>
      </c>
      <c r="D96" s="4">
        <f ca="1"/>
        <v>-5.5423594615994221E-3</v>
      </c>
      <c r="E96" s="4">
        <f ca="1"/>
        <v>4.615683607035459E-3</v>
      </c>
      <c r="F96" s="4">
        <f ca="1"/>
        <v>-1.6443126128449892E-2</v>
      </c>
      <c r="G96" s="4">
        <f ca="1"/>
        <v>0</v>
      </c>
      <c r="H96" s="4">
        <f ca="1"/>
        <v>1.9476232394366244E-2</v>
      </c>
      <c r="I96" s="4">
        <f ca="1"/>
        <v>1.3771517996870042E-2</v>
      </c>
      <c r="J96" s="4">
        <f ca="1"/>
        <v>1.8975332068311035E-2</v>
      </c>
      <c r="K96" s="4">
        <f ca="1"/>
        <v>1.8001113470936358E-2</v>
      </c>
      <c r="L96" s="4">
        <f ca="1"/>
        <v>1.2547125353440158E-2</v>
      </c>
      <c r="M96" s="4">
        <f ca="1"/>
        <v>6.1979889042995673E-3</v>
      </c>
      <c r="N96" s="4">
        <f ca="1"/>
        <v>-3.3894598731686321E-3</v>
      </c>
      <c r="O96" s="4">
        <f ca="1"/>
        <v>1.6468056934789699E-2</v>
      </c>
      <c r="P96" s="4">
        <f ca="1"/>
        <v>1.4394904458598701E-2</v>
      </c>
    </row>
    <row r="97" spans="1:16" x14ac:dyDescent="0.25">
      <c r="A97" vm="1492">
        <f ca="1"/>
        <v>45065</v>
      </c>
      <c r="B97" s="4">
        <f ca="1"/>
        <v>-6.8924362225869507E-3</v>
      </c>
      <c r="C97" s="4">
        <f ca="1"/>
        <v>-1.2649397758452308E-2</v>
      </c>
      <c r="D97" s="4">
        <f ca="1"/>
        <v>4.7770700636950991E-4</v>
      </c>
      <c r="E97" s="4">
        <f ca="1"/>
        <v>-5.174831938869362E-3</v>
      </c>
      <c r="F97" s="4">
        <f ca="1"/>
        <v>4.1958958893331122E-3</v>
      </c>
      <c r="G97" s="4">
        <f ca="1"/>
        <v>4.112053456694964E-3</v>
      </c>
      <c r="H97" s="4">
        <f ca="1"/>
        <v>-7.5553157042640429E-4</v>
      </c>
      <c r="I97" s="4">
        <f ca="1"/>
        <v>-2.4698981167026179E-3</v>
      </c>
      <c r="J97" s="4">
        <f ca="1"/>
        <v>-3.3519553072625663E-2</v>
      </c>
      <c r="K97" s="4">
        <f ca="1"/>
        <v>-4.9017622037674791E-3</v>
      </c>
      <c r="L97" s="4">
        <f ca="1"/>
        <v>-1.0471813369014038E-3</v>
      </c>
      <c r="M97" s="4">
        <f ca="1"/>
        <v>1.3525737669610072E-2</v>
      </c>
      <c r="N97" s="4">
        <f ca="1"/>
        <v>-2.7646736149203877E-3</v>
      </c>
      <c r="O97" s="4">
        <f ca="1"/>
        <v>-5.6989334853041473E-4</v>
      </c>
      <c r="P97" s="4">
        <f ca="1"/>
        <v>-5.6511365063416363E-4</v>
      </c>
    </row>
    <row r="98" spans="1:16" x14ac:dyDescent="0.25">
      <c r="A98" vm="1507">
        <f ca="1"/>
        <v>45068</v>
      </c>
      <c r="B98" s="4">
        <f ca="1"/>
        <v>3.9057805552218383E-3</v>
      </c>
      <c r="C98" s="4">
        <f ca="1"/>
        <v>5.0869012293344174E-3</v>
      </c>
      <c r="D98" s="4">
        <f ca="1"/>
        <v>-2.1009072099315573E-2</v>
      </c>
      <c r="E98" s="4">
        <f ca="1"/>
        <v>5.9309674282936875E-3</v>
      </c>
      <c r="F98" s="4">
        <f ca="1"/>
        <v>-2.6180061369719843E-2</v>
      </c>
      <c r="G98" s="4">
        <f ca="1"/>
        <v>-8.4463782953672073E-3</v>
      </c>
      <c r="H98" s="4">
        <f ca="1"/>
        <v>-9.2892633398141689E-3</v>
      </c>
      <c r="I98" s="4">
        <f ca="1"/>
        <v>-1.2689569792634026E-2</v>
      </c>
      <c r="J98" s="4">
        <f ca="1"/>
        <v>-7.7071290944124016E-3</v>
      </c>
      <c r="K98" s="4">
        <f ca="1"/>
        <v>1.0910275199478958E-2</v>
      </c>
      <c r="L98" s="4">
        <f ca="1"/>
        <v>-4.1931163007395966E-3</v>
      </c>
      <c r="M98" s="4">
        <f ca="1"/>
        <v>7.225126439713847E-4</v>
      </c>
      <c r="N98" s="4">
        <f ca="1"/>
        <v>5.0606173953227085E-4</v>
      </c>
      <c r="O98" s="4">
        <f ca="1"/>
        <v>1.8654284783316877E-2</v>
      </c>
      <c r="P98" s="4">
        <f ca="1"/>
        <v>8.9212791355155474E-3</v>
      </c>
    </row>
    <row r="99" spans="1:16" x14ac:dyDescent="0.25">
      <c r="A99" vm="1523">
        <f ca="1"/>
        <v>45069</v>
      </c>
      <c r="B99" s="4">
        <f ca="1"/>
        <v>-1.6041180343568606E-2</v>
      </c>
      <c r="C99" s="4">
        <f ca="1"/>
        <v>-8.9976100098411171E-3</v>
      </c>
      <c r="D99" s="4">
        <f ca="1"/>
        <v>-1.7883271012842927E-3</v>
      </c>
      <c r="E99" s="4">
        <f ca="1"/>
        <v>-2.4357239512855178E-2</v>
      </c>
      <c r="F99" s="4">
        <f ca="1"/>
        <v>-1.0793778492893424E-2</v>
      </c>
      <c r="G99" s="4">
        <f ca="1"/>
        <v>-1.2906556530718483E-3</v>
      </c>
      <c r="H99" s="4">
        <f ca="1"/>
        <v>-1.3955516790231104E-2</v>
      </c>
      <c r="I99" s="4">
        <f ca="1"/>
        <v>-9.0909090909090384E-3</v>
      </c>
      <c r="J99" s="4">
        <f ca="1"/>
        <v>1.8770226537216939E-2</v>
      </c>
      <c r="K99" s="4">
        <f ca="1"/>
        <v>-6.3627577319587125E-3</v>
      </c>
      <c r="L99" s="4">
        <f ca="1"/>
        <v>-2.5615533072109398E-2</v>
      </c>
      <c r="M99" s="4">
        <f ca="1"/>
        <v>1.9111526373905008E-3</v>
      </c>
      <c r="N99" s="4">
        <f ca="1"/>
        <v>-4.5962350457424694E-3</v>
      </c>
      <c r="O99" s="4">
        <f ca="1"/>
        <v>-1.9912035185925547E-2</v>
      </c>
      <c r="P99" s="4">
        <f ca="1"/>
        <v>-1.8432031882433586E-2</v>
      </c>
    </row>
    <row r="100" spans="1:16" x14ac:dyDescent="0.25">
      <c r="A100" vm="1539">
        <f ca="1"/>
        <v>45070</v>
      </c>
      <c r="B100" s="4">
        <f ca="1"/>
        <v>-2.0591276841656958E-2</v>
      </c>
      <c r="C100" s="4">
        <f ca="1"/>
        <v>-1.8915212559701411E-3</v>
      </c>
      <c r="D100" s="4">
        <f ca="1"/>
        <v>-8.4690553745927488E-3</v>
      </c>
      <c r="E100" s="4">
        <f ca="1"/>
        <v>-5.1515751931839882E-3</v>
      </c>
      <c r="F100" s="4">
        <f ca="1"/>
        <v>-8.2683835987800158E-3</v>
      </c>
      <c r="G100" s="4">
        <f ca="1"/>
        <v>7.7539415869742889E-4</v>
      </c>
      <c r="H100" s="4">
        <f ca="1"/>
        <v>-3.4276868642193481E-3</v>
      </c>
      <c r="I100" s="4">
        <f ca="1"/>
        <v>-2.2777602024675714E-2</v>
      </c>
      <c r="J100" s="4">
        <f ca="1"/>
        <v>-2.414231257941557E-2</v>
      </c>
      <c r="K100" s="4">
        <f ca="1"/>
        <v>1.0010537407797671E-2</v>
      </c>
      <c r="L100" s="4">
        <f ca="1"/>
        <v>-3.0010203469188479E-4</v>
      </c>
      <c r="M100" s="4">
        <f ca="1"/>
        <v>-1.5302445847992785E-2</v>
      </c>
      <c r="N100" s="4">
        <f ca="1"/>
        <v>1.9883790292296588E-4</v>
      </c>
      <c r="O100" s="4">
        <f ca="1"/>
        <v>-1.3544386422976507E-2</v>
      </c>
      <c r="P100" s="4">
        <f ca="1"/>
        <v>-4.4724988898051654E-3</v>
      </c>
    </row>
    <row r="101" spans="1:16" x14ac:dyDescent="0.25">
      <c r="A101" vm="1555">
        <f ca="1"/>
        <v>45071</v>
      </c>
      <c r="B101" s="4">
        <f ca="1"/>
        <v>1.5900127325238378E-2</v>
      </c>
      <c r="C101" s="4">
        <f ca="1"/>
        <v>2.0040744776614439E-2</v>
      </c>
      <c r="D101" s="4">
        <f ca="1"/>
        <v>-7.7201051248357855E-3</v>
      </c>
      <c r="E101" s="4">
        <f ca="1"/>
        <v>1.8422624975105162E-3</v>
      </c>
      <c r="F101" s="4">
        <f ca="1"/>
        <v>-6.4238365338620262E-3</v>
      </c>
      <c r="G101" s="4">
        <f ca="1"/>
        <v>-1.1880165289256173E-2</v>
      </c>
      <c r="H101" s="4">
        <f ca="1"/>
        <v>0.12004881837346071</v>
      </c>
      <c r="I101" s="4">
        <f ca="1"/>
        <v>9.711880867595557E-4</v>
      </c>
      <c r="J101" s="4">
        <f ca="1"/>
        <v>-2.994791666666663E-2</v>
      </c>
      <c r="K101" s="4">
        <f ca="1"/>
        <v>1.3964126640182872E-2</v>
      </c>
      <c r="L101" s="4">
        <f ca="1"/>
        <v>3.7764169068203568E-2</v>
      </c>
      <c r="M101" s="4">
        <f ca="1"/>
        <v>-6.8876452862687287E-4</v>
      </c>
      <c r="N101" s="4">
        <f ca="1"/>
        <v>-2.1845732461565737E-2</v>
      </c>
      <c r="O101" s="4">
        <f ca="1"/>
        <v>2.1339950372208483E-2</v>
      </c>
      <c r="P101" s="4">
        <f ca="1"/>
        <v>3.8457862036004542E-2</v>
      </c>
    </row>
    <row r="102" spans="1:16" x14ac:dyDescent="0.25">
      <c r="A102" vm="1569">
        <f ca="1"/>
        <v>45072</v>
      </c>
      <c r="B102" s="4">
        <f ca="1"/>
        <v>1.7577110017424236E-2</v>
      </c>
      <c r="C102" s="4">
        <f ca="1"/>
        <v>7.1063632141199484E-3</v>
      </c>
      <c r="D102" s="4">
        <f ca="1"/>
        <v>-2.483032610494873E-3</v>
      </c>
      <c r="E102" s="4">
        <f ca="1"/>
        <v>-3.8268475721883188E-3</v>
      </c>
      <c r="F102" s="4">
        <f ca="1"/>
        <v>6.878052135639301E-5</v>
      </c>
      <c r="G102" s="4">
        <f ca="1"/>
        <v>2.090956612650352E-3</v>
      </c>
      <c r="H102" s="4">
        <f ca="1"/>
        <v>2.2387320455671045E-2</v>
      </c>
      <c r="I102" s="4">
        <f ca="1"/>
        <v>-3.5575679172057395E-3</v>
      </c>
      <c r="J102" s="4">
        <f ca="1"/>
        <v>4.3624161073825496E-2</v>
      </c>
      <c r="K102" s="4">
        <f ca="1"/>
        <v>3.7001859986544927E-2</v>
      </c>
      <c r="L102" s="4">
        <f ca="1"/>
        <v>6.6531674862597701E-3</v>
      </c>
      <c r="M102" s="4">
        <f ca="1"/>
        <v>3.1877315413113561E-3</v>
      </c>
      <c r="N102" s="4">
        <f ca="1"/>
        <v>1.2691100422284052E-2</v>
      </c>
      <c r="O102" s="4">
        <f ca="1"/>
        <v>9.1512795594428376E-3</v>
      </c>
      <c r="P102" s="4">
        <f ca="1"/>
        <v>2.1385616102110871E-2</v>
      </c>
    </row>
    <row r="103" spans="1:16" x14ac:dyDescent="0.25">
      <c r="A103" vm="1584">
        <f ca="1"/>
        <v>45076</v>
      </c>
      <c r="B103" s="4">
        <f ca="1"/>
        <v>-7.9007450132179136E-3</v>
      </c>
      <c r="C103" s="4">
        <f ca="1"/>
        <v>-4.4274316284647064E-3</v>
      </c>
      <c r="D103" s="4">
        <f ca="1"/>
        <v>-7.9654829074011779E-3</v>
      </c>
      <c r="E103" s="4">
        <f ca="1"/>
        <v>-4.4402314907203699E-3</v>
      </c>
      <c r="F103" s="4">
        <f ca="1"/>
        <v>-1.5268225584594175E-2</v>
      </c>
      <c r="G103" s="4">
        <f ca="1"/>
        <v>-1.2780386019822676E-2</v>
      </c>
      <c r="H103" s="4">
        <f ca="1"/>
        <v>-1.1917449859509599E-2</v>
      </c>
      <c r="I103" s="4">
        <f ca="1"/>
        <v>5.1931191171696867E-3</v>
      </c>
      <c r="J103" s="4">
        <f ca="1"/>
        <v>-2.7009646302250778E-2</v>
      </c>
      <c r="K103" s="4">
        <f ca="1"/>
        <v>1.8317814074184646E-3</v>
      </c>
      <c r="L103" s="4">
        <f ca="1"/>
        <v>4.1206896551724048E-2</v>
      </c>
      <c r="M103" s="4">
        <f ca="1"/>
        <v>1.7949158364823026E-2</v>
      </c>
      <c r="N103" s="4">
        <f ca="1"/>
        <v>-1.070353439625249E-3</v>
      </c>
      <c r="O103" s="4">
        <f ca="1"/>
        <v>-7.5435358317952339E-3</v>
      </c>
      <c r="P103" s="4">
        <f ca="1"/>
        <v>-5.0467121271291493E-3</v>
      </c>
    </row>
    <row r="104" spans="1:16" x14ac:dyDescent="0.25">
      <c r="A104" vm="1600">
        <f ca="1"/>
        <v>45077</v>
      </c>
      <c r="B104" s="4">
        <f ca="1"/>
        <v>-2.9704769114307306E-2</v>
      </c>
      <c r="C104" s="4">
        <f ca="1"/>
        <v>-1.5889192569602084E-2</v>
      </c>
      <c r="D104" s="4">
        <f ca="1"/>
        <v>-2.0073603211777646E-3</v>
      </c>
      <c r="E104" s="4">
        <f ca="1"/>
        <v>2.1047356552241769E-3</v>
      </c>
      <c r="F104" s="4">
        <f ca="1"/>
        <v>-4.7492666573544229E-3</v>
      </c>
      <c r="G104" s="4">
        <f ca="1"/>
        <v>9.7754293262879433E-3</v>
      </c>
      <c r="H104" s="4">
        <f ca="1"/>
        <v>-3.3241812120023528E-2</v>
      </c>
      <c r="I104" s="4">
        <f ca="1"/>
        <v>-9.6867936712946578E-3</v>
      </c>
      <c r="J104" s="4">
        <f ca="1"/>
        <v>4.2300066093853284E-2</v>
      </c>
      <c r="K104" s="4">
        <f ca="1"/>
        <v>8.3803138808473676E-3</v>
      </c>
      <c r="L104" s="4">
        <f ca="1"/>
        <v>-1.9815642766462305E-2</v>
      </c>
      <c r="M104" s="4">
        <f ca="1"/>
        <v>2.4930397367755042E-2</v>
      </c>
      <c r="N104" s="4">
        <f ca="1"/>
        <v>-8.8398776703797477E-3</v>
      </c>
      <c r="O104" s="4">
        <f ca="1"/>
        <v>-6.4688283334680685E-3</v>
      </c>
      <c r="P104" s="4">
        <f ca="1"/>
        <v>-8.514235681289839E-3</v>
      </c>
    </row>
    <row r="105" spans="1:16" x14ac:dyDescent="0.25">
      <c r="A105" vm="1616">
        <f ca="1"/>
        <v>45078</v>
      </c>
      <c r="B105" s="4">
        <f ca="1"/>
        <v>1.7319935089252336E-2</v>
      </c>
      <c r="C105" s="4">
        <f ca="1"/>
        <v>1.9111278478629368E-2</v>
      </c>
      <c r="D105" s="4">
        <f ca="1"/>
        <v>5.6989607777406803E-3</v>
      </c>
      <c r="E105" s="4">
        <f ca="1"/>
        <v>1.2251837775666186E-2</v>
      </c>
      <c r="F105" s="4">
        <f ca="1"/>
        <v>1.0245614035087725E-2</v>
      </c>
      <c r="G105" s="4">
        <f ca="1"/>
        <v>-7.8492935635798844E-4</v>
      </c>
      <c r="H105" s="4">
        <f ca="1"/>
        <v>2.5357541332793332E-3</v>
      </c>
      <c r="I105" s="4">
        <f ca="1"/>
        <v>2.3149657645908039E-2</v>
      </c>
      <c r="J105" s="4">
        <f ca="1"/>
        <v>4.1217501585288696E-2</v>
      </c>
      <c r="K105" s="4">
        <f ca="1"/>
        <v>2.980507706255664E-2</v>
      </c>
      <c r="L105" s="4">
        <f ca="1"/>
        <v>-8.6158351165671609E-3</v>
      </c>
      <c r="M105" s="4">
        <f ca="1"/>
        <v>-1.1112483022596154E-3</v>
      </c>
      <c r="N105" s="4">
        <f ca="1"/>
        <v>1.274746064277843E-2</v>
      </c>
      <c r="O105" s="4">
        <f ca="1"/>
        <v>6.9178806869047982E-3</v>
      </c>
      <c r="P105" s="4">
        <f ca="1"/>
        <v>1.2759219221048168E-2</v>
      </c>
    </row>
    <row r="106" spans="1:16" x14ac:dyDescent="0.25">
      <c r="A106" vm="1630">
        <f ca="1"/>
        <v>45079</v>
      </c>
      <c r="B106" s="4">
        <f ca="1"/>
        <v>4.5216110923647967E-2</v>
      </c>
      <c r="C106" s="4">
        <f ca="1"/>
        <v>4.3556581986143206E-2</v>
      </c>
      <c r="D106" s="4">
        <f ca="1"/>
        <v>1.9333333333333202E-2</v>
      </c>
      <c r="E106" s="4">
        <f ca="1"/>
        <v>1.5067681059183879E-2</v>
      </c>
      <c r="F106" s="4">
        <f ca="1"/>
        <v>1.7782717421505945E-2</v>
      </c>
      <c r="G106" s="4">
        <f ca="1"/>
        <v>8.3791568473421396E-3</v>
      </c>
      <c r="H106" s="4">
        <f ca="1"/>
        <v>1.0117361392147917E-3</v>
      </c>
      <c r="I106" s="4">
        <f ca="1"/>
        <v>1.7208413001912115E-2</v>
      </c>
      <c r="J106" s="4">
        <f ca="1"/>
        <v>4.3848964677222879E-2</v>
      </c>
      <c r="K106" s="4">
        <f ca="1"/>
        <v>0</v>
      </c>
      <c r="L106" s="4">
        <f ca="1"/>
        <v>2.2891224084067074E-2</v>
      </c>
      <c r="M106" s="4">
        <f ca="1"/>
        <v>1.1207251751133018E-2</v>
      </c>
      <c r="N106" s="4">
        <f ca="1"/>
        <v>1.0718971690350632E-2</v>
      </c>
      <c r="O106" s="4">
        <f ca="1"/>
        <v>7.6786291626254055E-3</v>
      </c>
      <c r="P106" s="4">
        <f ca="1"/>
        <v>8.4791629081724107E-3</v>
      </c>
    </row>
    <row r="107" spans="1:16" x14ac:dyDescent="0.25">
      <c r="A107" vm="1644">
        <f ca="1"/>
        <v>45082</v>
      </c>
      <c r="B107" s="4">
        <f ca="1"/>
        <v>-9.8318316555631169E-3</v>
      </c>
      <c r="C107" s="4">
        <f ca="1"/>
        <v>-6.1966095693356538E-3</v>
      </c>
      <c r="D107" s="4">
        <f ca="1"/>
        <v>-6.7037279267494476E-3</v>
      </c>
      <c r="E107" s="4">
        <f ca="1"/>
        <v>2.8227965153064805E-3</v>
      </c>
      <c r="F107" s="4">
        <f ca="1"/>
        <v>-3.958503958504056E-3</v>
      </c>
      <c r="G107" s="4">
        <f ca="1"/>
        <v>-1.1685276551544943E-2</v>
      </c>
      <c r="H107" s="4">
        <f ca="1"/>
        <v>-8.9953507176065983E-3</v>
      </c>
      <c r="I107" s="4">
        <f ca="1"/>
        <v>6.5789473684210176E-3</v>
      </c>
      <c r="J107" s="4">
        <f ca="1"/>
        <v>-3.5589264877479598E-2</v>
      </c>
      <c r="K107" s="4">
        <f ca="1"/>
        <v>-4.4752576941419209E-3</v>
      </c>
      <c r="L107" s="4">
        <f ca="1"/>
        <v>-4.7201243891604738E-3</v>
      </c>
      <c r="M107" s="4">
        <f ca="1"/>
        <v>-5.0933094287344272E-3</v>
      </c>
      <c r="N107" s="4">
        <f ca="1"/>
        <v>4.4005368654964627E-4</v>
      </c>
      <c r="O107" s="4">
        <f ca="1"/>
        <v>1.0748375711879365E-2</v>
      </c>
      <c r="P107" s="4">
        <f ca="1"/>
        <v>1.610017889087656E-3</v>
      </c>
    </row>
    <row r="108" spans="1:16" x14ac:dyDescent="0.25">
      <c r="A108" vm="1660">
        <f ca="1"/>
        <v>45083</v>
      </c>
      <c r="B108" s="4">
        <f ca="1"/>
        <v>2.7268954887663677E-2</v>
      </c>
      <c r="C108" s="4">
        <f ca="1"/>
        <v>8.5511958312920466E-3</v>
      </c>
      <c r="D108" s="4">
        <f ca="1"/>
        <v>-7.2427983539093965E-3</v>
      </c>
      <c r="E108" s="4">
        <f ca="1"/>
        <v>6.0664887163310866E-3</v>
      </c>
      <c r="F108" s="4">
        <f ca="1"/>
        <v>-9.9355899684800963E-3</v>
      </c>
      <c r="G108" s="4">
        <f ca="1"/>
        <v>-7.0940620073568494E-3</v>
      </c>
      <c r="H108" s="4">
        <f ca="1"/>
        <v>1.8052014278429285E-2</v>
      </c>
      <c r="I108" s="4">
        <f ca="1"/>
        <v>-5.9134765017118118E-3</v>
      </c>
      <c r="J108" s="4">
        <f ca="1"/>
        <v>3.6902601330913498E-2</v>
      </c>
      <c r="K108" s="4">
        <f ca="1"/>
        <v>-9.948782195363659E-4</v>
      </c>
      <c r="L108" s="4">
        <f ca="1"/>
        <v>1.3334821179490142E-2</v>
      </c>
      <c r="M108" s="4">
        <f ca="1"/>
        <v>-6.8394970717122749E-3</v>
      </c>
      <c r="N108" s="4">
        <f ca="1"/>
        <v>8.6652444522641314E-3</v>
      </c>
      <c r="O108" s="4">
        <f ca="1"/>
        <v>1.0316641536386006E-2</v>
      </c>
      <c r="P108" s="4">
        <f ca="1"/>
        <v>-6.7273917961540031E-3</v>
      </c>
    </row>
    <row r="109" spans="1:16" x14ac:dyDescent="0.25">
      <c r="A109" vm="1674">
        <f ca="1"/>
        <v>45084</v>
      </c>
      <c r="B109" s="4">
        <f ca="1"/>
        <v>3.5662761844307278E-2</v>
      </c>
      <c r="C109" s="4">
        <f ca="1"/>
        <v>2.2742327224552827E-2</v>
      </c>
      <c r="D109" s="4">
        <f ca="1"/>
        <v>-1.4922898358481484E-3</v>
      </c>
      <c r="E109" s="4">
        <f ca="1"/>
        <v>3.0390738060781519E-3</v>
      </c>
      <c r="F109" s="4">
        <f ca="1"/>
        <v>2.1454771956537222E-3</v>
      </c>
      <c r="G109" s="4">
        <f ca="1"/>
        <v>-2.2228102672664618E-2</v>
      </c>
      <c r="H109" s="4">
        <f ca="1"/>
        <v>4.7084752554600318E-3</v>
      </c>
      <c r="I109" s="4">
        <f ca="1"/>
        <v>2.003757044458343E-2</v>
      </c>
      <c r="J109" s="4">
        <f ca="1"/>
        <v>1.3127187864643952E-2</v>
      </c>
      <c r="K109" s="4">
        <f ca="1"/>
        <v>-2.7736795514901047E-2</v>
      </c>
      <c r="L109" s="4">
        <f ca="1"/>
        <v>1.2718863561281823E-2</v>
      </c>
      <c r="M109" s="4">
        <f ca="1"/>
        <v>3.3814432989689447E-3</v>
      </c>
      <c r="N109" s="4">
        <f ca="1"/>
        <v>6.802869415432955E-3</v>
      </c>
      <c r="O109" s="4">
        <f ca="1"/>
        <v>-3.778179247506086E-2</v>
      </c>
      <c r="P109" s="4">
        <f ca="1"/>
        <v>-3.0867897386717802E-2</v>
      </c>
    </row>
    <row r="110" spans="1:16" x14ac:dyDescent="0.25">
      <c r="A110" vm="1689">
        <f ca="1"/>
        <v>45085</v>
      </c>
      <c r="B110" s="4">
        <f ca="1"/>
        <v>-8.6644007354990116E-3</v>
      </c>
      <c r="C110" s="4">
        <f ca="1"/>
        <v>8.5492227979275803E-3</v>
      </c>
      <c r="D110" s="4">
        <f ca="1"/>
        <v>2.4908668216538921E-3</v>
      </c>
      <c r="E110" s="4">
        <f ca="1"/>
        <v>-8.2720146203049127E-3</v>
      </c>
      <c r="F110" s="4">
        <f ca="1"/>
        <v>1.1325966850828539E-2</v>
      </c>
      <c r="G110" s="4">
        <f ca="1"/>
        <v>6.4952638700945808E-3</v>
      </c>
      <c r="H110" s="4">
        <f ca="1"/>
        <v>-3.4898793498854275E-3</v>
      </c>
      <c r="I110" s="4">
        <f ca="1"/>
        <v>-6.1387354205022504E-4</v>
      </c>
      <c r="J110" s="4">
        <f ca="1"/>
        <v>1.0077742585660854E-2</v>
      </c>
      <c r="K110" s="4">
        <f ca="1"/>
        <v>3.7177541729891406E-3</v>
      </c>
      <c r="L110" s="4">
        <f ca="1"/>
        <v>-3.0446365465123248E-3</v>
      </c>
      <c r="M110" s="4">
        <f ca="1"/>
        <v>4.4796975176721876E-3</v>
      </c>
      <c r="N110" s="4">
        <f ca="1"/>
        <v>5.2409312398484786E-3</v>
      </c>
      <c r="O110" s="4">
        <f ca="1"/>
        <v>-2.9387755102040503E-3</v>
      </c>
      <c r="P110" s="4">
        <f ca="1"/>
        <v>5.8135939142804904E-3</v>
      </c>
    </row>
    <row r="111" spans="1:16" x14ac:dyDescent="0.25">
      <c r="A111" vm="1705">
        <f ca="1"/>
        <v>45086</v>
      </c>
      <c r="B111" s="4">
        <f ca="1"/>
        <v>8.4309923277969823E-4</v>
      </c>
      <c r="C111" s="4">
        <f ca="1"/>
        <v>-3.9386933812827207E-3</v>
      </c>
      <c r="D111" s="4">
        <f ca="1"/>
        <v>1.6564518800730177E-3</v>
      </c>
      <c r="E111" s="4">
        <f ca="1"/>
        <v>3.7340575141844301E-3</v>
      </c>
      <c r="F111" s="4">
        <f ca="1"/>
        <v>8.194482381862489E-4</v>
      </c>
      <c r="G111" s="4">
        <f ca="1"/>
        <v>-8.3355740790533872E-3</v>
      </c>
      <c r="H111" s="4">
        <f ca="1"/>
        <v>2.8617170302181361E-2</v>
      </c>
      <c r="I111" s="4">
        <f ca="1"/>
        <v>-7.6781326781326653E-3</v>
      </c>
      <c r="J111" s="4">
        <f ca="1"/>
        <v>-1.6533637400227952E-2</v>
      </c>
      <c r="K111" s="4">
        <f ca="1"/>
        <v>1.3984428150275452E-3</v>
      </c>
      <c r="L111" s="4">
        <f ca="1"/>
        <v>-2.9448655723400829E-3</v>
      </c>
      <c r="M111" s="4">
        <f ca="1"/>
        <v>-1.1456159731598525E-2</v>
      </c>
      <c r="N111" s="4">
        <f ca="1"/>
        <v>-3.1884869767542234E-3</v>
      </c>
      <c r="O111" s="4">
        <f ca="1"/>
        <v>7.3685934173894907E-4</v>
      </c>
      <c r="P111" s="4">
        <f ca="1"/>
        <v>4.7039291643609094E-3</v>
      </c>
    </row>
    <row r="112" spans="1:16" x14ac:dyDescent="0.25">
      <c r="A112" vm="1720">
        <f ca="1"/>
        <v>45089</v>
      </c>
      <c r="B112" s="4">
        <f ca="1"/>
        <v>6.9075899250272688E-3</v>
      </c>
      <c r="C112" s="4">
        <f ca="1"/>
        <v>1.3367145190406715E-2</v>
      </c>
      <c r="D112" s="4">
        <f ca="1"/>
        <v>-4.29965272035715E-3</v>
      </c>
      <c r="E112" s="4">
        <f ca="1"/>
        <v>4.3965600541115979E-3</v>
      </c>
      <c r="F112" s="4">
        <f ca="1"/>
        <v>-7.8466157205240306E-3</v>
      </c>
      <c r="G112" s="4">
        <f ca="1"/>
        <v>-8.1344902386117912E-3</v>
      </c>
      <c r="H112" s="4">
        <f ca="1"/>
        <v>4.1439688715953382E-2</v>
      </c>
      <c r="I112" s="4">
        <f ca="1"/>
        <v>2.7855153203342198E-3</v>
      </c>
      <c r="J112" s="4">
        <f ca="1"/>
        <v>5.2173913043478404E-3</v>
      </c>
      <c r="K112" s="4">
        <f ca="1"/>
        <v>2.3023211926778808E-2</v>
      </c>
      <c r="L112" s="4">
        <f ca="1"/>
        <v>1.3947382814636367E-2</v>
      </c>
      <c r="M112" s="4">
        <f ca="1"/>
        <v>1.1713091345556759E-2</v>
      </c>
      <c r="N112" s="4">
        <f ca="1"/>
        <v>-6.0947934902417789E-3</v>
      </c>
      <c r="O112" s="4">
        <f ca="1"/>
        <v>1.1535629550846638E-2</v>
      </c>
      <c r="P112" s="4">
        <f ca="1"/>
        <v>1.5483949937268537E-2</v>
      </c>
    </row>
    <row r="113" spans="1:16" x14ac:dyDescent="0.25">
      <c r="A113" vm="1734">
        <f ca="1"/>
        <v>45090</v>
      </c>
      <c r="B113" s="4">
        <f ca="1"/>
        <v>2.6883069801165727E-2</v>
      </c>
      <c r="C113" s="4">
        <f ca="1"/>
        <v>7.6345591042117356E-3</v>
      </c>
      <c r="D113" s="4">
        <f ca="1"/>
        <v>3.9860488290981433E-3</v>
      </c>
      <c r="E113" s="4">
        <f ca="1"/>
        <v>-1.4430708547789051E-3</v>
      </c>
      <c r="F113" s="4">
        <f ca="1"/>
        <v>-2.4069871398115783E-3</v>
      </c>
      <c r="G113" s="4">
        <f ca="1"/>
        <v>6.0142154182614149E-3</v>
      </c>
      <c r="H113" s="4">
        <f ca="1"/>
        <v>-2.4285447412666361E-3</v>
      </c>
      <c r="I113" s="4">
        <f ca="1"/>
        <v>8.0246913580246382E-3</v>
      </c>
      <c r="J113" s="4">
        <f ca="1"/>
        <v>1.6147635524798254E-2</v>
      </c>
      <c r="K113" s="4">
        <f ca="1"/>
        <v>9.9612617598232589E-4</v>
      </c>
      <c r="L113" s="4">
        <f ca="1"/>
        <v>-2.049843564570053E-3</v>
      </c>
      <c r="M113" s="4">
        <f ca="1"/>
        <v>1.2150220913107468E-2</v>
      </c>
      <c r="N113" s="4">
        <f ca="1"/>
        <v>-1.6308956879118042E-2</v>
      </c>
      <c r="O113" s="4">
        <f ca="1"/>
        <v>1.5367195082496288E-3</v>
      </c>
      <c r="P113" s="4">
        <f ca="1"/>
        <v>7.3527196022298291E-3</v>
      </c>
    </row>
    <row r="114" spans="1:16" x14ac:dyDescent="0.25">
      <c r="A114" vm="1749">
        <f ca="1"/>
        <v>45091</v>
      </c>
      <c r="B114" s="4">
        <f ca="1"/>
        <v>-1.8466719170083801E-3</v>
      </c>
      <c r="C114" s="4">
        <f ca="1"/>
        <v>-6.1876499558024545E-3</v>
      </c>
      <c r="D114" s="4">
        <f ca="1"/>
        <v>6.7824648469809734E-3</v>
      </c>
      <c r="E114" s="4">
        <f ca="1"/>
        <v>2.6639048123705322E-2</v>
      </c>
      <c r="F114" s="4">
        <f ca="1"/>
        <v>9.3754308561972977E-3</v>
      </c>
      <c r="G114" s="4">
        <f ca="1"/>
        <v>-3.5326086956520841E-3</v>
      </c>
      <c r="H114" s="4">
        <f ca="1"/>
        <v>5.7116104868912831E-3</v>
      </c>
      <c r="I114" s="4">
        <f ca="1"/>
        <v>1.3165952235150158E-2</v>
      </c>
      <c r="J114" s="4">
        <f ca="1"/>
        <v>2.8376844494892861E-3</v>
      </c>
      <c r="K114" s="4">
        <f ca="1"/>
        <v>7.4819401444790046E-3</v>
      </c>
      <c r="L114" s="4">
        <f ca="1"/>
        <v>4.864864864864149E-4</v>
      </c>
      <c r="M114" s="4">
        <f ca="1"/>
        <v>-1.6167495250798414E-3</v>
      </c>
      <c r="N114" s="4">
        <f ca="1"/>
        <v>3.9790437031639314E-4</v>
      </c>
      <c r="O114" s="4">
        <f ca="1"/>
        <v>-1.2920939998384284E-3</v>
      </c>
      <c r="P114" s="4">
        <f ca="1"/>
        <v>9.1238146519487806E-3</v>
      </c>
    </row>
    <row r="115" spans="1:16" x14ac:dyDescent="0.25">
      <c r="A115" vm="1763">
        <f ca="1"/>
        <v>45092</v>
      </c>
      <c r="B115" s="4">
        <f ca="1"/>
        <v>1.7657461569854371E-2</v>
      </c>
      <c r="C115" s="4">
        <f ca="1"/>
        <v>1.8551461245235101E-2</v>
      </c>
      <c r="D115" s="4">
        <f ca="1"/>
        <v>6.0795267827800092E-3</v>
      </c>
      <c r="E115" s="4">
        <f ca="1"/>
        <v>1.9237987987987815E-3</v>
      </c>
      <c r="F115" s="4">
        <f ca="1"/>
        <v>1.3864226198606833E-2</v>
      </c>
      <c r="G115" s="4">
        <f ca="1"/>
        <v>5.4540496318515874E-3</v>
      </c>
      <c r="H115" s="4">
        <f ca="1"/>
        <v>-2.0761567824224891E-2</v>
      </c>
      <c r="I115" s="4">
        <f ca="1"/>
        <v>1.4203686914475711E-2</v>
      </c>
      <c r="J115" s="4">
        <f ca="1"/>
        <v>5.6593095642321067E-4</v>
      </c>
      <c r="K115" s="4">
        <f ca="1"/>
        <v>3.1022498628132222E-2</v>
      </c>
      <c r="L115" s="4">
        <f ca="1"/>
        <v>3.8359716894484919E-3</v>
      </c>
      <c r="M115" s="4">
        <f ca="1"/>
        <v>8.8255536213108776E-3</v>
      </c>
      <c r="N115" s="4">
        <f ca="1"/>
        <v>7.5129819909400819E-3</v>
      </c>
      <c r="O115" s="4">
        <f ca="1"/>
        <v>1.1482170291905902E-2</v>
      </c>
      <c r="P115" s="4">
        <f ca="1"/>
        <v>3.189660283393625E-2</v>
      </c>
    </row>
    <row r="116" spans="1:16" x14ac:dyDescent="0.25">
      <c r="A116" vm="1779">
        <f ca="1"/>
        <v>45093</v>
      </c>
      <c r="B116" s="4">
        <f ca="1"/>
        <v>-1.3207143621003059E-2</v>
      </c>
      <c r="C116" s="4">
        <f ca="1"/>
        <v>-3.7425149700598404E-3</v>
      </c>
      <c r="D116" s="4">
        <f ca="1"/>
        <v>7.1860199248734435E-3</v>
      </c>
      <c r="E116" s="4">
        <f ca="1"/>
        <v>3.7465461527652621E-4</v>
      </c>
      <c r="F116" s="4">
        <f ca="1"/>
        <v>7.3425395756148149E-3</v>
      </c>
      <c r="G116" s="4">
        <f ca="1"/>
        <v>3.2546786004883366E-3</v>
      </c>
      <c r="H116" s="4">
        <f ca="1"/>
        <v>-5.7995816695189939E-3</v>
      </c>
      <c r="I116" s="4">
        <f ca="1"/>
        <v>-1.0429082240762888E-2</v>
      </c>
      <c r="J116" s="4">
        <f ca="1"/>
        <v>-3.3936651583709176E-3</v>
      </c>
      <c r="K116" s="4">
        <f ca="1"/>
        <v>-2.945037788737781E-3</v>
      </c>
      <c r="L116" s="4">
        <f ca="1"/>
        <v>8.073196986004838E-4</v>
      </c>
      <c r="M116" s="4">
        <f ca="1"/>
        <v>-1.2681086720975898E-2</v>
      </c>
      <c r="N116" s="4">
        <f ca="1"/>
        <v>7.0621778703805482E-3</v>
      </c>
      <c r="O116" s="4">
        <f ca="1"/>
        <v>-1.24710208649772E-2</v>
      </c>
      <c r="P116" s="4">
        <f ca="1"/>
        <v>-1.6575696638897019E-2</v>
      </c>
    </row>
    <row r="117" spans="1:16" x14ac:dyDescent="0.25">
      <c r="A117" vm="1793">
        <f ca="1"/>
        <v>45097</v>
      </c>
      <c r="B117" s="4">
        <f ca="1"/>
        <v>7.4505554050392497E-3</v>
      </c>
      <c r="C117" s="4">
        <f ca="1"/>
        <v>-8.3479422322452201E-5</v>
      </c>
      <c r="D117" s="4">
        <f ca="1"/>
        <v>-6.6482892816605021E-3</v>
      </c>
      <c r="E117" s="4">
        <f ca="1"/>
        <v>-9.3628575441262463E-5</v>
      </c>
      <c r="F117" s="4">
        <f ca="1"/>
        <v>-9.2283001203691262E-3</v>
      </c>
      <c r="G117" s="4">
        <f ca="1"/>
        <v>-1.0002703433360516E-2</v>
      </c>
      <c r="H117" s="4">
        <f ca="1"/>
        <v>-5.6421535813330204E-3</v>
      </c>
      <c r="I117" s="4">
        <f ca="1"/>
        <v>-9.0334236675700952E-3</v>
      </c>
      <c r="J117" s="4">
        <f ca="1"/>
        <v>2.6106696935300544E-2</v>
      </c>
      <c r="K117" s="4">
        <f ca="1"/>
        <v>1.1850533807829189E-2</v>
      </c>
      <c r="L117" s="4">
        <f ca="1"/>
        <v>-1.0755579456842579E-3</v>
      </c>
      <c r="M117" s="4">
        <f ca="1"/>
        <v>-9.307807990895367E-3</v>
      </c>
      <c r="N117" s="4">
        <f ca="1"/>
        <v>-1.7204956769824031E-3</v>
      </c>
      <c r="O117" s="4">
        <f ca="1"/>
        <v>-3.4809358050676975E-3</v>
      </c>
      <c r="P117" s="4">
        <f ca="1"/>
        <v>-1.2502556013203603E-2</v>
      </c>
    </row>
    <row r="118" spans="1:16" x14ac:dyDescent="0.25">
      <c r="A118" vm="1808">
        <f ca="1"/>
        <v>45098</v>
      </c>
      <c r="B118" s="4">
        <f ca="1"/>
        <v>6.4542154094391346E-3</v>
      </c>
      <c r="C118" s="4">
        <f ca="1"/>
        <v>8.9330439138419759E-3</v>
      </c>
      <c r="D118" s="4">
        <f ca="1"/>
        <v>2.7750571335292129E-3</v>
      </c>
      <c r="E118" s="4">
        <f ca="1"/>
        <v>-7.1164380354885592E-3</v>
      </c>
      <c r="F118" s="4">
        <f ca="1"/>
        <v>8.6393088552916275E-3</v>
      </c>
      <c r="G118" s="4">
        <f ca="1"/>
        <v>-1.5019115237575043E-2</v>
      </c>
      <c r="H118" s="4">
        <f ca="1"/>
        <v>-2.2504327755337616E-2</v>
      </c>
      <c r="I118" s="4">
        <f ca="1"/>
        <v>6.6848982072320595E-3</v>
      </c>
      <c r="J118" s="4">
        <f ca="1"/>
        <v>1.7699115044247815E-2</v>
      </c>
      <c r="K118" s="4">
        <f ca="1"/>
        <v>-9.4608377589420201E-3</v>
      </c>
      <c r="L118" s="4">
        <f ca="1"/>
        <v>2.7940780619111649E-2</v>
      </c>
      <c r="M118" s="4">
        <f ca="1"/>
        <v>1.0420940346270502E-2</v>
      </c>
      <c r="N118" s="4">
        <f ca="1"/>
        <v>1.6711025786465328E-2</v>
      </c>
      <c r="O118" s="4">
        <f ca="1"/>
        <v>-2.0714865962631945E-2</v>
      </c>
      <c r="P118" s="4">
        <f ca="1"/>
        <v>-1.3282058867031488E-2</v>
      </c>
    </row>
    <row r="119" spans="1:16" x14ac:dyDescent="0.25">
      <c r="A119" vm="1823">
        <f ca="1"/>
        <v>45099</v>
      </c>
      <c r="B119" s="4">
        <f ca="1"/>
        <v>-8.6573146292585612E-3</v>
      </c>
      <c r="C119" s="4">
        <f ca="1"/>
        <v>-3.5995035167561973E-3</v>
      </c>
      <c r="D119" s="4">
        <f ca="1"/>
        <v>6.8370503011558892E-3</v>
      </c>
      <c r="E119" s="4">
        <f ca="1"/>
        <v>7.5446786438448932E-4</v>
      </c>
      <c r="F119" s="4">
        <f ca="1"/>
        <v>3.4127408993576136E-3</v>
      </c>
      <c r="G119" s="4">
        <f ca="1"/>
        <v>0</v>
      </c>
      <c r="H119" s="4">
        <f ca="1"/>
        <v>1.4659582841400898E-2</v>
      </c>
      <c r="I119" s="4">
        <f ca="1"/>
        <v>-6.0368246302455741E-4</v>
      </c>
      <c r="J119" s="4">
        <f ca="1"/>
        <v>2.0652173913043637E-2</v>
      </c>
      <c r="K119" s="4">
        <f ca="1"/>
        <v>1.1504047720494182E-2</v>
      </c>
      <c r="L119" s="4">
        <f ca="1"/>
        <v>-8.5367131035927191E-3</v>
      </c>
      <c r="M119" s="4">
        <f ca="1"/>
        <v>-4.1010232255968004E-3</v>
      </c>
      <c r="N119" s="4">
        <f ca="1"/>
        <v>-5.6003776499871094E-3</v>
      </c>
      <c r="O119" s="4">
        <f ca="1"/>
        <v>2.1567814184985545E-2</v>
      </c>
      <c r="P119" s="4">
        <f ca="1"/>
        <v>1.8437462525482617E-2</v>
      </c>
    </row>
    <row r="120" spans="1:16" x14ac:dyDescent="0.25">
      <c r="A120" vm="1836">
        <f ca="1"/>
        <v>45100</v>
      </c>
      <c r="B120" s="4">
        <f ca="1"/>
        <v>-2.398857173661062E-3</v>
      </c>
      <c r="C120" s="4">
        <f ca="1"/>
        <v>3.4464144832453414E-3</v>
      </c>
      <c r="D120" s="4">
        <f ca="1"/>
        <v>-1.0509296685529468E-2</v>
      </c>
      <c r="E120" s="4">
        <f ca="1"/>
        <v>-6.6908542618856481E-3</v>
      </c>
      <c r="F120" s="4">
        <f ca="1"/>
        <v>-9.9366455485160321E-3</v>
      </c>
      <c r="G120" s="4">
        <f ca="1"/>
        <v>-4.4358192403660679E-3</v>
      </c>
      <c r="H120" s="4">
        <f ca="1"/>
        <v>-1.1829729467662142E-2</v>
      </c>
      <c r="I120" s="4">
        <f ca="1"/>
        <v>-1.1174871639987871E-2</v>
      </c>
      <c r="J120" s="4">
        <f ca="1"/>
        <v>-6.123535676251346E-2</v>
      </c>
      <c r="K120" s="4">
        <f ca="1"/>
        <v>1.3514462229710755E-2</v>
      </c>
      <c r="L120" s="4">
        <f ca="1"/>
        <v>-1.4262321060694028E-2</v>
      </c>
      <c r="M120" s="4">
        <f ca="1"/>
        <v>-1.1782933094141246E-2</v>
      </c>
      <c r="N120" s="4">
        <f ca="1"/>
        <v>-8.7823403750296736E-3</v>
      </c>
      <c r="O120" s="4">
        <f ca="1"/>
        <v>-6.577344701583443E-3</v>
      </c>
      <c r="P120" s="4">
        <f ca="1"/>
        <v>-1.3805893261899849E-2</v>
      </c>
    </row>
    <row r="121" spans="1:16" x14ac:dyDescent="0.25">
      <c r="A121" vm="1851">
        <f ca="1"/>
        <v>45103</v>
      </c>
      <c r="B121" s="4">
        <f ca="1"/>
        <v>1.4454771425483681E-2</v>
      </c>
      <c r="C121" s="4">
        <f ca="1"/>
        <v>-2.4414466605975349E-3</v>
      </c>
      <c r="D121" s="4">
        <f ca="1"/>
        <v>3.2679738562091387E-4</v>
      </c>
      <c r="E121" s="4">
        <f ca="1"/>
        <v>5.6448935060007255E-3</v>
      </c>
      <c r="F121" s="4">
        <f ca="1"/>
        <v>1.0103731644888203E-3</v>
      </c>
      <c r="G121" s="4">
        <f ca="1"/>
        <v>-1.0025062656641603E-2</v>
      </c>
      <c r="H121" s="4">
        <f ca="1"/>
        <v>-1.7662643508978504E-2</v>
      </c>
      <c r="I121" s="4">
        <f ca="1"/>
        <v>1.1301160659743292E-2</v>
      </c>
      <c r="J121" s="4">
        <f ca="1"/>
        <v>1.418037436188313E-2</v>
      </c>
      <c r="K121" s="4">
        <f ca="1"/>
        <v>-3.5534928826238987E-2</v>
      </c>
      <c r="L121" s="4">
        <f ca="1"/>
        <v>2.0899201543325585E-2</v>
      </c>
      <c r="M121" s="4">
        <f ca="1"/>
        <v>1.650301179965119E-4</v>
      </c>
      <c r="N121" s="4">
        <f ca="1"/>
        <v>-1.4280738418669503E-2</v>
      </c>
      <c r="O121" s="4">
        <f ca="1"/>
        <v>-3.2695765898316131E-2</v>
      </c>
      <c r="P121" s="4">
        <f ca="1"/>
        <v>-1.9163035042683907E-2</v>
      </c>
    </row>
    <row r="122" spans="1:16" x14ac:dyDescent="0.25">
      <c r="A122" vm="1865">
        <f ca="1"/>
        <v>45104</v>
      </c>
      <c r="B122" s="4">
        <f ca="1"/>
        <v>1.2570911124723638E-2</v>
      </c>
      <c r="C122" s="4">
        <f ca="1"/>
        <v>2.7917202472311109E-2</v>
      </c>
      <c r="D122" s="4">
        <f ca="1"/>
        <v>-2.123489055864014E-3</v>
      </c>
      <c r="E122" s="4">
        <f ca="1"/>
        <v>2.2735849056603641E-2</v>
      </c>
      <c r="F122" s="4">
        <f ca="1"/>
        <v>9.4879214050198613E-3</v>
      </c>
      <c r="G122" s="4">
        <f ca="1"/>
        <v>8.438818565401629E-4</v>
      </c>
      <c r="H122" s="4">
        <f ca="1"/>
        <v>1.9678353810808069E-2</v>
      </c>
      <c r="I122" s="4">
        <f ca="1"/>
        <v>1.0872848082150499E-2</v>
      </c>
      <c r="J122" s="4">
        <f ca="1"/>
        <v>6.487695749440725E-2</v>
      </c>
      <c r="K122" s="4">
        <f ca="1"/>
        <v>3.0811218443638433E-2</v>
      </c>
      <c r="L122" s="4">
        <f ca="1"/>
        <v>2.1783633405070724E-2</v>
      </c>
      <c r="M122" s="4">
        <f ca="1"/>
        <v>1.8851579902648297E-2</v>
      </c>
      <c r="N122" s="4">
        <f ca="1"/>
        <v>7.7296819787986415E-4</v>
      </c>
      <c r="O122" s="4">
        <f ca="1"/>
        <v>-8.4502281561649184E-5</v>
      </c>
      <c r="P122" s="4">
        <f ca="1"/>
        <v>1.8167985392574471E-2</v>
      </c>
    </row>
    <row r="123" spans="1:16" x14ac:dyDescent="0.25">
      <c r="A123" vm="1880">
        <f ca="1"/>
        <v>45105</v>
      </c>
      <c r="B123" s="4">
        <f ca="1"/>
        <v>5.9443962229410729E-3</v>
      </c>
      <c r="C123" s="4">
        <f ca="1"/>
        <v>2.1388216303470653E-3</v>
      </c>
      <c r="D123" s="4">
        <f ca="1"/>
        <v>-9.3304959895236239E-3</v>
      </c>
      <c r="E123" s="4">
        <f ca="1"/>
        <v>3.2284844571539573E-4</v>
      </c>
      <c r="F123" s="4">
        <f ca="1"/>
        <v>-1.9997333688837049E-4</v>
      </c>
      <c r="G123" s="4">
        <f ca="1"/>
        <v>-1.5739179314221308E-2</v>
      </c>
      <c r="H123" s="4">
        <f ca="1"/>
        <v>-1.1363636363636354E-2</v>
      </c>
      <c r="I123" s="4">
        <f ca="1"/>
        <v>3.5853002688976954E-3</v>
      </c>
      <c r="J123" s="4">
        <f ca="1"/>
        <v>-1.9432773109243517E-2</v>
      </c>
      <c r="K123" s="4">
        <f ca="1"/>
        <v>-6.1313360041804765E-3</v>
      </c>
      <c r="L123" s="4">
        <f ca="1"/>
        <v>-4.828932497688232E-3</v>
      </c>
      <c r="M123" s="4">
        <f ca="1"/>
        <v>-8.502368516943859E-4</v>
      </c>
      <c r="N123" s="4">
        <f ca="1"/>
        <v>-7.7016440472248426E-3</v>
      </c>
      <c r="O123" s="4">
        <f ca="1"/>
        <v>1.5634243218118904E-2</v>
      </c>
      <c r="P123" s="4">
        <f ca="1"/>
        <v>3.8258062587799291E-3</v>
      </c>
    </row>
    <row r="124" spans="1:16" x14ac:dyDescent="0.25">
      <c r="A124" vm="1896">
        <f ca="1"/>
        <v>45106</v>
      </c>
      <c r="B124" s="4">
        <f ca="1"/>
        <v>1.1243299777748739E-2</v>
      </c>
      <c r="C124" s="4">
        <f ca="1"/>
        <v>2.9476905730278169E-2</v>
      </c>
      <c r="D124" s="4">
        <f ca="1"/>
        <v>-8.2617316589557177E-3</v>
      </c>
      <c r="E124" s="4">
        <f ca="1"/>
        <v>1.890359168241984E-2</v>
      </c>
      <c r="F124" s="4">
        <f ca="1"/>
        <v>-4.0669377958530983E-3</v>
      </c>
      <c r="G124" s="4">
        <f ca="1"/>
        <v>0</v>
      </c>
      <c r="H124" s="4">
        <f ca="1"/>
        <v>-2.7744748315498002E-3</v>
      </c>
      <c r="I124" s="4">
        <f ca="1"/>
        <v>8.335814230425509E-3</v>
      </c>
      <c r="J124" s="4">
        <f ca="1"/>
        <v>1.3926084627744917E-2</v>
      </c>
      <c r="K124" s="4">
        <f ca="1"/>
        <v>-1.3179571663921141E-2</v>
      </c>
      <c r="L124" s="4">
        <f ca="1"/>
        <v>5.8331612636794983E-3</v>
      </c>
      <c r="M124" s="4">
        <f ca="1"/>
        <v>2.8365345652003882E-4</v>
      </c>
      <c r="N124" s="4">
        <f ca="1"/>
        <v>1.7301961482008466E-2</v>
      </c>
      <c r="O124" s="4">
        <f ca="1"/>
        <v>-8.9865202196706129E-3</v>
      </c>
      <c r="P124" s="4">
        <f ca="1"/>
        <v>-2.3820157808546183E-3</v>
      </c>
    </row>
    <row r="125" spans="1:16" x14ac:dyDescent="0.25">
      <c r="A125" vm="1909">
        <f ca="1"/>
        <v>45107</v>
      </c>
      <c r="B125" s="4">
        <f ca="1"/>
        <v>8.5067873303168451E-3</v>
      </c>
      <c r="C125" s="4">
        <f ca="1"/>
        <v>3.4422061412084926E-3</v>
      </c>
      <c r="D125" s="4">
        <f ca="1"/>
        <v>3.3322225924690141E-3</v>
      </c>
      <c r="E125" s="4">
        <f ca="1"/>
        <v>1.8055115616091078E-2</v>
      </c>
      <c r="F125" s="4">
        <f ca="1"/>
        <v>1.5798634355335572E-2</v>
      </c>
      <c r="G125" s="4">
        <f ca="1"/>
        <v>1.3706453455168299E-2</v>
      </c>
      <c r="H125" s="4">
        <f ca="1"/>
        <v>2.782193958664525E-3</v>
      </c>
      <c r="I125" s="4">
        <f ca="1"/>
        <v>6.7906702096252047E-3</v>
      </c>
      <c r="J125" s="4">
        <f ca="1"/>
        <v>3.6978341257263292E-3</v>
      </c>
      <c r="K125" s="4">
        <f ca="1"/>
        <v>1.9358505310268947E-2</v>
      </c>
      <c r="L125" s="4">
        <f ca="1"/>
        <v>8.2114447010521729E-3</v>
      </c>
      <c r="M125" s="4">
        <f ca="1"/>
        <v>-2.9167510633988369E-3</v>
      </c>
      <c r="N125" s="4">
        <f ca="1"/>
        <v>6.4270724029380499E-3</v>
      </c>
      <c r="O125" s="4">
        <f ca="1"/>
        <v>5.0377833753150192E-3</v>
      </c>
      <c r="P125" s="4">
        <f ca="1"/>
        <v>1.6385614087449651E-2</v>
      </c>
    </row>
    <row r="126" spans="1:16" x14ac:dyDescent="0.25">
      <c r="A126" vm="1922">
        <f ca="1"/>
        <v>45110</v>
      </c>
      <c r="B126" s="4">
        <f ca="1"/>
        <v>2.4869244180083516E-3</v>
      </c>
      <c r="C126" s="4">
        <f ca="1"/>
        <v>5.3405059837057234E-3</v>
      </c>
      <c r="D126" s="4">
        <f ca="1"/>
        <v>5.9780803719693409E-3</v>
      </c>
      <c r="E126" s="4">
        <f ca="1"/>
        <v>-2.5957862921148545E-2</v>
      </c>
      <c r="F126" s="4">
        <f ca="1"/>
        <v>5.0085672861472919E-3</v>
      </c>
      <c r="G126" s="4">
        <f ca="1"/>
        <v>8.7323943661972159E-3</v>
      </c>
      <c r="H126" s="4">
        <f ca="1"/>
        <v>2.2096710265556929E-2</v>
      </c>
      <c r="I126" s="4">
        <f ca="1"/>
        <v>7.0381231671554634E-3</v>
      </c>
      <c r="J126" s="4">
        <f ca="1"/>
        <v>5.7894736842105665E-3</v>
      </c>
      <c r="K126" s="4">
        <f ca="1"/>
        <v>-3.3451808488397239E-3</v>
      </c>
      <c r="L126" s="4">
        <f ca="1"/>
        <v>-3.7668617968947826E-3</v>
      </c>
      <c r="M126" s="4">
        <f ca="1"/>
        <v>5.4442774143745876E-3</v>
      </c>
      <c r="N126" s="4">
        <f ca="1"/>
        <v>4.7786611060427475E-3</v>
      </c>
      <c r="O126" s="4">
        <f ca="1"/>
        <v>1.6708437761070449E-3</v>
      </c>
      <c r="P126" s="4">
        <f ca="1"/>
        <v>-7.488107123979626E-3</v>
      </c>
    </row>
    <row r="127" spans="1:16" x14ac:dyDescent="0.25">
      <c r="A127" vm="1938">
        <f ca="1"/>
        <v>45112</v>
      </c>
      <c r="B127" s="4">
        <f ca="1"/>
        <v>-2.0869031482570688E-2</v>
      </c>
      <c r="C127" s="4">
        <f ca="1"/>
        <v>-7.1345482745248656E-3</v>
      </c>
      <c r="D127" s="4">
        <f ca="1"/>
        <v>7.4281941234730642E-3</v>
      </c>
      <c r="E127" s="4">
        <f ca="1"/>
        <v>-1.0039244318700291E-3</v>
      </c>
      <c r="F127" s="4">
        <f ca="1"/>
        <v>-1.7049180327868285E-3</v>
      </c>
      <c r="G127" s="4">
        <f ca="1"/>
        <v>1.1170064227870036E-3</v>
      </c>
      <c r="H127" s="4">
        <f ca="1"/>
        <v>-2.0940378090160028E-2</v>
      </c>
      <c r="I127" s="4">
        <f ca="1"/>
        <v>-1.3686662783925607E-2</v>
      </c>
      <c r="J127" s="4">
        <f ca="1"/>
        <v>-2.8780743066457393E-2</v>
      </c>
      <c r="K127" s="4">
        <f ca="1"/>
        <v>2.9193762673938917E-2</v>
      </c>
      <c r="L127" s="4">
        <f ca="1"/>
        <v>-2.86137652649332E-3</v>
      </c>
      <c r="M127" s="4">
        <f ca="1"/>
        <v>1.4264355275386942E-2</v>
      </c>
      <c r="N127" s="4">
        <f ca="1"/>
        <v>3.8912188162054662E-4</v>
      </c>
      <c r="O127" s="4">
        <f ca="1"/>
        <v>1.5429524603836509E-2</v>
      </c>
      <c r="P127" s="4">
        <f ca="1"/>
        <v>4.7338678659114564E-4</v>
      </c>
    </row>
    <row r="128" spans="1:16" x14ac:dyDescent="0.25">
      <c r="A128" vm="1953">
        <f ca="1"/>
        <v>45113</v>
      </c>
      <c r="B128" s="4">
        <f ca="1"/>
        <v>-1.0160637325323352E-2</v>
      </c>
      <c r="C128" s="4">
        <f ca="1"/>
        <v>-1.5269858626884347E-2</v>
      </c>
      <c r="D128" s="4">
        <f ca="1"/>
        <v>-7.7011305915123396E-3</v>
      </c>
      <c r="E128" s="4">
        <f ca="1"/>
        <v>-2.146902978256926E-3</v>
      </c>
      <c r="F128" s="4">
        <f ca="1"/>
        <v>-1.6421439831844076E-3</v>
      </c>
      <c r="G128" s="4">
        <f ca="1"/>
        <v>-5.2998605299862112E-3</v>
      </c>
      <c r="H128" s="4">
        <f ca="1"/>
        <v>-1.5645113377562136E-2</v>
      </c>
      <c r="I128" s="4">
        <f ca="1"/>
        <v>-1.2105107764983636E-2</v>
      </c>
      <c r="J128" s="4">
        <f ca="1"/>
        <v>-2.3168103448275801E-2</v>
      </c>
      <c r="K128" s="4">
        <f ca="1"/>
        <v>-8.08506301593237E-3</v>
      </c>
      <c r="L128" s="4">
        <f ca="1"/>
        <v>-1.3425570074301896E-2</v>
      </c>
      <c r="M128" s="4">
        <f ca="1"/>
        <v>6.3346613545816055E-3</v>
      </c>
      <c r="N128" s="4">
        <f ca="1"/>
        <v>-2.4202610424409743E-3</v>
      </c>
      <c r="O128" s="4">
        <f ca="1"/>
        <v>-1.3470225872689978E-2</v>
      </c>
      <c r="P128" s="4">
        <f ca="1"/>
        <v>9.2266745527131988E-3</v>
      </c>
    </row>
    <row r="129" spans="1:16" x14ac:dyDescent="0.25">
      <c r="A129" vm="1969">
        <f ca="1"/>
        <v>45114</v>
      </c>
      <c r="B129" s="4">
        <f ca="1"/>
        <v>1.3748152839349936E-2</v>
      </c>
      <c r="C129" s="4">
        <f ca="1"/>
        <v>2.0107079119571658E-2</v>
      </c>
      <c r="D129" s="4">
        <f ca="1"/>
        <v>-1.3210039630118908E-2</v>
      </c>
      <c r="E129" s="4">
        <f ca="1"/>
        <v>-2.7466239414053462E-3</v>
      </c>
      <c r="F129" s="4">
        <f ca="1"/>
        <v>-2.0988222909401943E-2</v>
      </c>
      <c r="G129" s="4">
        <f ca="1"/>
        <v>-5.6085249579359564E-3</v>
      </c>
      <c r="H129" s="4">
        <f ca="1"/>
        <v>8.2486671361030606E-3</v>
      </c>
      <c r="I129" s="4">
        <f ca="1"/>
        <v>-4.7818290496115523E-3</v>
      </c>
      <c r="J129" s="4">
        <f ca="1"/>
        <v>2.7578599007170412E-2</v>
      </c>
      <c r="K129" s="4">
        <f ca="1"/>
        <v>-5.0001712387411912E-3</v>
      </c>
      <c r="L129" s="4">
        <f ca="1"/>
        <v>5.5575754427881208E-3</v>
      </c>
      <c r="M129" s="4">
        <f ca="1"/>
        <v>3.5630864246407601E-3</v>
      </c>
      <c r="N129" s="4">
        <f ca="1"/>
        <v>-6.3469370071917997E-3</v>
      </c>
      <c r="O129" s="4">
        <f ca="1"/>
        <v>-5.245191907418123E-3</v>
      </c>
      <c r="P129" s="4">
        <f ca="1"/>
        <v>-1.1867436340727178E-2</v>
      </c>
    </row>
    <row r="130" spans="1:16" x14ac:dyDescent="0.25">
      <c r="A130" vm="1985">
        <f ca="1"/>
        <v>45117</v>
      </c>
      <c r="B130" s="4">
        <f ca="1"/>
        <v>2.2047531040945367E-2</v>
      </c>
      <c r="C130" s="4">
        <f ca="1"/>
        <v>1.2401835005054096E-2</v>
      </c>
      <c r="D130" s="4">
        <f ca="1"/>
        <v>-7.5301204819276935E-3</v>
      </c>
      <c r="E130" s="4">
        <f ca="1"/>
        <v>2.3869635070002282E-2</v>
      </c>
      <c r="F130" s="4">
        <f ca="1"/>
        <v>4.0322580645169026E-4</v>
      </c>
      <c r="G130" s="4">
        <f ca="1"/>
        <v>-1.6920473773266442E-3</v>
      </c>
      <c r="H130" s="4">
        <f ca="1"/>
        <v>-4.5894442781603262E-3</v>
      </c>
      <c r="I130" s="4">
        <f ca="1"/>
        <v>9.3093093093092882E-3</v>
      </c>
      <c r="J130" s="4">
        <f ca="1"/>
        <v>-1.0198604401502775E-2</v>
      </c>
      <c r="K130" s="4">
        <f ca="1"/>
        <v>1.2287887653598784E-2</v>
      </c>
      <c r="L130" s="4">
        <f ca="1"/>
        <v>3.1973140495867858E-2</v>
      </c>
      <c r="M130" s="4">
        <f ca="1"/>
        <v>-6.9825239654424109E-3</v>
      </c>
      <c r="N130" s="4">
        <f ca="1"/>
        <v>3.6406444158618712E-3</v>
      </c>
      <c r="O130" s="4">
        <f ca="1"/>
        <v>-2.5359892869099454E-2</v>
      </c>
      <c r="P130" s="4">
        <f ca="1"/>
        <v>-1.5983630864124465E-2</v>
      </c>
    </row>
    <row r="131" spans="1:16" x14ac:dyDescent="0.25">
      <c r="A131" vm="2000">
        <f ca="1"/>
        <v>45118</v>
      </c>
      <c r="B131" s="4">
        <f ca="1"/>
        <v>1.5433985330073341E-2</v>
      </c>
      <c r="C131" s="4">
        <f ca="1"/>
        <v>7.1809838331859943E-3</v>
      </c>
      <c r="D131" s="4">
        <f ca="1"/>
        <v>3.5407182599898057E-3</v>
      </c>
      <c r="E131" s="4">
        <f ca="1"/>
        <v>4.2591347231561993E-3</v>
      </c>
      <c r="F131" s="4">
        <f ca="1"/>
        <v>-5.2398226521563895E-3</v>
      </c>
      <c r="G131" s="4">
        <f ca="1"/>
        <v>6.497175141243039E-3</v>
      </c>
      <c r="H131" s="4">
        <f ca="1"/>
        <v>1.4934349002706293E-2</v>
      </c>
      <c r="I131" s="4">
        <f ca="1"/>
        <v>4.7604879500149355E-3</v>
      </c>
      <c r="J131" s="4">
        <f ca="1"/>
        <v>1.6268980477223138E-3</v>
      </c>
      <c r="K131" s="4">
        <f ca="1"/>
        <v>1.4246854811288623E-2</v>
      </c>
      <c r="L131" s="4">
        <f ca="1"/>
        <v>8.0084088292697864E-4</v>
      </c>
      <c r="M131" s="4">
        <f ca="1"/>
        <v>2.9795010328936833E-3</v>
      </c>
      <c r="N131" s="4">
        <f ca="1"/>
        <v>1.2837221425778811E-2</v>
      </c>
      <c r="O131" s="4">
        <f ca="1"/>
        <v>5.9252898239587903E-3</v>
      </c>
      <c r="P131" s="4">
        <f ca="1"/>
        <v>1.9286984299191623E-3</v>
      </c>
    </row>
    <row r="132" spans="1:16" x14ac:dyDescent="0.25">
      <c r="A132" vm="2015">
        <f ca="1"/>
        <v>45119</v>
      </c>
      <c r="B132" s="4">
        <f ca="1"/>
        <v>-4.0381239026837656E-3</v>
      </c>
      <c r="C132" s="4">
        <f ca="1"/>
        <v>6.5197498856186531E-3</v>
      </c>
      <c r="D132" s="4">
        <f ca="1"/>
        <v>5.3763440860215006E-3</v>
      </c>
      <c r="E132" s="4">
        <f ca="1"/>
        <v>1.2053571428571441E-2</v>
      </c>
      <c r="F132" s="4">
        <f ca="1"/>
        <v>5.1998919502969088E-3</v>
      </c>
      <c r="G132" s="4">
        <f ca="1"/>
        <v>3.6486107213020702E-3</v>
      </c>
      <c r="H132" s="4">
        <f ca="1"/>
        <v>2.6071499111198992E-2</v>
      </c>
      <c r="I132" s="4">
        <f ca="1"/>
        <v>-7.1068996150429609E-3</v>
      </c>
      <c r="J132" s="4">
        <f ca="1"/>
        <v>2.8153762858689646E-2</v>
      </c>
      <c r="K132" s="4">
        <f ca="1"/>
        <v>3.7044486908712759E-2</v>
      </c>
      <c r="L132" s="4">
        <f ca="1"/>
        <v>-7.6019004751186614E-3</v>
      </c>
      <c r="M132" s="4">
        <f ca="1"/>
        <v>-6.2185606210638511E-3</v>
      </c>
      <c r="N132" s="4">
        <f ca="1"/>
        <v>-9.286066610907473E-3</v>
      </c>
      <c r="O132" s="4">
        <f ca="1"/>
        <v>1.5280860508792848E-2</v>
      </c>
      <c r="P132" s="4">
        <f ca="1"/>
        <v>1.4226847535115938E-2</v>
      </c>
    </row>
    <row r="133" spans="1:16" x14ac:dyDescent="0.25">
      <c r="A133" vm="2030">
        <f ca="1"/>
        <v>45120</v>
      </c>
      <c r="B133" s="4">
        <f ca="1"/>
        <v>3.9537636304114443E-3</v>
      </c>
      <c r="C133" s="4">
        <f ca="1"/>
        <v>1.6705178226447792E-2</v>
      </c>
      <c r="D133" s="4">
        <f ca="1"/>
        <v>8.5227272727272929E-3</v>
      </c>
      <c r="E133" s="4">
        <f ca="1"/>
        <v>8.9986766651963812E-3</v>
      </c>
      <c r="F133" s="4">
        <f ca="1"/>
        <v>6.7181726570364475E-4</v>
      </c>
      <c r="G133" s="4">
        <f ca="1"/>
        <v>-3.3557046979865168E-3</v>
      </c>
      <c r="H133" s="4">
        <f ca="1"/>
        <v>1.6073147256977727E-2</v>
      </c>
      <c r="I133" s="4">
        <f ca="1"/>
        <v>5.6665672532059119E-3</v>
      </c>
      <c r="J133" s="4">
        <f ca="1"/>
        <v>-5.2659294365442477E-4</v>
      </c>
      <c r="K133" s="4">
        <f ca="1"/>
        <v>1.3157044029223686E-2</v>
      </c>
      <c r="L133" s="4">
        <f ca="1"/>
        <v>-8.0632968805116612E-4</v>
      </c>
      <c r="M133" s="4">
        <f ca="1"/>
        <v>7.3734555599840323E-3</v>
      </c>
      <c r="N133" s="4">
        <f ca="1"/>
        <v>9.5679279591307509E-3</v>
      </c>
      <c r="O133" s="4">
        <f ca="1"/>
        <v>4.7170604557302598E-2</v>
      </c>
      <c r="P133" s="4">
        <f ca="1"/>
        <v>1.6192170818505547E-2</v>
      </c>
    </row>
    <row r="134" spans="1:16" x14ac:dyDescent="0.25">
      <c r="A134" vm="2044">
        <f ca="1"/>
        <v>45121</v>
      </c>
      <c r="B134" s="4">
        <f ca="1"/>
        <v>-6.1706717503637876E-3</v>
      </c>
      <c r="C134" s="4">
        <f ca="1"/>
        <v>-5.3278688524588391E-3</v>
      </c>
      <c r="D134" s="4">
        <f ca="1"/>
        <v>9.1135045567523054E-3</v>
      </c>
      <c r="E134" s="4">
        <f ca="1"/>
        <v>1.486403777214429E-3</v>
      </c>
      <c r="F134" s="4">
        <f ca="1"/>
        <v>7.3850285330649967E-3</v>
      </c>
      <c r="G134" s="4">
        <f ca="1"/>
        <v>5.8922558922558377E-3</v>
      </c>
      <c r="H134" s="4">
        <f ca="1"/>
        <v>-4.0731268352750538E-3</v>
      </c>
      <c r="I134" s="4">
        <f ca="1"/>
        <v>-2.6690391459073259E-3</v>
      </c>
      <c r="J134" s="4">
        <f ca="1"/>
        <v>-4.689146469968386E-2</v>
      </c>
      <c r="K134" s="4">
        <f ca="1"/>
        <v>-1.4485817300022408E-2</v>
      </c>
      <c r="L134" s="4">
        <f ca="1"/>
        <v>-1.0793362586372202E-2</v>
      </c>
      <c r="M134" s="4">
        <f ca="1"/>
        <v>1.0761622156280959E-2</v>
      </c>
      <c r="N134" s="4">
        <f ca="1"/>
        <v>-4.4384407564647121E-3</v>
      </c>
      <c r="O134" s="4">
        <f ca="1"/>
        <v>7.0660028906375238E-3</v>
      </c>
      <c r="P134" s="4">
        <f ca="1"/>
        <v>7.5293293643845516E-3</v>
      </c>
    </row>
    <row r="135" spans="1:16" x14ac:dyDescent="0.25">
      <c r="A135" vm="2058">
        <f ca="1"/>
        <v>45124</v>
      </c>
      <c r="B135" s="4">
        <f ca="1"/>
        <v>1.1988894497728442E-2</v>
      </c>
      <c r="C135" s="4">
        <f ca="1"/>
        <v>6.6299584222946351E-3</v>
      </c>
      <c r="D135" s="4">
        <f ca="1"/>
        <v>-1.477832512315258E-3</v>
      </c>
      <c r="E135" s="4">
        <f ca="1"/>
        <v>-3.1866596822072157E-3</v>
      </c>
      <c r="F135" s="4">
        <f ca="1"/>
        <v>-7.0643118960346252E-3</v>
      </c>
      <c r="G135" s="4">
        <f ca="1"/>
        <v>-9.4839609483962084E-3</v>
      </c>
      <c r="H135" s="4">
        <f ca="1"/>
        <v>-3.3288948069239988E-3</v>
      </c>
      <c r="I135" s="4">
        <f ca="1"/>
        <v>-1.2191495688373633E-2</v>
      </c>
      <c r="J135" s="4">
        <f ca="1"/>
        <v>3.814262023217263E-2</v>
      </c>
      <c r="K135" s="4">
        <f ca="1"/>
        <v>5.6658140965455406E-3</v>
      </c>
      <c r="L135" s="4">
        <f ca="1"/>
        <v>1.621373578748786E-2</v>
      </c>
      <c r="M135" s="4">
        <f ca="1"/>
        <v>-3.5620620816534387E-3</v>
      </c>
      <c r="N135" s="4">
        <f ca="1"/>
        <v>1.2190131593116771E-2</v>
      </c>
      <c r="O135" s="4">
        <f ca="1"/>
        <v>-6.1393717110508339E-3</v>
      </c>
      <c r="P135" s="4">
        <f ca="1"/>
        <v>1.4193025141930882E-3</v>
      </c>
    </row>
    <row r="136" spans="1:16" x14ac:dyDescent="0.25">
      <c r="A136" vm="2072">
        <f ca="1"/>
        <v>45125</v>
      </c>
      <c r="B136" s="4">
        <f ca="1"/>
        <v>1.8979922683626471E-2</v>
      </c>
      <c r="C136" s="4">
        <f ca="1"/>
        <v>1.9721664061917998E-3</v>
      </c>
      <c r="D136" s="4">
        <f ca="1"/>
        <v>-3.9467192895905612E-3</v>
      </c>
      <c r="E136" s="4">
        <f ca="1"/>
        <v>-6.1309393474928697E-3</v>
      </c>
      <c r="F136" s="4">
        <f ca="1"/>
        <v>1.8793207597824768E-3</v>
      </c>
      <c r="G136" s="4">
        <f ca="1"/>
        <v>0</v>
      </c>
      <c r="H136" s="4">
        <f ca="1"/>
        <v>-1.5650348315679019E-2</v>
      </c>
      <c r="I136" s="4">
        <f ca="1"/>
        <v>1.5954244431065634E-2</v>
      </c>
      <c r="J136" s="4">
        <f ca="1"/>
        <v>1.2779552715654896E-2</v>
      </c>
      <c r="K136" s="4">
        <f ca="1"/>
        <v>4.6036958341382217E-3</v>
      </c>
      <c r="L136" s="4">
        <f ca="1"/>
        <v>1.5051929155587285E-3</v>
      </c>
      <c r="M136" s="4">
        <f ca="1"/>
        <v>-9.0351979886860168E-4</v>
      </c>
      <c r="N136" s="4">
        <f ca="1"/>
        <v>-3.0363640232355382E-2</v>
      </c>
      <c r="O136" s="4">
        <f ca="1"/>
        <v>-7.139991977537119E-3</v>
      </c>
      <c r="P136" s="4">
        <f ca="1"/>
        <v>3.9799843808752566E-2</v>
      </c>
    </row>
    <row r="137" spans="1:16" x14ac:dyDescent="0.25">
      <c r="A137" vm="2085">
        <f ca="1"/>
        <v>45126</v>
      </c>
      <c r="B137" s="4">
        <f ca="1"/>
        <v>-1.1944390052868625E-2</v>
      </c>
      <c r="C137" s="4">
        <f ca="1"/>
        <v>-1.5226352731457782E-3</v>
      </c>
      <c r="D137" s="4">
        <f ca="1"/>
        <v>1.7665510979032462E-2</v>
      </c>
      <c r="E137" s="4">
        <f ca="1"/>
        <v>2.1590658735404222E-3</v>
      </c>
      <c r="F137" s="4">
        <f ca="1"/>
        <v>6.8332551751857373E-3</v>
      </c>
      <c r="G137" s="4">
        <f ca="1"/>
        <v>1.7741481272880888E-2</v>
      </c>
      <c r="H137" s="4">
        <f ca="1"/>
        <v>-8.7251575375668633E-4</v>
      </c>
      <c r="I137" s="4">
        <f ca="1"/>
        <v>1.481481481481417E-3</v>
      </c>
      <c r="J137" s="4">
        <f ca="1"/>
        <v>-1.1566771819137678E-2</v>
      </c>
      <c r="K137" s="4">
        <f ca="1"/>
        <v>1.2690273994552026E-2</v>
      </c>
      <c r="L137" s="4">
        <f ca="1"/>
        <v>1.7033214768797933E-3</v>
      </c>
      <c r="M137" s="4">
        <f ca="1"/>
        <v>5.3473833208823152E-2</v>
      </c>
      <c r="N137" s="4">
        <f ca="1"/>
        <v>-9.1946456001755772E-3</v>
      </c>
      <c r="O137" s="4">
        <f ca="1"/>
        <v>-1.3978668390433158E-2</v>
      </c>
      <c r="P137" s="4">
        <f ca="1"/>
        <v>-1.2267378786614436E-2</v>
      </c>
    </row>
    <row r="138" spans="1:16" x14ac:dyDescent="0.25">
      <c r="A138" vm="2100">
        <f ca="1"/>
        <v>45127</v>
      </c>
      <c r="B138" s="4">
        <f ca="1"/>
        <v>-2.1551724137931494E-3</v>
      </c>
      <c r="C138" s="4">
        <f ca="1"/>
        <v>-4.0913486572946578E-4</v>
      </c>
      <c r="D138" s="4">
        <f ca="1"/>
        <v>1.2167423750811146E-2</v>
      </c>
      <c r="E138" s="4">
        <f ca="1"/>
        <v>1.191523039043263E-2</v>
      </c>
      <c r="F138" s="4">
        <f ca="1"/>
        <v>1.7965267150177322E-3</v>
      </c>
      <c r="G138" s="4">
        <f ca="1"/>
        <v>7.194244604316502E-3</v>
      </c>
      <c r="H138" s="4">
        <f ca="1"/>
        <v>-5.0456045022317153E-2</v>
      </c>
      <c r="I138" s="4">
        <f ca="1"/>
        <v>-2.6627218934910379E-3</v>
      </c>
      <c r="J138" s="4">
        <f ca="1"/>
        <v>2.4999999999999911E-2</v>
      </c>
      <c r="K138" s="4">
        <f ca="1"/>
        <v>-4.268852251511035E-2</v>
      </c>
      <c r="L138" s="4">
        <f ca="1"/>
        <v>1.5003750937725435E-4</v>
      </c>
      <c r="M138" s="4">
        <f ca="1"/>
        <v>4.7400440413540856E-3</v>
      </c>
      <c r="N138" s="4">
        <f ca="1"/>
        <v>9.9665566654116855E-3</v>
      </c>
      <c r="O138" s="4">
        <f ca="1"/>
        <v>-2.3191018601983138E-2</v>
      </c>
      <c r="P138" s="4">
        <f ca="1"/>
        <v>-2.3121550073222918E-2</v>
      </c>
    </row>
    <row r="139" spans="1:16" x14ac:dyDescent="0.25">
      <c r="A139" vm="2116">
        <f ca="1"/>
        <v>45128</v>
      </c>
      <c r="B139" s="4">
        <f ca="1"/>
        <v>-1.2810009681984091E-2</v>
      </c>
      <c r="C139" s="4">
        <f ca="1"/>
        <v>3.1255813953487976E-3</v>
      </c>
      <c r="D139" s="4">
        <f ca="1"/>
        <v>8.0141048244897206E-4</v>
      </c>
      <c r="E139" s="4">
        <f ca="1"/>
        <v>8.4292852487508618E-3</v>
      </c>
      <c r="F139" s="4">
        <f ca="1"/>
        <v>1.5741232731137034E-2</v>
      </c>
      <c r="G139" s="4">
        <f ca="1"/>
        <v>-2.19780219780219E-3</v>
      </c>
      <c r="H139" s="4">
        <f ca="1"/>
        <v>-6.2333946454118383E-3</v>
      </c>
      <c r="I139" s="4">
        <f ca="1"/>
        <v>-3.7080984870958122E-2</v>
      </c>
      <c r="J139" s="4">
        <f ca="1"/>
        <v>-2.6984950700570831E-2</v>
      </c>
      <c r="K139" s="4">
        <f ca="1"/>
        <v>-2.7303979902155162E-2</v>
      </c>
      <c r="L139" s="4">
        <f ca="1"/>
        <v>7.5507550755076203E-3</v>
      </c>
      <c r="M139" s="4">
        <f ca="1"/>
        <v>1.1144130757800852E-3</v>
      </c>
      <c r="N139" s="4">
        <f ca="1"/>
        <v>-2.7411679568430936E-3</v>
      </c>
      <c r="O139" s="4">
        <f ca="1"/>
        <v>6.8791946308723873E-3</v>
      </c>
      <c r="P139" s="4">
        <f ca="1"/>
        <v>-8.9370657595064795E-3</v>
      </c>
    </row>
    <row r="140" spans="1:16" x14ac:dyDescent="0.25">
      <c r="A140" vm="2132">
        <f ca="1"/>
        <v>45131</v>
      </c>
      <c r="B140" s="4">
        <f ca="1"/>
        <v>5.5325034578146415E-4</v>
      </c>
      <c r="C140" s="4">
        <f ca="1"/>
        <v>-1.0757075559182372E-2</v>
      </c>
      <c r="D140" s="4">
        <f ca="1"/>
        <v>3.2030749519540436E-4</v>
      </c>
      <c r="E140" s="4">
        <f ca="1"/>
        <v>3.4469386875768393E-4</v>
      </c>
      <c r="F140" s="4">
        <f ca="1"/>
        <v>3.2040802981754268E-3</v>
      </c>
      <c r="G140" s="4">
        <f ca="1"/>
        <v>8.2599118942727756E-4</v>
      </c>
      <c r="H140" s="4">
        <f ca="1"/>
        <v>1.0282776349614497E-2</v>
      </c>
      <c r="I140" s="4">
        <f ca="1"/>
        <v>1.848428835489857E-3</v>
      </c>
      <c r="J140" s="4">
        <f ca="1"/>
        <v>1.4399999999999968E-2</v>
      </c>
      <c r="K140" s="4">
        <f ca="1"/>
        <v>-9.0056412696254418E-3</v>
      </c>
      <c r="L140" s="4">
        <f ca="1"/>
        <v>1.1514219067943809E-2</v>
      </c>
      <c r="M140" s="4">
        <f ca="1"/>
        <v>6.5306122448978154E-3</v>
      </c>
      <c r="N140" s="4">
        <f ca="1"/>
        <v>4.4858826633829008E-3</v>
      </c>
      <c r="O140" s="4">
        <f ca="1"/>
        <v>1.2581236460589951E-2</v>
      </c>
      <c r="P140" s="4">
        <f ca="1"/>
        <v>3.8979550280711095E-3</v>
      </c>
    </row>
    <row r="141" spans="1:16" x14ac:dyDescent="0.25">
      <c r="A141" vm="2147">
        <f ca="1"/>
        <v>45132</v>
      </c>
      <c r="B141" s="4">
        <f ca="1"/>
        <v>5.5294442908482289E-4</v>
      </c>
      <c r="C141" s="4">
        <f ca="1"/>
        <v>7.8743109977876813E-3</v>
      </c>
      <c r="D141" s="4">
        <f ca="1"/>
        <v>-3.3621517771373899E-3</v>
      </c>
      <c r="E141" s="4">
        <f ca="1"/>
        <v>3.6611103932464584E-3</v>
      </c>
      <c r="F141" s="4">
        <f ca="1"/>
        <v>2.3464998044584462E-3</v>
      </c>
      <c r="G141" s="4">
        <f ca="1"/>
        <v>5.5020632737274866E-3</v>
      </c>
      <c r="H141" s="4">
        <f ca="1"/>
        <v>2.106870229007618E-2</v>
      </c>
      <c r="I141" s="4">
        <f ca="1"/>
        <v>1.9987699876998777E-2</v>
      </c>
      <c r="J141" s="4">
        <f ca="1"/>
        <v>-1.9978969505783373E-2</v>
      </c>
      <c r="K141" s="4">
        <f ca="1"/>
        <v>9.8076197661260966E-3</v>
      </c>
      <c r="L141" s="4">
        <f ca="1"/>
        <v>7.8013836416270799E-3</v>
      </c>
      <c r="M141" s="4">
        <f ca="1"/>
        <v>4.4238000442375913E-4</v>
      </c>
      <c r="N141" s="4">
        <f ca="1"/>
        <v>-5.8012259194396565E-3</v>
      </c>
      <c r="O141" s="4">
        <f ca="1"/>
        <v>5.5953262568912976E-3</v>
      </c>
      <c r="P141" s="4">
        <f ca="1"/>
        <v>1.7009069572020419E-2</v>
      </c>
    </row>
    <row r="142" spans="1:16" x14ac:dyDescent="0.25">
      <c r="A142" vm="2162">
        <f ca="1"/>
        <v>45133</v>
      </c>
      <c r="B142" s="4">
        <f ca="1"/>
        <v>-1.0876937375970175E-2</v>
      </c>
      <c r="C142" s="4">
        <f ca="1"/>
        <v>1.7150935674690171E-2</v>
      </c>
      <c r="D142" s="4">
        <f ca="1"/>
        <v>1.2851405622489986E-2</v>
      </c>
      <c r="E142" s="4">
        <f ca="1"/>
        <v>-4.9781134666552207E-3</v>
      </c>
      <c r="F142" s="4">
        <f ca="1"/>
        <v>1.0404473923786295E-3</v>
      </c>
      <c r="G142" s="4">
        <f ca="1"/>
        <v>-5.1983584131326532E-3</v>
      </c>
      <c r="H142" s="4">
        <f ca="1"/>
        <v>-9.0709728867622852E-3</v>
      </c>
      <c r="I142" s="4">
        <f ca="1"/>
        <v>-6.6324992463068222E-3</v>
      </c>
      <c r="J142" s="4">
        <f ca="1"/>
        <v>2.6287553648068673E-2</v>
      </c>
      <c r="K142" s="4">
        <f ca="1"/>
        <v>1.3923319862804151E-2</v>
      </c>
      <c r="L142" s="4">
        <f ca="1"/>
        <v>-1.3388510223953265E-2</v>
      </c>
      <c r="M142" s="4">
        <f ca="1"/>
        <v>3.0215933377550908E-3</v>
      </c>
      <c r="N142" s="4">
        <f ca="1"/>
        <v>-2.9505669932841094E-3</v>
      </c>
      <c r="O142" s="4">
        <f ca="1"/>
        <v>5.7769413304967099E-2</v>
      </c>
      <c r="P142" s="4">
        <f ca="1"/>
        <v>-3.7637472220639401E-2</v>
      </c>
    </row>
    <row r="143" spans="1:16" x14ac:dyDescent="0.25">
      <c r="A143" vm="2176">
        <f ca="1"/>
        <v>45134</v>
      </c>
      <c r="B143" s="4">
        <f ca="1"/>
        <v>9.015644047135396E-3</v>
      </c>
      <c r="C143" s="4">
        <f ca="1"/>
        <v>1.2399414776883777E-2</v>
      </c>
      <c r="D143" s="4">
        <f ca="1"/>
        <v>-9.6748612212529395E-3</v>
      </c>
      <c r="E143" s="4">
        <f ca="1"/>
        <v>-8.9709307340637423E-3</v>
      </c>
      <c r="F143" s="4">
        <f ca="1"/>
        <v>-1.1887748473431103E-2</v>
      </c>
      <c r="G143" s="4">
        <f ca="1"/>
        <v>-4.4004400440043057E-3</v>
      </c>
      <c r="H143" s="4">
        <f ca="1"/>
        <v>-6.0356100995873074E-4</v>
      </c>
      <c r="I143" s="4">
        <f ca="1"/>
        <v>2.4279210925644001E-3</v>
      </c>
      <c r="J143" s="4">
        <f ca="1"/>
        <v>-2.4568740198640859E-2</v>
      </c>
      <c r="K143" s="4">
        <f ca="1"/>
        <v>4.4009779951100114E-2</v>
      </c>
      <c r="L143" s="4">
        <f ca="1"/>
        <v>-5.0333086602517563E-3</v>
      </c>
      <c r="M143" s="4">
        <f ca="1"/>
        <v>-5.9882439382806796E-3</v>
      </c>
      <c r="N143" s="4">
        <f ca="1"/>
        <v>-9.2091605750757033E-3</v>
      </c>
      <c r="O143" s="4">
        <f ca="1"/>
        <v>1.0056470952271024E-3</v>
      </c>
      <c r="P143" s="4">
        <f ca="1"/>
        <v>-2.0872191135979934E-2</v>
      </c>
    </row>
    <row r="144" spans="1:16" x14ac:dyDescent="0.25">
      <c r="A144" vm="2190">
        <f ca="1"/>
        <v>45135</v>
      </c>
      <c r="B144" s="4">
        <f ca="1"/>
        <v>5.6882535048199401E-3</v>
      </c>
      <c r="C144" s="4">
        <f ca="1"/>
        <v>2.2760937895154321E-3</v>
      </c>
      <c r="D144" s="4">
        <f ca="1"/>
        <v>6.4061499039080871E-4</v>
      </c>
      <c r="E144" s="4">
        <f ca="1"/>
        <v>1.1315171033161597E-3</v>
      </c>
      <c r="F144" s="4">
        <f ca="1"/>
        <v>2.8269015843797041E-2</v>
      </c>
      <c r="G144" s="4">
        <f ca="1"/>
        <v>-1.1049723756907381E-3</v>
      </c>
      <c r="H144" s="4">
        <f ca="1"/>
        <v>1.5198792148968243E-2</v>
      </c>
      <c r="I144" s="4">
        <f ca="1"/>
        <v>2.331214047835295E-2</v>
      </c>
      <c r="J144" s="4">
        <f ca="1"/>
        <v>3.4297963558413747E-2</v>
      </c>
      <c r="K144" s="4">
        <f ca="1"/>
        <v>4.4175676109204254E-2</v>
      </c>
      <c r="L144" s="4">
        <f ca="1"/>
        <v>-5.7035163418142076E-3</v>
      </c>
      <c r="M144" s="4">
        <f ca="1"/>
        <v>7.1330894038510451E-3</v>
      </c>
      <c r="N144" s="4">
        <f ca="1"/>
        <v>8.0242510699002345E-4</v>
      </c>
      <c r="O144" s="4">
        <f ca="1"/>
        <v>2.4574961360123604E-2</v>
      </c>
      <c r="P144" s="4">
        <f ca="1"/>
        <v>2.3131349782293142E-2</v>
      </c>
    </row>
    <row r="145" spans="1:16" x14ac:dyDescent="0.25">
      <c r="A145" vm="2205">
        <f ca="1"/>
        <v>45138</v>
      </c>
      <c r="B145" s="4">
        <f ca="1"/>
        <v>2.6128087694271329E-2</v>
      </c>
      <c r="C145" s="4">
        <f ca="1"/>
        <v>-7.9302141157822081E-4</v>
      </c>
      <c r="D145" s="4">
        <f ca="1"/>
        <v>-8.8028169014083835E-3</v>
      </c>
      <c r="E145" s="4">
        <f ca="1"/>
        <v>-1.9518344635715446E-2</v>
      </c>
      <c r="F145" s="4">
        <f ca="1"/>
        <v>-7.0327984144225031E-4</v>
      </c>
      <c r="G145" s="4">
        <f ca="1"/>
        <v>5.5309734513286912E-4</v>
      </c>
      <c r="H145" s="4">
        <f ca="1"/>
        <v>-1.6954193932183115E-2</v>
      </c>
      <c r="I145" s="4">
        <f ca="1"/>
        <v>-1.4201183431952535E-2</v>
      </c>
      <c r="J145" s="4">
        <f ca="1"/>
        <v>-1.5544041450777923E-3</v>
      </c>
      <c r="K145" s="4">
        <f ca="1"/>
        <v>-2.11380115521691E-2</v>
      </c>
      <c r="L145" s="4">
        <f ca="1"/>
        <v>5.68635275339191E-3</v>
      </c>
      <c r="M145" s="4">
        <f ca="1"/>
        <v>1.1009174311926717E-3</v>
      </c>
      <c r="N145" s="4">
        <f ca="1"/>
        <v>-5.8574610244989112E-3</v>
      </c>
      <c r="O145" s="4">
        <f ca="1"/>
        <v>1.0559662090812161E-3</v>
      </c>
      <c r="P145" s="4">
        <f ca="1"/>
        <v>-7.2405946153618617E-3</v>
      </c>
    </row>
    <row r="146" spans="1:16" x14ac:dyDescent="0.25">
      <c r="A146" vm="2220">
        <f ca="1"/>
        <v>45139</v>
      </c>
      <c r="B146" s="4">
        <f ca="1"/>
        <v>1.0146093997707384E-2</v>
      </c>
      <c r="C146" s="4">
        <f ca="1"/>
        <v>4.0404040404040664E-3</v>
      </c>
      <c r="D146" s="4">
        <f ca="1"/>
        <v>-2.5835620862263431E-3</v>
      </c>
      <c r="E146" s="4">
        <f ca="1"/>
        <v>-6.8277543781867234E-3</v>
      </c>
      <c r="F146" s="4">
        <f ca="1"/>
        <v>-3.198976327576375E-4</v>
      </c>
      <c r="G146" s="4">
        <f ca="1"/>
        <v>-8.2918739635157168E-3</v>
      </c>
      <c r="H146" s="4">
        <f ca="1"/>
        <v>-7.5642965204235635E-3</v>
      </c>
      <c r="I146" s="4">
        <f ca="1"/>
        <v>-3.0012004801915904E-4</v>
      </c>
      <c r="J146" s="4">
        <f ca="1"/>
        <v>1.7644006227296227E-2</v>
      </c>
      <c r="K146" s="4">
        <f ca="1"/>
        <v>1.2900188323917039E-2</v>
      </c>
      <c r="L146" s="4">
        <f ca="1"/>
        <v>1.3391528618191817E-3</v>
      </c>
      <c r="M146" s="4">
        <f ca="1"/>
        <v>-1.0153958944281616E-2</v>
      </c>
      <c r="N146" s="4">
        <f ca="1"/>
        <v>1.0999843179425151E-2</v>
      </c>
      <c r="O146" s="4">
        <f ca="1"/>
        <v>-8.8155515370704762E-3</v>
      </c>
      <c r="P146" s="4">
        <f ca="1"/>
        <v>1.2502976899260165E-3</v>
      </c>
    </row>
    <row r="147" spans="1:16" x14ac:dyDescent="0.25">
      <c r="A147" vm="2236">
        <f ca="1"/>
        <v>45140</v>
      </c>
      <c r="B147" s="4">
        <f ca="1"/>
        <v>-2.0040080160320661E-2</v>
      </c>
      <c r="C147" s="4">
        <f ca="1"/>
        <v>-3.5929864903638808E-5</v>
      </c>
      <c r="D147" s="4">
        <f ca="1"/>
        <v>3.0759268253197636E-3</v>
      </c>
      <c r="E147" s="4">
        <f ca="1"/>
        <v>1.6918887549663086E-2</v>
      </c>
      <c r="F147" s="4">
        <f ca="1"/>
        <v>2.1759999999999557E-3</v>
      </c>
      <c r="G147" s="4">
        <f ca="1"/>
        <v>1.2263099219620877E-2</v>
      </c>
      <c r="H147" s="4">
        <f ca="1"/>
        <v>-2.7439024390243927E-2</v>
      </c>
      <c r="I147" s="4">
        <f ca="1"/>
        <v>-1.0507355148604014E-2</v>
      </c>
      <c r="J147" s="4">
        <f ca="1"/>
        <v>3.0596634370221309E-3</v>
      </c>
      <c r="K147" s="4">
        <f ca="1"/>
        <v>-2.6029562145579499E-2</v>
      </c>
      <c r="L147" s="4">
        <f ca="1"/>
        <v>2.1298727029570586E-3</v>
      </c>
      <c r="M147" s="4">
        <f ca="1"/>
        <v>-1.8516461133948336E-3</v>
      </c>
      <c r="N147" s="4">
        <f ca="1"/>
        <v>-6.0273001240913615E-3</v>
      </c>
      <c r="O147" s="4">
        <f ca="1"/>
        <v>-2.4097301406309501E-2</v>
      </c>
      <c r="P147" s="4">
        <f ca="1"/>
        <v>-2.6282927989534355E-2</v>
      </c>
    </row>
    <row r="148" spans="1:16" x14ac:dyDescent="0.25">
      <c r="A148" vm="2251">
        <f ca="1"/>
        <v>45141</v>
      </c>
      <c r="B148" s="4">
        <f ca="1"/>
        <v>3.0329908591420818E-2</v>
      </c>
      <c r="C148" s="4">
        <f ca="1"/>
        <v>3.5931155905299939E-4</v>
      </c>
      <c r="D148" s="4">
        <f ca="1"/>
        <v>-5.1646223369916644E-3</v>
      </c>
      <c r="E148" s="4">
        <f ca="1"/>
        <v>-1.0096575943810415E-2</v>
      </c>
      <c r="F148" s="4">
        <f ca="1"/>
        <v>2.6183025735997401E-3</v>
      </c>
      <c r="G148" s="4">
        <f ca="1"/>
        <v>-2.0649779735682827E-2</v>
      </c>
      <c r="H148" s="4">
        <f ca="1"/>
        <v>-7.5235109717868287E-3</v>
      </c>
      <c r="I148" s="4">
        <f ca="1"/>
        <v>-1.5169902912622879E-3</v>
      </c>
      <c r="J148" s="4">
        <f ca="1"/>
        <v>-1.2709710218607007E-2</v>
      </c>
      <c r="K148" s="4">
        <f ca="1"/>
        <v>-3.5633610130126891E-3</v>
      </c>
      <c r="L148" s="4">
        <f ca="1"/>
        <v>5.0415183867140723E-3</v>
      </c>
      <c r="M148" s="4">
        <f ca="1"/>
        <v>-2.968129707268008E-3</v>
      </c>
      <c r="N148" s="4">
        <f ca="1"/>
        <v>-1.4267879436418163E-3</v>
      </c>
      <c r="O148" s="4">
        <f ca="1"/>
        <v>5.4525627044710312E-4</v>
      </c>
      <c r="P148" s="4">
        <f ca="1"/>
        <v>-2.5648854961831669E-3</v>
      </c>
    </row>
    <row r="149" spans="1:16" x14ac:dyDescent="0.25">
      <c r="A149" vm="2264">
        <f ca="1"/>
        <v>45142</v>
      </c>
      <c r="B149" s="4">
        <f ca="1"/>
        <v>-9.636998421732379E-3</v>
      </c>
      <c r="C149" s="4">
        <f ca="1"/>
        <v>1.8857081282999788E-2</v>
      </c>
      <c r="D149" s="4">
        <f ca="1"/>
        <v>-1.5087605451005848E-2</v>
      </c>
      <c r="E149" s="4">
        <f ca="1"/>
        <v>2.2616407982261055E-3</v>
      </c>
      <c r="F149" s="4">
        <f ca="1"/>
        <v>-1.0955414012738807E-2</v>
      </c>
      <c r="G149" s="4">
        <f ca="1"/>
        <v>-8.1529378689907395E-3</v>
      </c>
      <c r="H149" s="4">
        <f ca="1"/>
        <v>1.2423668140661093E-2</v>
      </c>
      <c r="I149" s="4">
        <f ca="1"/>
        <v>-4.2236402309328347E-2</v>
      </c>
      <c r="J149" s="4">
        <f ca="1"/>
        <v>-4.5829042224510785E-2</v>
      </c>
      <c r="K149" s="4">
        <f ca="1"/>
        <v>-7.8546569175260705E-3</v>
      </c>
      <c r="L149" s="4">
        <f ca="1"/>
        <v>-1.5048686928297417E-2</v>
      </c>
      <c r="M149" s="4">
        <f ca="1"/>
        <v>-2.6420570833179946E-3</v>
      </c>
      <c r="N149" s="4">
        <f ca="1"/>
        <v>-4.9115913555991542E-3</v>
      </c>
      <c r="O149" s="4">
        <f ca="1"/>
        <v>-2.6469443363174028E-3</v>
      </c>
      <c r="P149" s="4">
        <f ca="1"/>
        <v>3.4286414008446453E-3</v>
      </c>
    </row>
    <row r="150" spans="1:16" x14ac:dyDescent="0.25">
      <c r="A150" vm="2280">
        <f ca="1"/>
        <v>45145</v>
      </c>
      <c r="B150" s="4">
        <f ca="1"/>
        <v>2.6077508149221273E-2</v>
      </c>
      <c r="C150" s="4">
        <f ca="1"/>
        <v>7.2269618557425641E-3</v>
      </c>
      <c r="D150" s="4">
        <f ca="1"/>
        <v>7.9064404546203004E-3</v>
      </c>
      <c r="E150" s="4">
        <f ca="1"/>
        <v>7.9642493694964678E-4</v>
      </c>
      <c r="F150" s="4">
        <f ca="1"/>
        <v>1.0561566202988093E-2</v>
      </c>
      <c r="G150" s="4">
        <f ca="1"/>
        <v>-7.9365079365080193E-3</v>
      </c>
      <c r="H150" s="4">
        <f ca="1"/>
        <v>1.9758735440931208E-3</v>
      </c>
      <c r="I150" s="4">
        <f ca="1"/>
        <v>8.2487309644669882E-3</v>
      </c>
      <c r="J150" s="4">
        <f ca="1"/>
        <v>-1.7269293038316258E-2</v>
      </c>
      <c r="K150" s="4">
        <f ca="1"/>
        <v>1.8762269494416284E-2</v>
      </c>
      <c r="L150" s="4">
        <f ca="1"/>
        <v>9.1871380067904962E-3</v>
      </c>
      <c r="M150" s="4">
        <f ca="1"/>
        <v>9.7380792478174438E-3</v>
      </c>
      <c r="N150" s="4">
        <f ca="1"/>
        <v>9.1088575787487969E-3</v>
      </c>
      <c r="O150" s="4">
        <f ca="1"/>
        <v>2.6695808289750822E-2</v>
      </c>
      <c r="P150" s="4">
        <f ca="1"/>
        <v>7.1084263835501371E-3</v>
      </c>
    </row>
    <row r="151" spans="1:16" x14ac:dyDescent="0.25">
      <c r="A151" vm="2295">
        <f ca="1"/>
        <v>45146</v>
      </c>
      <c r="B151" s="4">
        <f ca="1"/>
        <v>4.000470643605869E-4</v>
      </c>
      <c r="C151" s="4">
        <f ca="1"/>
        <v>-2.1000315004723324E-3</v>
      </c>
      <c r="D151" s="4">
        <f ca="1"/>
        <v>-4.4124857002777462E-3</v>
      </c>
      <c r="E151" s="4">
        <f ca="1"/>
        <v>-4.2000088421237924E-3</v>
      </c>
      <c r="F151" s="4">
        <f ca="1"/>
        <v>1.0833545755799534E-3</v>
      </c>
      <c r="G151" s="4">
        <f ca="1"/>
        <v>-1.5428571428571458E-2</v>
      </c>
      <c r="H151" s="4">
        <f ca="1"/>
        <v>-1.9304618578100619E-2</v>
      </c>
      <c r="I151" s="4">
        <f ca="1"/>
        <v>-1.4789175582127223E-2</v>
      </c>
      <c r="J151" s="4">
        <f ca="1"/>
        <v>4.2833607907742932E-2</v>
      </c>
      <c r="K151" s="4">
        <f ca="1"/>
        <v>-1.238311852413454E-2</v>
      </c>
      <c r="L151" s="4">
        <f ca="1"/>
        <v>2.8695824262814362E-3</v>
      </c>
      <c r="M151" s="4">
        <f ca="1"/>
        <v>1.3302294645827217E-3</v>
      </c>
      <c r="N151" s="4">
        <f ca="1"/>
        <v>-6.8922584374575546E-4</v>
      </c>
      <c r="O151" s="4">
        <f ca="1"/>
        <v>-9.8836767277421522E-4</v>
      </c>
      <c r="P151" s="4">
        <f ca="1"/>
        <v>-1.2298930659477181E-2</v>
      </c>
    </row>
    <row r="152" spans="1:16" x14ac:dyDescent="0.25">
      <c r="A152" vm="2309">
        <f ca="1"/>
        <v>45147</v>
      </c>
      <c r="B152" s="4">
        <f ca="1"/>
        <v>-6.7275122318404268E-3</v>
      </c>
      <c r="C152" s="4">
        <f ca="1"/>
        <v>3.858160008418654E-4</v>
      </c>
      <c r="D152" s="4">
        <f ca="1"/>
        <v>2.2980958634275517E-3</v>
      </c>
      <c r="E152" s="4">
        <f ca="1"/>
        <v>7.6806961463327106E-3</v>
      </c>
      <c r="F152" s="4">
        <f ca="1"/>
        <v>-1.2731555159464225E-3</v>
      </c>
      <c r="G152" s="4">
        <f ca="1"/>
        <v>1.7411491584446992E-3</v>
      </c>
      <c r="H152" s="4">
        <f ca="1"/>
        <v>-5.397396549899347E-3</v>
      </c>
      <c r="I152" s="4">
        <f ca="1"/>
        <v>-6.3877355477482967E-3</v>
      </c>
      <c r="J152" s="4">
        <f ca="1"/>
        <v>-2.211690363349117E-2</v>
      </c>
      <c r="K152" s="4">
        <f ca="1"/>
        <v>-2.3765353121801502E-2</v>
      </c>
      <c r="L152" s="4">
        <f ca="1"/>
        <v>3.6507153428713135E-3</v>
      </c>
      <c r="M152" s="4">
        <f ca="1"/>
        <v>-1.6236761504114794E-3</v>
      </c>
      <c r="N152" s="4">
        <f ca="1"/>
        <v>7.4309742585711991E-3</v>
      </c>
      <c r="O152" s="4">
        <f ca="1"/>
        <v>-1.3242009132420129E-2</v>
      </c>
      <c r="P152" s="4">
        <f ca="1"/>
        <v>-1.1715994479374325E-2</v>
      </c>
    </row>
    <row r="153" spans="1:16" x14ac:dyDescent="0.25">
      <c r="A153" vm="2323">
        <f ca="1"/>
        <v>45148</v>
      </c>
      <c r="B153" s="4">
        <f ca="1"/>
        <v>-2.2497987022213839E-2</v>
      </c>
      <c r="C153" s="4">
        <f ca="1"/>
        <v>2.0335179861159514E-3</v>
      </c>
      <c r="D153" s="4">
        <f ca="1"/>
        <v>-2.2928267278087278E-3</v>
      </c>
      <c r="E153" s="4">
        <f ca="1"/>
        <v>1.1455258404193813E-3</v>
      </c>
      <c r="F153" s="4">
        <f ca="1"/>
        <v>-4.9716361782138341E-3</v>
      </c>
      <c r="G153" s="4">
        <f ca="1"/>
        <v>-3.7659327925840813E-3</v>
      </c>
      <c r="H153" s="4">
        <f ca="1"/>
        <v>8.7252606937644472E-3</v>
      </c>
      <c r="I153" s="4">
        <f ca="1"/>
        <v>-6.1073609771776782E-3</v>
      </c>
      <c r="J153" s="4">
        <f ca="1"/>
        <v>-8.6160473882606059E-3</v>
      </c>
      <c r="K153" s="4">
        <f ca="1"/>
        <v>1.7365092886865163E-3</v>
      </c>
      <c r="L153" s="4">
        <f ca="1"/>
        <v>-1.4795517105780531E-2</v>
      </c>
      <c r="M153" s="4">
        <f ca="1"/>
        <v>-7.170578451302867E-3</v>
      </c>
      <c r="N153" s="4">
        <f ca="1"/>
        <v>-6.095271747532105E-3</v>
      </c>
      <c r="O153" s="4">
        <f ca="1"/>
        <v>2.3137436372056008E-4</v>
      </c>
      <c r="P153" s="4">
        <f ca="1"/>
        <v>2.1723613567947719E-3</v>
      </c>
    </row>
    <row r="154" spans="1:16" x14ac:dyDescent="0.25">
      <c r="A154" vm="2337">
        <f ca="1"/>
        <v>45149</v>
      </c>
      <c r="B154" s="4">
        <f ca="1"/>
        <v>9.0851826727396112E-3</v>
      </c>
      <c r="C154" s="4">
        <f ca="1"/>
        <v>8.992302309307254E-3</v>
      </c>
      <c r="D154" s="4">
        <f ca="1"/>
        <v>4.1037426132632948E-3</v>
      </c>
      <c r="E154" s="4">
        <f ca="1"/>
        <v>3.3886370637681296E-3</v>
      </c>
      <c r="F154" s="4">
        <f ca="1"/>
        <v>5.8292229837935139E-3</v>
      </c>
      <c r="G154" s="4">
        <f ca="1"/>
        <v>4.6525152660656932E-3</v>
      </c>
      <c r="H154" s="4">
        <f ca="1"/>
        <v>-2.9641350210970474E-2</v>
      </c>
      <c r="I154" s="4">
        <f ca="1"/>
        <v>-5.4980595084088701E-3</v>
      </c>
      <c r="J154" s="4">
        <f ca="1"/>
        <v>-7.0613796849537946E-3</v>
      </c>
      <c r="K154" s="4">
        <f ca="1"/>
        <v>-1.3410087002027948E-2</v>
      </c>
      <c r="L154" s="4">
        <f ca="1"/>
        <v>-1.2972109963579337E-3</v>
      </c>
      <c r="M154" s="4">
        <f ca="1"/>
        <v>-3.4622687167268351E-3</v>
      </c>
      <c r="N154" s="4">
        <f ca="1"/>
        <v>8.8879013442950683E-3</v>
      </c>
      <c r="O154" s="4">
        <f ca="1"/>
        <v>-1.0023903153674185E-3</v>
      </c>
      <c r="P154" s="4">
        <f ca="1"/>
        <v>-5.9455609574831092E-3</v>
      </c>
    </row>
    <row r="155" spans="1:16" x14ac:dyDescent="0.25">
      <c r="A155" vm="2351">
        <f ca="1"/>
        <v>45152</v>
      </c>
      <c r="B155" s="4">
        <f ca="1"/>
        <v>-6.4584283690667377E-3</v>
      </c>
      <c r="C155" s="4">
        <f ca="1"/>
        <v>-6.1379477754273104E-3</v>
      </c>
      <c r="D155" s="4">
        <f ca="1"/>
        <v>-4.7408860552557996E-3</v>
      </c>
      <c r="E155" s="4">
        <f ca="1"/>
        <v>4.9999999999998934E-3</v>
      </c>
      <c r="F155" s="4">
        <f ca="1"/>
        <v>-7.833397019488042E-3</v>
      </c>
      <c r="G155" s="4">
        <f ca="1"/>
        <v>-8.9725036179448825E-3</v>
      </c>
      <c r="H155" s="4">
        <f ca="1"/>
        <v>1.1740406565931005E-2</v>
      </c>
      <c r="I155" s="4">
        <f ca="1"/>
        <v>2.2764227642275703E-3</v>
      </c>
      <c r="J155" s="4">
        <f ca="1"/>
        <v>2.0787746170678245E-2</v>
      </c>
      <c r="K155" s="4">
        <f ca="1"/>
        <v>1.5084206338682016E-2</v>
      </c>
      <c r="L155" s="4">
        <f ca="1"/>
        <v>1.6835689663785791E-2</v>
      </c>
      <c r="M155" s="4">
        <f ca="1"/>
        <v>-1.1207411835034709E-4</v>
      </c>
      <c r="N155" s="4">
        <f ca="1"/>
        <v>-8.7435304481885412E-3</v>
      </c>
      <c r="O155" s="4">
        <f ca="1"/>
        <v>1.3661623958011848E-2</v>
      </c>
      <c r="P155" s="4">
        <f ca="1"/>
        <v>9.4389582879039757E-3</v>
      </c>
    </row>
    <row r="156" spans="1:16" x14ac:dyDescent="0.25">
      <c r="A156" vm="2365">
        <f ca="1"/>
        <v>45153</v>
      </c>
      <c r="B156" s="4">
        <f ca="1"/>
        <v>-1.2227538543328031E-2</v>
      </c>
      <c r="C156" s="4">
        <f ca="1"/>
        <v>-1.6503838101884272E-2</v>
      </c>
      <c r="D156" s="4">
        <f ca="1"/>
        <v>-6.7345597897503495E-3</v>
      </c>
      <c r="E156" s="4">
        <f ca="1"/>
        <v>1.5710919088767206E-3</v>
      </c>
      <c r="F156" s="4">
        <f ca="1"/>
        <v>-6.4188972334553451E-3</v>
      </c>
      <c r="G156" s="4">
        <f ca="1"/>
        <v>-1.4018691588785215E-2</v>
      </c>
      <c r="H156" s="4">
        <f ca="1"/>
        <v>-1.4934995164929465E-2</v>
      </c>
      <c r="I156" s="4">
        <f ca="1"/>
        <v>-1.7521090201168099E-2</v>
      </c>
      <c r="J156" s="4">
        <f ca="1"/>
        <v>6.4308681672027301E-3</v>
      </c>
      <c r="K156" s="4">
        <f ca="1"/>
        <v>-1.3847610960514789E-2</v>
      </c>
      <c r="L156" s="4">
        <f ca="1"/>
        <v>-1.6704333300580076E-3</v>
      </c>
      <c r="M156" s="4">
        <f ca="1"/>
        <v>-7.2856342237996863E-3</v>
      </c>
      <c r="N156" s="4">
        <f ca="1"/>
        <v>-1.4441876999644498E-2</v>
      </c>
      <c r="O156" s="4">
        <f ca="1"/>
        <v>-1.1802330008375939E-2</v>
      </c>
      <c r="P156" s="4">
        <f ca="1"/>
        <v>-6.7275644982101035E-3</v>
      </c>
    </row>
    <row r="157" spans="1:16" x14ac:dyDescent="0.25">
      <c r="A157" vm="2379">
        <f ca="1"/>
        <v>45154</v>
      </c>
      <c r="B157" s="4">
        <f ca="1"/>
        <v>-5.969272922986546E-3</v>
      </c>
      <c r="C157" s="4">
        <f ca="1"/>
        <v>-6.2794905452867589E-3</v>
      </c>
      <c r="D157" s="4">
        <f ca="1"/>
        <v>1.6537125847526646E-4</v>
      </c>
      <c r="E157" s="4">
        <f ca="1"/>
        <v>-9.7167755991285354E-3</v>
      </c>
      <c r="F157" s="4">
        <f ca="1"/>
        <v>-1.0207377737579848E-2</v>
      </c>
      <c r="G157" s="4">
        <f ca="1"/>
        <v>-5.924170616113611E-3</v>
      </c>
      <c r="H157" s="4">
        <f ca="1"/>
        <v>1.0907504363000253E-3</v>
      </c>
      <c r="I157" s="4">
        <f ca="1"/>
        <v>-2.972258916776771E-3</v>
      </c>
      <c r="J157" s="4">
        <f ca="1"/>
        <v>-1.5974440894569453E-3</v>
      </c>
      <c r="K157" s="4">
        <f ca="1"/>
        <v>-2.5368438483192479E-2</v>
      </c>
      <c r="L157" s="4">
        <f ca="1"/>
        <v>-1.1958661417322713E-2</v>
      </c>
      <c r="M157" s="4">
        <f ca="1"/>
        <v>-1.0839292435077086E-2</v>
      </c>
      <c r="N157" s="4">
        <f ca="1"/>
        <v>3.4942964065107773E-3</v>
      </c>
      <c r="O157" s="4">
        <f ca="1"/>
        <v>-8.3217753120666815E-3</v>
      </c>
      <c r="P157" s="4">
        <f ca="1"/>
        <v>-4.5361337227367571E-3</v>
      </c>
    </row>
    <row r="158" spans="1:16" x14ac:dyDescent="0.25">
      <c r="A158" vm="2393">
        <f ca="1"/>
        <v>45155</v>
      </c>
      <c r="B158" s="4">
        <f ca="1"/>
        <v>-1.7892301634179875E-2</v>
      </c>
      <c r="C158" s="4">
        <f ca="1"/>
        <v>-3.0417707961442497E-2</v>
      </c>
      <c r="D158" s="4">
        <f ca="1"/>
        <v>2.1494708994709288E-3</v>
      </c>
      <c r="E158" s="4">
        <f ca="1"/>
        <v>-1.416817001804016E-2</v>
      </c>
      <c r="F158" s="4">
        <f ca="1"/>
        <v>-7.1796880099209703E-3</v>
      </c>
      <c r="G158" s="4">
        <f ca="1"/>
        <v>-2.0858164481525332E-3</v>
      </c>
      <c r="H158" s="4">
        <f ca="1"/>
        <v>-1.525386794508643E-3</v>
      </c>
      <c r="I158" s="4">
        <f ca="1"/>
        <v>2.6498840675719393E-3</v>
      </c>
      <c r="J158" s="4">
        <f ca="1"/>
        <v>5.8666666666666867E-3</v>
      </c>
      <c r="K158" s="4">
        <f ca="1"/>
        <v>-3.1261680655136237E-2</v>
      </c>
      <c r="L158" s="4">
        <f ca="1"/>
        <v>-1.7930965781740582E-3</v>
      </c>
      <c r="M158" s="4">
        <f ca="1"/>
        <v>-2.0774674682291994E-2</v>
      </c>
      <c r="N158" s="4">
        <f ca="1"/>
        <v>3.4821288163009445E-3</v>
      </c>
      <c r="O158" s="4">
        <f ca="1"/>
        <v>9.4794094794095063E-3</v>
      </c>
      <c r="P158" s="4">
        <f ca="1"/>
        <v>-1.0986267166042341E-2</v>
      </c>
    </row>
    <row r="159" spans="1:16" x14ac:dyDescent="0.25">
      <c r="A159" vm="2407">
        <f ca="1"/>
        <v>45156</v>
      </c>
      <c r="B159" s="4">
        <f ca="1"/>
        <v>-3.2326776093222209E-3</v>
      </c>
      <c r="C159" s="4">
        <f ca="1"/>
        <v>-1.8373959790853545E-2</v>
      </c>
      <c r="D159" s="4">
        <f ca="1"/>
        <v>5.6096353737007387E-3</v>
      </c>
      <c r="E159" s="4">
        <f ca="1"/>
        <v>-8.0339209997770666E-4</v>
      </c>
      <c r="F159" s="4">
        <f ca="1"/>
        <v>2.826901584379593E-3</v>
      </c>
      <c r="G159" s="4">
        <f ca="1"/>
        <v>5.0761421319795996E-3</v>
      </c>
      <c r="H159" s="4">
        <f ca="1"/>
        <v>-5.8926233085989654E-3</v>
      </c>
      <c r="I159" s="4">
        <f ca="1"/>
        <v>1.9821605550049526E-2</v>
      </c>
      <c r="J159" s="4">
        <f ca="1"/>
        <v>1.8027571580063517E-2</v>
      </c>
      <c r="K159" s="4">
        <f ca="1"/>
        <v>-6.4541022133360881E-3</v>
      </c>
      <c r="L159" s="4">
        <f ca="1"/>
        <v>1.3272790778903198E-2</v>
      </c>
      <c r="M159" s="4">
        <f ca="1"/>
        <v>-1.1268262356233238E-3</v>
      </c>
      <c r="N159" s="4">
        <f ca="1"/>
        <v>7.5669383003491575E-3</v>
      </c>
      <c r="O159" s="4">
        <f ca="1"/>
        <v>-1.8934729064039368E-2</v>
      </c>
      <c r="P159" s="4">
        <f ca="1"/>
        <v>-1.2623074981065185E-3</v>
      </c>
    </row>
    <row r="160" spans="1:16" x14ac:dyDescent="0.25">
      <c r="A160" vm="2423">
        <f ca="1"/>
        <v>45159</v>
      </c>
      <c r="B160" s="4">
        <f ca="1"/>
        <v>-7.2908286403849942E-4</v>
      </c>
      <c r="C160" s="4">
        <f ca="1"/>
        <v>-2.4006901984320317E-3</v>
      </c>
      <c r="D160" s="4">
        <f ca="1"/>
        <v>-8.5315832649713874E-3</v>
      </c>
      <c r="E160" s="4">
        <f ca="1"/>
        <v>-4.9582346897754093E-3</v>
      </c>
      <c r="F160" s="4">
        <f ca="1"/>
        <v>-5.0478562999867194E-3</v>
      </c>
      <c r="G160" s="4">
        <f ca="1"/>
        <v>-5.3475935828877219E-3</v>
      </c>
      <c r="H160" s="4">
        <f ca="1"/>
        <v>1.6026344676180138E-2</v>
      </c>
      <c r="I160" s="4">
        <f ca="1"/>
        <v>-5.1830255911888834E-3</v>
      </c>
      <c r="J160" s="4">
        <f ca="1"/>
        <v>-3.4375000000000044E-2</v>
      </c>
      <c r="K160" s="4">
        <f ca="1"/>
        <v>2.3477493380405834E-2</v>
      </c>
      <c r="L160" s="4">
        <f ca="1"/>
        <v>2.4622051509330944E-3</v>
      </c>
      <c r="M160" s="4">
        <f ca="1"/>
        <v>7.4687828217996355E-3</v>
      </c>
      <c r="N160" s="4">
        <f ca="1"/>
        <v>3.1773541305604169E-3</v>
      </c>
      <c r="O160" s="4">
        <f ca="1"/>
        <v>7.1394947434491041E-3</v>
      </c>
      <c r="P160" s="4">
        <f ca="1"/>
        <v>1.7062689585439772E-2</v>
      </c>
    </row>
    <row r="161" spans="1:16" x14ac:dyDescent="0.25">
      <c r="A161" vm="2436">
        <f ca="1"/>
        <v>45160</v>
      </c>
      <c r="B161" s="4">
        <f ca="1"/>
        <v>1.5850252849272106E-3</v>
      </c>
      <c r="C161" s="4">
        <f ca="1"/>
        <v>-2.4139875916525777E-2</v>
      </c>
      <c r="D161" s="4">
        <f ca="1"/>
        <v>-6.1227866953499355E-3</v>
      </c>
      <c r="E161" s="4">
        <f ca="1"/>
        <v>2.5588076854015096E-3</v>
      </c>
      <c r="F161" s="4">
        <f ca="1"/>
        <v>3.9533504645183903E-4</v>
      </c>
      <c r="G161" s="4">
        <f ca="1"/>
        <v>-5.3763440860215006E-3</v>
      </c>
      <c r="H161" s="4">
        <f ca="1"/>
        <v>-3.4572169403630504E-3</v>
      </c>
      <c r="I161" s="4">
        <f ca="1"/>
        <v>-6.5125366330185397E-3</v>
      </c>
      <c r="J161" s="4">
        <f ca="1"/>
        <v>1.7799352750809128E-2</v>
      </c>
      <c r="K161" s="4">
        <f ca="1"/>
        <v>-7.9337702656087083E-3</v>
      </c>
      <c r="L161" s="4">
        <f ca="1"/>
        <v>1.5031684432873282E-2</v>
      </c>
      <c r="M161" s="4">
        <f ca="1"/>
        <v>-6.4481254102475294E-3</v>
      </c>
      <c r="N161" s="4">
        <f ca="1"/>
        <v>3.2115882965293441E-3</v>
      </c>
      <c r="O161" s="4">
        <f ca="1"/>
        <v>5.5308872789592289E-3</v>
      </c>
      <c r="P161" s="4">
        <f ca="1"/>
        <v>1.8019137566793741E-3</v>
      </c>
    </row>
    <row r="162" spans="1:16" x14ac:dyDescent="0.25">
      <c r="A162" vm="2451">
        <f ca="1"/>
        <v>45161</v>
      </c>
      <c r="B162" s="4">
        <f ca="1"/>
        <v>1.5197186636523474E-2</v>
      </c>
      <c r="C162" s="4">
        <f ca="1"/>
        <v>6.5888336608486142E-3</v>
      </c>
      <c r="D162" s="4">
        <f ca="1"/>
        <v>3.4965034965035446E-3</v>
      </c>
      <c r="E162" s="4">
        <f ca="1"/>
        <v>9.8061165092016012E-3</v>
      </c>
      <c r="F162" s="4">
        <f ca="1"/>
        <v>9.3525653691628463E-3</v>
      </c>
      <c r="G162" s="4">
        <f ca="1"/>
        <v>5.7057057057059435E-3</v>
      </c>
      <c r="H162" s="4">
        <f ca="1"/>
        <v>2.1465741543798877E-2</v>
      </c>
      <c r="I162" s="4">
        <f ca="1"/>
        <v>1.6060308095706244E-2</v>
      </c>
      <c r="J162" s="4">
        <f ca="1"/>
        <v>0</v>
      </c>
      <c r="K162" s="4">
        <f ca="1"/>
        <v>2.3087621696801008E-2</v>
      </c>
      <c r="L162" s="4">
        <f ca="1"/>
        <v>7.8401006630208769E-3</v>
      </c>
      <c r="M162" s="4">
        <f ca="1"/>
        <v>1.8381781439452904E-2</v>
      </c>
      <c r="N162" s="4">
        <f ca="1"/>
        <v>3.5987106460015905E-3</v>
      </c>
      <c r="O162" s="4">
        <f ca="1"/>
        <v>2.5488069414316694E-2</v>
      </c>
      <c r="P162" s="4">
        <f ca="1"/>
        <v>1.4079265645351446E-2</v>
      </c>
    </row>
    <row r="163" spans="1:16" x14ac:dyDescent="0.25">
      <c r="A163" vm="2465">
        <f ca="1"/>
        <v>45162</v>
      </c>
      <c r="B163" s="4">
        <f ca="1"/>
        <v>-1.4400593838921227E-2</v>
      </c>
      <c r="C163" s="4">
        <f ca="1"/>
        <v>-5.6652886234880295E-3</v>
      </c>
      <c r="D163" s="4">
        <f ca="1"/>
        <v>-2.6547204247553413E-3</v>
      </c>
      <c r="E163" s="4">
        <f ca="1"/>
        <v>-4.212486697410478E-3</v>
      </c>
      <c r="F163" s="4">
        <f ca="1"/>
        <v>-4.6329526916802921E-3</v>
      </c>
      <c r="G163" s="4">
        <f ca="1"/>
        <v>8.9578978799642606E-4</v>
      </c>
      <c r="H163" s="4">
        <f ca="1"/>
        <v>-1.7936743791127086E-2</v>
      </c>
      <c r="I163" s="4">
        <f ca="1"/>
        <v>-1.4193548387096855E-2</v>
      </c>
      <c r="J163" s="4">
        <f ca="1"/>
        <v>-1.4838367779544281E-2</v>
      </c>
      <c r="K163" s="4">
        <f ca="1"/>
        <v>-2.5455410549211521E-2</v>
      </c>
      <c r="L163" s="4">
        <f ca="1"/>
        <v>-3.2124849939975997E-2</v>
      </c>
      <c r="M163" s="4">
        <f ca="1"/>
        <v>-1.442472810532347E-2</v>
      </c>
      <c r="N163" s="4">
        <f ca="1"/>
        <v>-4.443760036958011E-3</v>
      </c>
      <c r="O163" s="4">
        <f ca="1"/>
        <v>-1.9566367001586538E-2</v>
      </c>
      <c r="P163" s="4">
        <f ca="1"/>
        <v>-2.1498470948012161E-2</v>
      </c>
    </row>
    <row r="164" spans="1:16" x14ac:dyDescent="0.25">
      <c r="A164" vm="2477">
        <f ca="1"/>
        <v>45163</v>
      </c>
      <c r="B164" s="4">
        <f ca="1"/>
        <v>1.2251148545176171E-2</v>
      </c>
      <c r="C164" s="4">
        <f ca="1"/>
        <v>-1.8478595626733041E-3</v>
      </c>
      <c r="D164" s="4">
        <f ca="1"/>
        <v>4.6581267675926963E-3</v>
      </c>
      <c r="E164" s="4">
        <f ca="1"/>
        <v>8.148906799661626E-3</v>
      </c>
      <c r="F164" s="4">
        <f ca="1"/>
        <v>6.5556575324505761E-3</v>
      </c>
      <c r="G164" s="4">
        <f ca="1"/>
        <v>9.8448687350833897E-3</v>
      </c>
      <c r="H164" s="4">
        <f ca="1"/>
        <v>6.1601642710471527E-3</v>
      </c>
      <c r="I164" s="4">
        <f ca="1"/>
        <v>1.1452879581151931E-2</v>
      </c>
      <c r="J164" s="4">
        <f ca="1"/>
        <v>4.3033889187735763E-3</v>
      </c>
      <c r="K164" s="4">
        <f ca="1"/>
        <v>-4.3591979075849885E-3</v>
      </c>
      <c r="L164" s="4">
        <f ca="1"/>
        <v>1.8406429847191985E-2</v>
      </c>
      <c r="M164" s="4">
        <f ca="1"/>
        <v>4.7237387230418815E-3</v>
      </c>
      <c r="N164" s="4">
        <f ca="1"/>
        <v>-3.2261628549332677E-3</v>
      </c>
      <c r="O164" s="4">
        <f ca="1"/>
        <v>7.7053475111732439E-4</v>
      </c>
      <c r="P164" s="4">
        <f ca="1"/>
        <v>9.4071319186173064E-3</v>
      </c>
    </row>
    <row r="165" spans="1:16" x14ac:dyDescent="0.25">
      <c r="A165" vm="2491">
        <f ca="1"/>
        <v>45166</v>
      </c>
      <c r="B165" s="4">
        <f ca="1"/>
        <v>1.3218918181592931E-2</v>
      </c>
      <c r="C165" s="4">
        <f ca="1"/>
        <v>1.2843258253625534E-2</v>
      </c>
      <c r="D165" s="4">
        <f ca="1"/>
        <v>2.8150356019209788E-3</v>
      </c>
      <c r="E165" s="4">
        <f ca="1"/>
        <v>6.3162544169612644E-3</v>
      </c>
      <c r="F165" s="4">
        <f ca="1"/>
        <v>1.5631105900744124E-3</v>
      </c>
      <c r="G165" s="4">
        <f ca="1"/>
        <v>-2.9542097488910457E-4</v>
      </c>
      <c r="H165" s="4">
        <f ca="1"/>
        <v>9.6670247046186653E-3</v>
      </c>
      <c r="I165" s="4">
        <f ca="1"/>
        <v>-1.6175994823681705E-3</v>
      </c>
      <c r="J165" s="4">
        <f ca="1"/>
        <v>1.0176754151044243E-2</v>
      </c>
      <c r="K165" s="4">
        <f ca="1"/>
        <v>1.6672504378283604E-2</v>
      </c>
      <c r="L165" s="4">
        <f ca="1"/>
        <v>1.1740634286549367E-2</v>
      </c>
      <c r="M165" s="4">
        <f ca="1"/>
        <v>9.2874484565879101E-3</v>
      </c>
      <c r="N165" s="4">
        <f ca="1"/>
        <v>2.7267285907468519E-3</v>
      </c>
      <c r="O165" s="4">
        <f ca="1"/>
        <v>8.7003387742530247E-3</v>
      </c>
      <c r="P165" s="4">
        <f ca="1"/>
        <v>2.2292402006314216E-3</v>
      </c>
    </row>
    <row r="166" spans="1:16" x14ac:dyDescent="0.25">
      <c r="A166" vm="2503">
        <f ca="1"/>
        <v>45167</v>
      </c>
      <c r="B166" s="4">
        <f ca="1"/>
        <v>1.9484016252998337E-2</v>
      </c>
      <c r="C166" s="4">
        <f ca="1"/>
        <v>1.3937016869121299E-2</v>
      </c>
      <c r="D166" s="4">
        <f ca="1"/>
        <v>-9.9075297225892367E-4</v>
      </c>
      <c r="E166" s="4">
        <f ca="1"/>
        <v>1.5581793442478897E-2</v>
      </c>
      <c r="F166" s="4">
        <f ca="1"/>
        <v>5.8525165821299296E-4</v>
      </c>
      <c r="G166" s="4">
        <f ca="1"/>
        <v>-2.3640661938535423E-3</v>
      </c>
      <c r="H166" s="4">
        <f ca="1"/>
        <v>1.1489361702127665E-2</v>
      </c>
      <c r="I166" s="4">
        <f ca="1"/>
        <v>-3.5644847699286553E-3</v>
      </c>
      <c r="J166" s="4">
        <f ca="1"/>
        <v>-3.3404029692470805E-2</v>
      </c>
      <c r="K166" s="4">
        <f ca="1"/>
        <v>2.6631296079377087E-2</v>
      </c>
      <c r="L166" s="4">
        <f ca="1"/>
        <v>4.4298921417564863E-3</v>
      </c>
      <c r="M166" s="4">
        <f ca="1"/>
        <v>-2.405498281786933E-3</v>
      </c>
      <c r="N166" s="4">
        <f ca="1"/>
        <v>-8.6664308454191818E-3</v>
      </c>
      <c r="O166" s="4">
        <f ca="1"/>
        <v>2.7173498206243707E-2</v>
      </c>
      <c r="P166" s="4">
        <f ca="1"/>
        <v>1.4550509731232841E-2</v>
      </c>
    </row>
    <row r="167" spans="1:16" x14ac:dyDescent="0.25">
      <c r="A167" vm="2517">
        <f ca="1"/>
        <v>45168</v>
      </c>
      <c r="B167" s="4">
        <f ca="1"/>
        <v>5.5942376950779416E-3</v>
      </c>
      <c r="C167" s="4">
        <f ca="1"/>
        <v>-8.1120666992149371E-3</v>
      </c>
      <c r="D167" s="4">
        <f ca="1"/>
        <v>-4.9586776859511517E-4</v>
      </c>
      <c r="E167" s="4">
        <f ca="1"/>
        <v>2.6795747255596858E-3</v>
      </c>
      <c r="F167" s="4">
        <f ca="1"/>
        <v>1.1048287515433852E-3</v>
      </c>
      <c r="G167" s="4">
        <f ca="1"/>
        <v>-2.6658767772510528E-3</v>
      </c>
      <c r="H167" s="4">
        <f ca="1"/>
        <v>-3.1552376945729321E-3</v>
      </c>
      <c r="I167" s="4">
        <f ca="1"/>
        <v>-6.5040650406500422E-4</v>
      </c>
      <c r="J167" s="4">
        <f ca="1"/>
        <v>4.0043883708173356E-2</v>
      </c>
      <c r="K167" s="4">
        <f ca="1"/>
        <v>-9.698312023893374E-3</v>
      </c>
      <c r="L167" s="4">
        <f ca="1"/>
        <v>4.9856184084371424E-3</v>
      </c>
      <c r="M167" s="4">
        <f ca="1"/>
        <v>-1.5692578558578196E-3</v>
      </c>
      <c r="N167" s="4">
        <f ca="1"/>
        <v>8.942908117752113E-3</v>
      </c>
      <c r="O167" s="4">
        <f ca="1"/>
        <v>9.7347105595599892E-3</v>
      </c>
      <c r="P167" s="4">
        <f ca="1"/>
        <v>1.1570902225876978E-3</v>
      </c>
    </row>
    <row r="168" spans="1:16" x14ac:dyDescent="0.25">
      <c r="A168" vm="2532">
        <f ca="1"/>
        <v>45169</v>
      </c>
      <c r="B168" s="4">
        <f ca="1"/>
        <v>-4.6080748752477252E-3</v>
      </c>
      <c r="C168" s="4">
        <f ca="1"/>
        <v>-4.1270682670100367E-3</v>
      </c>
      <c r="D168" s="4">
        <f ca="1"/>
        <v>-1.0583760542417719E-2</v>
      </c>
      <c r="E168" s="4">
        <f ca="1"/>
        <v>-1.0387931034482767E-2</v>
      </c>
      <c r="F168" s="4">
        <f ca="1"/>
        <v>1.9475460919242682E-3</v>
      </c>
      <c r="G168" s="4">
        <f ca="1"/>
        <v>-1.7226017226017132E-2</v>
      </c>
      <c r="H168" s="4">
        <f ca="1"/>
        <v>-1.2766406414855491E-2</v>
      </c>
      <c r="I168" s="4">
        <f ca="1"/>
        <v>-1.7246989912138022E-2</v>
      </c>
      <c r="J168" s="4">
        <f ca="1"/>
        <v>-1.3185654008438852E-2</v>
      </c>
      <c r="K168" s="4">
        <f ca="1"/>
        <v>2.6770586241950944E-3</v>
      </c>
      <c r="L168" s="4">
        <f ca="1"/>
        <v>1.0971188704447243E-3</v>
      </c>
      <c r="M168" s="4">
        <f ca="1"/>
        <v>-1.1500421682129058E-3</v>
      </c>
      <c r="N168" s="4">
        <f ca="1"/>
        <v>-8.9741606065294466E-3</v>
      </c>
      <c r="O168" s="4">
        <f ca="1"/>
        <v>2.1342360906682067E-3</v>
      </c>
      <c r="P168" s="4">
        <f ca="1"/>
        <v>-3.1326986830501058E-3</v>
      </c>
    </row>
    <row r="169" spans="1:16" x14ac:dyDescent="0.25">
      <c r="A169" vm="2546">
        <f ca="1"/>
        <v>45170</v>
      </c>
      <c r="B169" s="4">
        <f ca="1"/>
        <v>1.3336531542336383E-2</v>
      </c>
      <c r="C169" s="4">
        <f ca="1"/>
        <v>2.1177096798722594E-2</v>
      </c>
      <c r="D169" s="4">
        <f ca="1"/>
        <v>-8.6912919939828859E-3</v>
      </c>
      <c r="E169" s="4">
        <f ca="1"/>
        <v>5.575155712356894E-3</v>
      </c>
      <c r="F169" s="4">
        <f ca="1"/>
        <v>1.1014642995981205E-3</v>
      </c>
      <c r="G169" s="4">
        <f ca="1"/>
        <v>-1.5412511332729029E-2</v>
      </c>
      <c r="H169" s="4">
        <f ca="1"/>
        <v>-4.0611307042854872E-3</v>
      </c>
      <c r="I169" s="4">
        <f ca="1"/>
        <v>1.4238410596026485E-2</v>
      </c>
      <c r="J169" s="4">
        <f ca="1"/>
        <v>2.137894174238375E-2</v>
      </c>
      <c r="K169" s="4">
        <f ca="1"/>
        <v>1.6560208185474323E-3</v>
      </c>
      <c r="L169" s="4">
        <f ca="1"/>
        <v>1.1864487539905655E-2</v>
      </c>
      <c r="M169" s="4">
        <f ca="1"/>
        <v>-4.1449186367822355E-3</v>
      </c>
      <c r="N169" s="4">
        <f ca="1"/>
        <v>-3.7916806066695674E-4</v>
      </c>
      <c r="O169" s="4">
        <f ca="1"/>
        <v>-3.7453183520598232E-3</v>
      </c>
      <c r="P169" s="4">
        <f ca="1"/>
        <v>2.7459116426655772E-3</v>
      </c>
    </row>
    <row r="170" spans="1:16" x14ac:dyDescent="0.25">
      <c r="A170" vm="2559">
        <f ca="1"/>
        <v>45174</v>
      </c>
      <c r="B170" s="4">
        <f ca="1"/>
        <v>-2.554087960990381E-2</v>
      </c>
      <c r="C170" s="4">
        <f ca="1"/>
        <v>-3.991213373543312E-2</v>
      </c>
      <c r="D170" s="4">
        <f ca="1"/>
        <v>-8.2616759399763984E-3</v>
      </c>
      <c r="E170" s="4">
        <f ca="1"/>
        <v>-3.1316325204660656E-2</v>
      </c>
      <c r="F170" s="4">
        <f ca="1"/>
        <v>-1.3397191120315788E-2</v>
      </c>
      <c r="G170" s="4">
        <f ca="1"/>
        <v>-9.2081031307555961E-4</v>
      </c>
      <c r="H170" s="4">
        <f ca="1"/>
        <v>1.5130378796008204E-2</v>
      </c>
      <c r="I170" s="4">
        <f ca="1"/>
        <v>-2.3179888997714615E-2</v>
      </c>
      <c r="J170" s="4">
        <f ca="1"/>
        <v>-4.2909471480900074E-2</v>
      </c>
      <c r="K170" s="4">
        <f ca="1"/>
        <v>1.2720156555772855E-2</v>
      </c>
      <c r="L170" s="4">
        <f ca="1"/>
        <v>-1.671689583725755E-2</v>
      </c>
      <c r="M170" s="4">
        <f ca="1"/>
        <v>-7.6306459071990851E-3</v>
      </c>
      <c r="N170" s="4">
        <f ca="1"/>
        <v>-6.6714266589317228E-3</v>
      </c>
      <c r="O170" s="4">
        <f ca="1"/>
        <v>8.1085065605202011E-4</v>
      </c>
      <c r="P170" s="4">
        <f ca="1"/>
        <v>1.4878597943163152E-2</v>
      </c>
    </row>
    <row r="171" spans="1:16" x14ac:dyDescent="0.25">
      <c r="A171" vm="2575">
        <f ca="1"/>
        <v>45175</v>
      </c>
      <c r="B171" s="4">
        <f ca="1"/>
        <v>4.6153472441523569E-4</v>
      </c>
      <c r="C171" s="4">
        <f ca="1"/>
        <v>-1.636483499437702E-2</v>
      </c>
      <c r="D171" s="4">
        <f ca="1"/>
        <v>-6.8004080244810083E-4</v>
      </c>
      <c r="E171" s="4">
        <f ca="1"/>
        <v>6.7072080128771638E-4</v>
      </c>
      <c r="F171" s="4">
        <f ca="1"/>
        <v>-1.9679874048806889E-3</v>
      </c>
      <c r="G171" s="4">
        <f ca="1"/>
        <v>6.1443932411675561E-4</v>
      </c>
      <c r="H171" s="4">
        <f ca="1"/>
        <v>-2.4735729386892058E-2</v>
      </c>
      <c r="I171" s="4">
        <f ca="1"/>
        <v>-6.350267379679142E-3</v>
      </c>
      <c r="J171" s="4">
        <f ca="1"/>
        <v>-9.8414434117003458E-3</v>
      </c>
      <c r="K171" s="4">
        <f ca="1"/>
        <v>-3.2650341495917834E-3</v>
      </c>
      <c r="L171" s="4">
        <f ca="1"/>
        <v>1.3409319477035719E-3</v>
      </c>
      <c r="M171" s="4">
        <f ca="1"/>
        <v>5.0873786407767962E-3</v>
      </c>
      <c r="N171" s="4">
        <f ca="1"/>
        <v>-4.7732428850603137E-2</v>
      </c>
      <c r="O171" s="4">
        <f ca="1"/>
        <v>-9.6486705457760058E-3</v>
      </c>
      <c r="P171" s="4">
        <f ca="1"/>
        <v>-2.0086943486734565E-3</v>
      </c>
    </row>
    <row r="172" spans="1:16" x14ac:dyDescent="0.25">
      <c r="A172" vm="2590">
        <f ca="1"/>
        <v>45176</v>
      </c>
      <c r="B172" s="4">
        <f ca="1"/>
        <v>-6.6770261739426129E-3</v>
      </c>
      <c r="C172" s="4">
        <f ca="1"/>
        <v>-2.1249753597476939E-2</v>
      </c>
      <c r="D172" s="4">
        <f ca="1"/>
        <v>-7.6556651922422558E-3</v>
      </c>
      <c r="E172" s="4">
        <f ca="1"/>
        <v>2.9938781893741329E-3</v>
      </c>
      <c r="F172" s="4">
        <f ca="1"/>
        <v>9.5306954121205933E-3</v>
      </c>
      <c r="G172" s="4">
        <f ca="1"/>
        <v>3.377341111452159E-3</v>
      </c>
      <c r="H172" s="4">
        <f ca="1"/>
        <v>-2.3954042922176511E-2</v>
      </c>
      <c r="I172" s="4">
        <f ca="1"/>
        <v>-8.0726538849646978E-3</v>
      </c>
      <c r="J172" s="4">
        <f ca="1"/>
        <v>1.1043622308116952E-2</v>
      </c>
      <c r="K172" s="4">
        <f ca="1"/>
        <v>-1.6712905705785763E-3</v>
      </c>
      <c r="L172" s="4">
        <f ca="1"/>
        <v>-1.8652255009805607E-3</v>
      </c>
      <c r="M172" s="4">
        <f ca="1"/>
        <v>2.8978787527529359E-3</v>
      </c>
      <c r="N172" s="4">
        <f ca="1"/>
        <v>4.7176487238760334E-3</v>
      </c>
      <c r="O172" s="4">
        <f ca="1"/>
        <v>5.9497248252267099E-3</v>
      </c>
      <c r="P172" s="4">
        <f ca="1"/>
        <v>-8.9221341023791867E-3</v>
      </c>
    </row>
    <row r="173" spans="1:16" x14ac:dyDescent="0.25">
      <c r="A173" vm="2605">
        <f ca="1"/>
        <v>45177</v>
      </c>
      <c r="B173" s="4">
        <f ca="1"/>
        <v>2.1998973381243125E-4</v>
      </c>
      <c r="C173" s="4">
        <f ca="1"/>
        <v>1.2486908885845471E-2</v>
      </c>
      <c r="D173" s="4">
        <f ca="1"/>
        <v>0</v>
      </c>
      <c r="E173" s="4">
        <f ca="1"/>
        <v>-7.6182838813152465E-3</v>
      </c>
      <c r="F173" s="4">
        <f ca="1"/>
        <v>-4.2971547626798889E-3</v>
      </c>
      <c r="G173" s="4">
        <f ca="1"/>
        <v>8.5679314565483278E-3</v>
      </c>
      <c r="H173" s="4">
        <f ca="1"/>
        <v>-4.5530260966128999E-3</v>
      </c>
      <c r="I173" s="4">
        <f ca="1"/>
        <v>1.5598507968803021E-2</v>
      </c>
      <c r="J173" s="4">
        <f ca="1"/>
        <v>2.1845985800110768E-3</v>
      </c>
      <c r="K173" s="4">
        <f ca="1"/>
        <v>-2.6115779957813778E-3</v>
      </c>
      <c r="L173" s="4">
        <f ca="1"/>
        <v>-1.0541447053186381E-2</v>
      </c>
      <c r="M173" s="4">
        <f ca="1"/>
        <v>-1.3869625520110951E-3</v>
      </c>
      <c r="N173" s="4">
        <f ca="1"/>
        <v>-6.6910832511621887E-3</v>
      </c>
      <c r="O173" s="4">
        <f ca="1"/>
        <v>8.2803489575633549E-3</v>
      </c>
      <c r="P173" s="4">
        <f ca="1"/>
        <v>1.3215725500894004E-2</v>
      </c>
    </row>
    <row r="174" spans="1:16" x14ac:dyDescent="0.25">
      <c r="A174" vm="2617">
        <f ca="1"/>
        <v>45180</v>
      </c>
      <c r="B174" s="4">
        <f ca="1"/>
        <v>-7.4046920821113638E-3</v>
      </c>
      <c r="C174" s="4">
        <f ca="1"/>
        <v>0.10745544239338001</v>
      </c>
      <c r="D174" s="4">
        <f ca="1"/>
        <v>9.4291102348706968E-3</v>
      </c>
      <c r="E174" s="4">
        <f ca="1"/>
        <v>2.7070707070707023E-2</v>
      </c>
      <c r="F174" s="4">
        <f ca="1"/>
        <v>1.1900869678937998E-2</v>
      </c>
      <c r="G174" s="4">
        <f ca="1"/>
        <v>2.0327669902912682E-2</v>
      </c>
      <c r="H174" s="4">
        <f ca="1"/>
        <v>-4.4622936189209206E-4</v>
      </c>
      <c r="I174" s="4">
        <f ca="1"/>
        <v>7.6794657762937479E-3</v>
      </c>
      <c r="J174" s="4">
        <f ca="1"/>
        <v>-2.2343324250681196E-2</v>
      </c>
      <c r="K174" s="4">
        <f ca="1"/>
        <v>3.2461646916647213E-2</v>
      </c>
      <c r="L174" s="4">
        <f ca="1"/>
        <v>-7.0702179176755919E-3</v>
      </c>
      <c r="M174" s="4">
        <f ca="1"/>
        <v>1.1574074074074403E-3</v>
      </c>
      <c r="N174" s="4">
        <f ca="1"/>
        <v>-5.7434588385448793E-3</v>
      </c>
      <c r="O174" s="4">
        <f ca="1"/>
        <v>3.959524857017005E-3</v>
      </c>
      <c r="P174" s="4">
        <f ca="1"/>
        <v>1.0979148592455301E-2</v>
      </c>
    </row>
    <row r="175" spans="1:16" x14ac:dyDescent="0.25">
      <c r="A175" vm="2632">
        <f ca="1"/>
        <v>45181</v>
      </c>
      <c r="B175" s="4">
        <f ca="1"/>
        <v>-1.9449983996848719E-3</v>
      </c>
      <c r="C175" s="4">
        <f ca="1"/>
        <v>8.2983080073284476E-3</v>
      </c>
      <c r="D175" s="4">
        <f ca="1"/>
        <v>-9.8505434782609758E-3</v>
      </c>
      <c r="E175" s="4">
        <f ca="1"/>
        <v>-8.3923419879359251E-3</v>
      </c>
      <c r="F175" s="4">
        <f ca="1"/>
        <v>-1.7576736672051729E-2</v>
      </c>
      <c r="G175" s="4">
        <f ca="1"/>
        <v>-2.0814748736247557E-3</v>
      </c>
      <c r="H175" s="4">
        <f ca="1"/>
        <v>9.8214285714286476E-3</v>
      </c>
      <c r="I175" s="4">
        <f ca="1"/>
        <v>1.3585155732273035E-2</v>
      </c>
      <c r="J175" s="4">
        <f ca="1"/>
        <v>4.4593088071347431E-3</v>
      </c>
      <c r="K175" s="4">
        <f ca="1"/>
        <v>-1.9183248796982633E-2</v>
      </c>
      <c r="L175" s="4">
        <f ca="1"/>
        <v>-2.6824034334763658E-3</v>
      </c>
      <c r="M175" s="4">
        <f ca="1"/>
        <v>4.5086705202312949E-3</v>
      </c>
      <c r="N175" s="4">
        <f ca="1"/>
        <v>-6.7275234155851349E-3</v>
      </c>
      <c r="O175" s="4">
        <f ca="1"/>
        <v>-1.1539585159216936E-2</v>
      </c>
      <c r="P175" s="4">
        <f ca="1"/>
        <v>-1.8257678877907413E-2</v>
      </c>
    </row>
    <row r="176" spans="1:16" x14ac:dyDescent="0.25">
      <c r="A176" vm="2646">
        <f ca="1"/>
        <v>45182</v>
      </c>
      <c r="B176" s="4">
        <f ca="1"/>
        <v>-3.7865706250925113E-2</v>
      </c>
      <c r="C176" s="4">
        <f ca="1"/>
        <v>-1.1222744762719228E-2</v>
      </c>
      <c r="D176" s="4">
        <f ca="1"/>
        <v>2.4013722126929871E-3</v>
      </c>
      <c r="E176" s="4">
        <f ca="1"/>
        <v>1.5736577624966941E-2</v>
      </c>
      <c r="F176" s="4">
        <f ca="1"/>
        <v>6.972308097086044E-3</v>
      </c>
      <c r="G176" s="4">
        <f ca="1"/>
        <v>-1.1025029797377961E-2</v>
      </c>
      <c r="H176" s="4">
        <f ca="1"/>
        <v>8.1786030061892223E-3</v>
      </c>
      <c r="I176" s="4">
        <f ca="1"/>
        <v>-2.94213795357956E-3</v>
      </c>
      <c r="J176" s="4">
        <f ca="1"/>
        <v>-2.7192008879023177E-2</v>
      </c>
      <c r="K176" s="4">
        <f ca="1"/>
        <v>1.1270967314194635E-2</v>
      </c>
      <c r="L176" s="4">
        <f ca="1"/>
        <v>-2.0343293070565815E-2</v>
      </c>
      <c r="M176" s="4">
        <f ca="1"/>
        <v>-1.8797713584225439E-3</v>
      </c>
      <c r="N176" s="4">
        <f ca="1"/>
        <v>7.5628844266808493E-3</v>
      </c>
      <c r="O176" s="4">
        <f ca="1"/>
        <v>1.012265405645052E-2</v>
      </c>
      <c r="P176" s="4">
        <f ca="1"/>
        <v>1.2930644723754492E-2</v>
      </c>
    </row>
    <row r="177" spans="1:16" x14ac:dyDescent="0.25">
      <c r="A177" vm="2661">
        <f ca="1"/>
        <v>45183</v>
      </c>
      <c r="B177" s="4">
        <f ca="1"/>
        <v>1.3204112504166421E-2</v>
      </c>
      <c r="C177" s="4">
        <f ca="1"/>
        <v>-1.1350124310885223E-2</v>
      </c>
      <c r="D177" s="4">
        <f ca="1"/>
        <v>3.4223134839161951E-4</v>
      </c>
      <c r="E177" s="4">
        <f ca="1"/>
        <v>-2.3000477368397831E-3</v>
      </c>
      <c r="F177" s="4">
        <f ca="1"/>
        <v>1.0973936899862924E-2</v>
      </c>
      <c r="G177" s="4">
        <f ca="1"/>
        <v>1.747514311539633E-2</v>
      </c>
      <c r="H177" s="4">
        <f ca="1"/>
        <v>2.7406270554704015E-3</v>
      </c>
      <c r="I177" s="4">
        <f ca="1"/>
        <v>1.7704918032786843E-2</v>
      </c>
      <c r="J177" s="4">
        <f ca="1"/>
        <v>4.1357672561323389E-2</v>
      </c>
      <c r="K177" s="4">
        <f ca="1"/>
        <v>2.1831770799187078E-2</v>
      </c>
      <c r="L177" s="4">
        <f ca="1"/>
        <v>1.2279738431587806E-2</v>
      </c>
      <c r="M177" s="4">
        <f ca="1"/>
        <v>1.0262126220309087E-2</v>
      </c>
      <c r="N177" s="4">
        <f ca="1"/>
        <v>1.1639231335661027E-2</v>
      </c>
      <c r="O177" s="4">
        <f ca="1"/>
        <v>1.0167507863360292E-2</v>
      </c>
      <c r="P177" s="4">
        <f ca="1"/>
        <v>7.855740046420312E-3</v>
      </c>
    </row>
    <row r="178" spans="1:16" x14ac:dyDescent="0.25">
      <c r="A178" vm="2676">
        <f ca="1"/>
        <v>45184</v>
      </c>
      <c r="B178" s="4">
        <f ca="1"/>
        <v>-7.7433068475125655E-3</v>
      </c>
      <c r="C178" s="4">
        <f ca="1"/>
        <v>-1.8587360594795599E-2</v>
      </c>
      <c r="D178" s="4">
        <f ca="1"/>
        <v>-8.8949709202874594E-3</v>
      </c>
      <c r="E178" s="4">
        <f ca="1"/>
        <v>-1.7398869073510514E-3</v>
      </c>
      <c r="F178" s="4">
        <f ca="1"/>
        <v>-8.3995606383666654E-3</v>
      </c>
      <c r="G178" s="4">
        <f ca="1"/>
        <v>-9.4758661533905775E-3</v>
      </c>
      <c r="H178" s="4">
        <f ca="1"/>
        <v>-2.4270252541817028E-2</v>
      </c>
      <c r="I178" s="4">
        <f ca="1"/>
        <v>-6.121134020618535E-3</v>
      </c>
      <c r="J178" s="4">
        <f ca="1"/>
        <v>-2.7389756231166462E-4</v>
      </c>
      <c r="K178" s="4">
        <f ca="1"/>
        <v>-3.6603361991530914E-2</v>
      </c>
      <c r="L178" s="4">
        <f ca="1"/>
        <v>-1.7505794171310152E-2</v>
      </c>
      <c r="M178" s="4">
        <f ca="1"/>
        <v>-9.5491725318624932E-3</v>
      </c>
      <c r="N178" s="4">
        <f ca="1"/>
        <v>-4.3203644133461561E-3</v>
      </c>
      <c r="O178" s="4">
        <f ca="1"/>
        <v>-5.0687907313540226E-3</v>
      </c>
      <c r="P178" s="4">
        <f ca="1"/>
        <v>-2.5036905816356536E-2</v>
      </c>
    </row>
    <row r="179" spans="1:16" x14ac:dyDescent="0.25">
      <c r="A179" vm="2691">
        <f ca="1"/>
        <v>45187</v>
      </c>
      <c r="B179" s="4">
        <f ca="1"/>
        <v>9.5378965622767709E-3</v>
      </c>
      <c r="C179" s="4">
        <f ca="1"/>
        <v>3.750742721331024E-3</v>
      </c>
      <c r="D179" s="4">
        <f ca="1"/>
        <v>6.2133241284085816E-3</v>
      </c>
      <c r="E179" s="4">
        <f ca="1"/>
        <v>-6.1873638344226434E-3</v>
      </c>
      <c r="F179" s="4">
        <f ca="1"/>
        <v>3.779240242392623E-3</v>
      </c>
      <c r="G179" s="4">
        <f ca="1"/>
        <v>-8.9686098654706559E-4</v>
      </c>
      <c r="H179" s="4">
        <f ca="1"/>
        <v>-4.7058823529412264E-3</v>
      </c>
      <c r="I179" s="4">
        <f ca="1"/>
        <v>8.1037277147488762E-3</v>
      </c>
      <c r="J179" s="4">
        <f ca="1"/>
        <v>4.7123287671232861E-2</v>
      </c>
      <c r="K179" s="4">
        <f ca="1"/>
        <v>7.4589590756219959E-3</v>
      </c>
      <c r="L179" s="4">
        <f ca="1"/>
        <v>-7.729371612126168E-3</v>
      </c>
      <c r="M179" s="4">
        <f ca="1"/>
        <v>1.3443957901206893E-3</v>
      </c>
      <c r="N179" s="4">
        <f ca="1"/>
        <v>1.3701214479424628E-2</v>
      </c>
      <c r="O179" s="4">
        <f ca="1"/>
        <v>5.8951965065501266E-3</v>
      </c>
      <c r="P179" s="4">
        <f ca="1"/>
        <v>-3.5128096420569133E-3</v>
      </c>
    </row>
    <row r="180" spans="1:16" x14ac:dyDescent="0.25">
      <c r="A180" vm="2705">
        <f ca="1"/>
        <v>45188</v>
      </c>
      <c r="B180" s="4">
        <f ca="1"/>
        <v>-1.0483504269186206E-2</v>
      </c>
      <c r="C180" s="4">
        <f ca="1"/>
        <v>5.9935624699396506E-3</v>
      </c>
      <c r="D180" s="4">
        <f ca="1"/>
        <v>-2.0583190394510842E-3</v>
      </c>
      <c r="E180" s="4">
        <f ca="1"/>
        <v>-5.3928446159242638E-3</v>
      </c>
      <c r="F180" s="4">
        <f ca="1"/>
        <v>-2.9211295034080598E-3</v>
      </c>
      <c r="G180" s="4">
        <f ca="1"/>
        <v>1.5559545182525225E-2</v>
      </c>
      <c r="H180" s="4">
        <f ca="1"/>
        <v>-7.4299223235393397E-3</v>
      </c>
      <c r="I180" s="4">
        <f ca="1"/>
        <v>-6.1093247588425159E-3</v>
      </c>
      <c r="J180" s="4">
        <f ca="1"/>
        <v>-6.2794348508634634E-3</v>
      </c>
      <c r="K180" s="4">
        <f ca="1"/>
        <v>8.3292017848288769E-3</v>
      </c>
      <c r="L180" s="4">
        <f ca="1"/>
        <v>-7.9413252402630308E-3</v>
      </c>
      <c r="M180" s="4">
        <f ca="1"/>
        <v>-2.6468218957381717E-3</v>
      </c>
      <c r="N180" s="4">
        <f ca="1"/>
        <v>-1.058484157632722E-2</v>
      </c>
      <c r="O180" s="4">
        <f ca="1"/>
        <v>-1.2300123001230956E-3</v>
      </c>
      <c r="P180" s="4">
        <f ca="1"/>
        <v>-1.2459733787152372E-3</v>
      </c>
    </row>
    <row r="181" spans="1:16" x14ac:dyDescent="0.25">
      <c r="A181" vm="2718">
        <f ca="1"/>
        <v>45189</v>
      </c>
      <c r="B181" s="4">
        <f ca="1"/>
        <v>-3.1911362998136017E-3</v>
      </c>
      <c r="C181" s="4">
        <f ca="1"/>
        <v>-2.0926041704975917E-2</v>
      </c>
      <c r="D181" s="4">
        <f ca="1"/>
        <v>4.4688896528015665E-3</v>
      </c>
      <c r="E181" s="4">
        <f ca="1"/>
        <v>-6.9649548159576025E-3</v>
      </c>
      <c r="F181" s="4">
        <f ca="1"/>
        <v>-8.4635416666667407E-4</v>
      </c>
      <c r="G181" s="4">
        <f ca="1"/>
        <v>2.3571007660578847E-3</v>
      </c>
      <c r="H181" s="4">
        <f ca="1"/>
        <v>-9.9807190654417344E-3</v>
      </c>
      <c r="I181" s="4">
        <f ca="1"/>
        <v>1.2940795858945364E-2</v>
      </c>
      <c r="J181" s="4">
        <f ca="1"/>
        <v>1.8957345971564177E-2</v>
      </c>
      <c r="K181" s="4">
        <f ca="1"/>
        <v>-1.7700855541351146E-2</v>
      </c>
      <c r="L181" s="4">
        <f ca="1"/>
        <v>-4.4868199663488095E-3</v>
      </c>
      <c r="M181" s="4">
        <f ca="1"/>
        <v>7.3076923076922373E-3</v>
      </c>
      <c r="N181" s="4">
        <f ca="1"/>
        <v>3.8560109096894557E-3</v>
      </c>
      <c r="O181" s="4">
        <f ca="1"/>
        <v>-3.115039119095897E-2</v>
      </c>
      <c r="P181" s="4">
        <f ca="1"/>
        <v>-2.3976875095085948E-2</v>
      </c>
    </row>
    <row r="182" spans="1:16" x14ac:dyDescent="0.25">
      <c r="A182" vm="2730">
        <f ca="1"/>
        <v>45190</v>
      </c>
      <c r="B182" s="4">
        <f ca="1"/>
        <v>-2.2665573938431494E-2</v>
      </c>
      <c r="C182" s="4">
        <f ca="1"/>
        <v>-3.8727368341972879E-2</v>
      </c>
      <c r="D182" s="4">
        <f ca="1"/>
        <v>-1.5400410677617993E-2</v>
      </c>
      <c r="E182" s="4">
        <f ca="1"/>
        <v>-2.0419940515825519E-2</v>
      </c>
      <c r="F182" s="4">
        <f ca="1"/>
        <v>-8.6661888316935665E-3</v>
      </c>
      <c r="G182" s="4">
        <f ca="1"/>
        <v>1.3815402704291602E-2</v>
      </c>
      <c r="H182" s="4">
        <f ca="1"/>
        <v>-2.2110207354794409E-2</v>
      </c>
      <c r="I182" s="4">
        <f ca="1"/>
        <v>-9.2622165442350912E-3</v>
      </c>
      <c r="J182" s="4">
        <f ca="1"/>
        <v>-2.0671834625324292E-3</v>
      </c>
      <c r="K182" s="4">
        <f ca="1"/>
        <v>-1.3147795908833082E-2</v>
      </c>
      <c r="L182" s="4">
        <f ca="1"/>
        <v>-4.4967989756722115E-2</v>
      </c>
      <c r="M182" s="4">
        <f ca="1"/>
        <v>-2.0733104238258693E-2</v>
      </c>
      <c r="N182" s="4">
        <f ca="1"/>
        <v>-2.2040051528281923E-2</v>
      </c>
      <c r="O182" s="4">
        <f ca="1"/>
        <v>-2.4674742036787878E-2</v>
      </c>
      <c r="P182" s="4">
        <f ca="1"/>
        <v>-3.8656981637934518E-3</v>
      </c>
    </row>
    <row r="183" spans="1:16" x14ac:dyDescent="0.25">
      <c r="A183" vm="2745">
        <f ca="1"/>
        <v>45191</v>
      </c>
      <c r="B183" s="4">
        <f ca="1"/>
        <v>1.4910510730850923E-2</v>
      </c>
      <c r="C183" s="4">
        <f ca="1"/>
        <v>-6.3303505138525562E-3</v>
      </c>
      <c r="D183" s="4">
        <f ca="1"/>
        <v>1.0427528675704956E-3</v>
      </c>
      <c r="E183" s="4">
        <f ca="1"/>
        <v>1.4818507273304027E-2</v>
      </c>
      <c r="F183" s="4">
        <f ca="1"/>
        <v>-3.6808202970946002E-3</v>
      </c>
      <c r="G183" s="4">
        <f ca="1"/>
        <v>-9.5679907219485827E-3</v>
      </c>
      <c r="H183" s="4">
        <f ca="1"/>
        <v>3.2802249297094743E-3</v>
      </c>
      <c r="I183" s="4">
        <f ca="1"/>
        <v>5.8027079303675233E-3</v>
      </c>
      <c r="J183" s="4">
        <f ca="1"/>
        <v>3.4697048161574484E-2</v>
      </c>
      <c r="K183" s="4">
        <f ca="1"/>
        <v>1.1327900449734418E-2</v>
      </c>
      <c r="L183" s="4">
        <f ca="1"/>
        <v>1.0618330026277656E-2</v>
      </c>
      <c r="M183" s="4">
        <f ca="1"/>
        <v>-1.715600265138395E-3</v>
      </c>
      <c r="N183" s="4">
        <f ca="1"/>
        <v>-9.3164726732769543E-3</v>
      </c>
      <c r="O183" s="4">
        <f ca="1"/>
        <v>-1.4566084023305281E-3</v>
      </c>
      <c r="P183" s="4">
        <f ca="1"/>
        <v>-7.8865834193971862E-3</v>
      </c>
    </row>
    <row r="184" spans="1:16" x14ac:dyDescent="0.25">
      <c r="A184" vm="2761">
        <f ca="1"/>
        <v>45194</v>
      </c>
      <c r="B184" s="4">
        <f ca="1"/>
        <v>1.0870126516911993E-2</v>
      </c>
      <c r="C184" s="4">
        <f ca="1"/>
        <v>5.4662000078651296E-3</v>
      </c>
      <c r="D184" s="4">
        <f ca="1"/>
        <v>-1.0416666666666741E-2</v>
      </c>
      <c r="E184" s="4">
        <f ca="1"/>
        <v>7.9932124676251881E-3</v>
      </c>
      <c r="F184" s="4">
        <f ca="1"/>
        <v>-6.0694022958175387E-3</v>
      </c>
      <c r="G184" s="4">
        <f ca="1"/>
        <v>4.6838407494145251E-3</v>
      </c>
      <c r="H184" s="4">
        <f ca="1"/>
        <v>7.0060719290050422E-3</v>
      </c>
      <c r="I184" s="4">
        <f ca="1"/>
        <v>-1.6025641025640969E-3</v>
      </c>
      <c r="J184" s="4">
        <f ca="1"/>
        <v>-5.0050050050051142E-3</v>
      </c>
      <c r="K184" s="4">
        <f ca="1"/>
        <v>5.8512772502341548E-3</v>
      </c>
      <c r="L184" s="4">
        <f ca="1"/>
        <v>-4.616609180153719E-3</v>
      </c>
      <c r="M184" s="4">
        <f ca="1"/>
        <v>1.6404327617858261E-3</v>
      </c>
      <c r="N184" s="4">
        <f ca="1"/>
        <v>-1.8131270397678811E-3</v>
      </c>
      <c r="O184" s="4">
        <f ca="1"/>
        <v>6.6026871401152487E-3</v>
      </c>
      <c r="P184" s="4">
        <f ca="1"/>
        <v>1.6718715497934244E-3</v>
      </c>
    </row>
    <row r="185" spans="1:16" x14ac:dyDescent="0.25">
      <c r="A185" vm="2775">
        <f ca="1"/>
        <v>45195</v>
      </c>
      <c r="B185" s="4">
        <f ca="1"/>
        <v>-1.9463104390692432E-2</v>
      </c>
      <c r="C185" s="4">
        <f ca="1"/>
        <v>-8.7218397997497199E-3</v>
      </c>
      <c r="D185" s="4">
        <f ca="1"/>
        <v>-8.2456140350877227E-3</v>
      </c>
      <c r="E185" s="4">
        <f ca="1"/>
        <v>-1.1075178310370748E-2</v>
      </c>
      <c r="F185" s="4">
        <f ca="1"/>
        <v>-8.8941988583566278E-3</v>
      </c>
      <c r="G185" s="4">
        <f ca="1"/>
        <v>5.2447552447552059E-3</v>
      </c>
      <c r="H185" s="4">
        <f ca="1"/>
        <v>-2.2611317254174312E-2</v>
      </c>
      <c r="I185" s="4">
        <f ca="1"/>
        <v>-1.7014446227929247E-2</v>
      </c>
      <c r="J185" s="4">
        <f ca="1"/>
        <v>1.0563380281690238E-2</v>
      </c>
      <c r="K185" s="4">
        <f ca="1"/>
        <v>-6.2161353588405799E-3</v>
      </c>
      <c r="L185" s="4">
        <f ca="1"/>
        <v>-1.455379038277016E-2</v>
      </c>
      <c r="M185" s="4">
        <f ca="1"/>
        <v>-1.1893156560732976E-2</v>
      </c>
      <c r="N185" s="4">
        <f ca="1"/>
        <v>-1.005085977234188E-2</v>
      </c>
      <c r="O185" s="4">
        <f ca="1"/>
        <v>-1.9411181450690429E-2</v>
      </c>
      <c r="P185" s="4">
        <f ca="1"/>
        <v>-1.700573156137819E-2</v>
      </c>
    </row>
    <row r="186" spans="1:16" x14ac:dyDescent="0.25">
      <c r="A186" vm="2791">
        <f ca="1"/>
        <v>45196</v>
      </c>
      <c r="B186" s="4">
        <f ca="1"/>
        <v>1.880747089009871E-2</v>
      </c>
      <c r="C186" s="4">
        <f ca="1"/>
        <v>6.3523377391991875E-3</v>
      </c>
      <c r="D186" s="4">
        <f ca="1"/>
        <v>-1.0260038917388914E-2</v>
      </c>
      <c r="E186" s="4">
        <f ca="1"/>
        <v>-2.3876719078976816E-2</v>
      </c>
      <c r="F186" s="4">
        <f ca="1"/>
        <v>-1.3260112510045441E-2</v>
      </c>
      <c r="G186" s="4">
        <f ca="1"/>
        <v>-1.3623188405797015E-2</v>
      </c>
      <c r="H186" s="4">
        <f ca="1"/>
        <v>1.3643374065725355E-2</v>
      </c>
      <c r="I186" s="4">
        <f ca="1"/>
        <v>-1.1103853690398457E-2</v>
      </c>
      <c r="J186" s="4">
        <f ca="1"/>
        <v>-1.9910403185664505E-3</v>
      </c>
      <c r="K186" s="4">
        <f ca="1"/>
        <v>-4.0808134867539314E-3</v>
      </c>
      <c r="L186" s="4">
        <f ca="1"/>
        <v>2.8509602380308419E-2</v>
      </c>
      <c r="M186" s="4">
        <f ca="1"/>
        <v>-1.1089187056037897E-2</v>
      </c>
      <c r="N186" s="4">
        <f ca="1"/>
        <v>-7.3394495412770766E-5</v>
      </c>
      <c r="O186" s="4">
        <f ca="1"/>
        <v>1.5361879205071372E-2</v>
      </c>
      <c r="P186" s="4">
        <f ca="1"/>
        <v>2.0823989235601026E-3</v>
      </c>
    </row>
    <row r="187" spans="1:16" x14ac:dyDescent="0.25">
      <c r="A187" vm="2806">
        <f ca="1"/>
        <v>45197</v>
      </c>
      <c r="B187" s="4">
        <f ca="1"/>
        <v>3.3750095880953346E-3</v>
      </c>
      <c r="C187" s="4">
        <f ca="1"/>
        <v>1.6976397710342539E-2</v>
      </c>
      <c r="D187" s="4">
        <f ca="1"/>
        <v>-2.5022341376228496E-3</v>
      </c>
      <c r="E187" s="4">
        <f ca="1"/>
        <v>1.96879302432309E-2</v>
      </c>
      <c r="F187" s="4">
        <f ca="1"/>
        <v>-6.7870232116193918E-3</v>
      </c>
      <c r="G187" s="4">
        <f ca="1"/>
        <v>-8.2280340875697799E-3</v>
      </c>
      <c r="H187" s="4">
        <f ca="1"/>
        <v>1.1352996254681669E-2</v>
      </c>
      <c r="I187" s="4">
        <f ca="1"/>
        <v>9.5772787318362251E-3</v>
      </c>
      <c r="J187" s="4">
        <f ca="1"/>
        <v>2.9426433915211936E-2</v>
      </c>
      <c r="K187" s="4">
        <f ca="1"/>
        <v>2.0890710015449621E-2</v>
      </c>
      <c r="L187" s="4">
        <f ca="1"/>
        <v>-6.3118030717442819E-3</v>
      </c>
      <c r="M187" s="4">
        <f ca="1"/>
        <v>4.070393870465816E-3</v>
      </c>
      <c r="N187" s="4">
        <f ca="1"/>
        <v>5.4805245644939937E-3</v>
      </c>
      <c r="O187" s="4">
        <f ca="1"/>
        <v>1.3559062356365947E-2</v>
      </c>
      <c r="P187" s="4">
        <f ca="1"/>
        <v>2.7174781802485892E-3</v>
      </c>
    </row>
    <row r="188" spans="1:16" x14ac:dyDescent="0.25">
      <c r="A188" vm="2821">
        <f ca="1"/>
        <v>45198</v>
      </c>
      <c r="B188" s="4">
        <f ca="1"/>
        <v>-7.4153352190200472E-3</v>
      </c>
      <c r="C188" s="4">
        <f ca="1"/>
        <v>-5.0117583561426482E-4</v>
      </c>
      <c r="D188" s="4">
        <f ca="1"/>
        <v>3.0460490951440544E-3</v>
      </c>
      <c r="E188" s="4">
        <f ca="1"/>
        <v>-1.2466807687114723E-2</v>
      </c>
      <c r="F188" s="4">
        <f ca="1"/>
        <v>-3.2800328003279589E-3</v>
      </c>
      <c r="G188" s="4">
        <f ca="1"/>
        <v>-3.259259259259295E-3</v>
      </c>
      <c r="H188" s="4">
        <f ca="1"/>
        <v>5.6706399722254996E-3</v>
      </c>
      <c r="I188" s="4">
        <f ca="1"/>
        <v>5.8881256133465065E-3</v>
      </c>
      <c r="J188" s="4">
        <f ca="1"/>
        <v>-3.5368217054263629E-2</v>
      </c>
      <c r="K188" s="4">
        <f ca="1"/>
        <v>-1.2337149624950694E-2</v>
      </c>
      <c r="L188" s="4">
        <f ca="1"/>
        <v>-9.7925047639212393E-3</v>
      </c>
      <c r="M188" s="4">
        <f ca="1"/>
        <v>-1.1128333532053336E-3</v>
      </c>
      <c r="N188" s="4">
        <f ca="1"/>
        <v>-4.8666536889234724E-3</v>
      </c>
      <c r="O188" s="4">
        <f ca="1"/>
        <v>-1.095911117829329E-2</v>
      </c>
      <c r="P188" s="4">
        <f ca="1"/>
        <v>6.7274582323684218E-3</v>
      </c>
    </row>
    <row r="189" spans="1:16" x14ac:dyDescent="0.25">
      <c r="A189" vm="2835">
        <f ca="1"/>
        <v>45201</v>
      </c>
      <c r="B189" s="4">
        <f ca="1"/>
        <v>-1.0987882522078385E-2</v>
      </c>
      <c r="C189" s="4">
        <f ca="1"/>
        <v>-2.90442027308494E-2</v>
      </c>
      <c r="D189" s="4">
        <f ca="1"/>
        <v>-8.9317613433369525E-3</v>
      </c>
      <c r="E189" s="4">
        <f ca="1"/>
        <v>-1.7865281195880045E-2</v>
      </c>
      <c r="F189" s="4">
        <f ca="1"/>
        <v>-4.5934457699164932E-3</v>
      </c>
      <c r="G189" s="4">
        <f ca="1"/>
        <v>-1.634958382877516E-2</v>
      </c>
      <c r="H189" s="4">
        <f ca="1"/>
        <v>8.6306098964326061E-3</v>
      </c>
      <c r="I189" s="4">
        <f ca="1"/>
        <v>-6.8292682926829329E-3</v>
      </c>
      <c r="J189" s="4">
        <f ca="1"/>
        <v>2.9131089904570473E-2</v>
      </c>
      <c r="K189" s="4">
        <f ca="1"/>
        <v>2.2017920788781176E-2</v>
      </c>
      <c r="L189" s="4">
        <f ca="1"/>
        <v>-5.5754530389693691E-2</v>
      </c>
      <c r="M189" s="4">
        <f ca="1"/>
        <v>-1.0703059722277586E-2</v>
      </c>
      <c r="N189" s="4">
        <f ca="1"/>
        <v>-2.787558685446001E-3</v>
      </c>
      <c r="O189" s="4">
        <f ca="1"/>
        <v>2.5294207550053294E-2</v>
      </c>
      <c r="P189" s="4">
        <f ca="1"/>
        <v>1.9160728424386431E-2</v>
      </c>
    </row>
    <row r="190" spans="1:16" x14ac:dyDescent="0.25">
      <c r="A190" vm="2849">
        <f ca="1"/>
        <v>45202</v>
      </c>
      <c r="B190" s="4">
        <f ca="1"/>
        <v>-8.5401308275361298E-3</v>
      </c>
      <c r="C190" s="4">
        <f ca="1"/>
        <v>-2.3835061375282462E-3</v>
      </c>
      <c r="D190" s="4">
        <f ca="1"/>
        <v>-1.0814708002883866E-2</v>
      </c>
      <c r="E190" s="4">
        <f ca="1"/>
        <v>1.2900232018561386E-2</v>
      </c>
      <c r="F190" s="4">
        <f ca="1"/>
        <v>2.0662580067498659E-3</v>
      </c>
      <c r="G190" s="4">
        <f ca="1"/>
        <v>6.0441220912643701E-4</v>
      </c>
      <c r="H190" s="4">
        <f ca="1"/>
        <v>-2.55561893896179E-2</v>
      </c>
      <c r="I190" s="4">
        <f ca="1"/>
        <v>7.5311067452521474E-3</v>
      </c>
      <c r="J190" s="4">
        <f ca="1"/>
        <v>-2.9770619814543653E-2</v>
      </c>
      <c r="K190" s="4">
        <f ca="1"/>
        <v>-1.916433087803926E-2</v>
      </c>
      <c r="L190" s="4">
        <f ca="1"/>
        <v>-4.115715579710133E-2</v>
      </c>
      <c r="M190" s="4">
        <f ca="1"/>
        <v>-1.2467824967823393E-3</v>
      </c>
      <c r="N190" s="4">
        <f ca="1"/>
        <v>-9.7837281153450029E-3</v>
      </c>
      <c r="O190" s="4">
        <f ca="1"/>
        <v>-1.2968621897592514E-2</v>
      </c>
      <c r="P190" s="4">
        <f ca="1"/>
        <v>-2.613424487259175E-2</v>
      </c>
    </row>
    <row r="191" spans="1:16" x14ac:dyDescent="0.25">
      <c r="A191" vm="2861">
        <f ca="1"/>
        <v>45203</v>
      </c>
      <c r="B191" s="4">
        <f ca="1"/>
        <v>6.9118994632804132E-3</v>
      </c>
      <c r="C191" s="4">
        <f ca="1"/>
        <v>1.8436666268466517E-2</v>
      </c>
      <c r="D191" s="4">
        <f ca="1"/>
        <v>2.9154518950436081E-3</v>
      </c>
      <c r="E191" s="4">
        <f ca="1"/>
        <v>1.9607843137254832E-2</v>
      </c>
      <c r="F191" s="4">
        <f ca="1"/>
        <v>3.2991958210184524E-3</v>
      </c>
      <c r="G191" s="4">
        <f ca="1"/>
        <v>5.1344004832376555E-3</v>
      </c>
      <c r="H191" s="4">
        <f ca="1"/>
        <v>1.475237091675452E-2</v>
      </c>
      <c r="I191" s="4">
        <f ca="1"/>
        <v>2.5999350016250311E-3</v>
      </c>
      <c r="J191" s="4">
        <f ca="1"/>
        <v>9.5573440643863528E-3</v>
      </c>
      <c r="K191" s="4">
        <f ca="1"/>
        <v>1.5418355818435536E-2</v>
      </c>
      <c r="L191" s="4">
        <f ca="1"/>
        <v>1.4052075338017334E-2</v>
      </c>
      <c r="M191" s="4">
        <f ca="1"/>
        <v>4.1477066806265839E-3</v>
      </c>
      <c r="N191" s="4">
        <f ca="1"/>
        <v>-6.1907238194289782E-3</v>
      </c>
      <c r="O191" s="4">
        <f ca="1"/>
        <v>2.1218757079211725E-2</v>
      </c>
      <c r="P191" s="4">
        <f ca="1"/>
        <v>1.7757426848336033E-2</v>
      </c>
    </row>
    <row r="192" spans="1:16" x14ac:dyDescent="0.25">
      <c r="A192" vm="2876">
        <f ca="1"/>
        <v>45204</v>
      </c>
      <c r="B192" s="4">
        <f ca="1"/>
        <v>-2.3661561663068653E-3</v>
      </c>
      <c r="C192" s="4">
        <f ca="1"/>
        <v>9.266499843603393E-3</v>
      </c>
      <c r="D192" s="4">
        <f ca="1"/>
        <v>-4.8328488372092915E-2</v>
      </c>
      <c r="E192" s="4">
        <f ca="1"/>
        <v>-4.4931703810202617E-4</v>
      </c>
      <c r="F192" s="4">
        <f ca="1"/>
        <v>-1.4866068370212981E-2</v>
      </c>
      <c r="G192" s="4">
        <f ca="1"/>
        <v>-2.8846153846153855E-2</v>
      </c>
      <c r="H192" s="4">
        <f ca="1"/>
        <v>4.1536863966771254E-3</v>
      </c>
      <c r="I192" s="4">
        <f ca="1"/>
        <v>-1.4262560777957956E-2</v>
      </c>
      <c r="J192" s="4">
        <f ca="1"/>
        <v>-2.8898854010961705E-2</v>
      </c>
      <c r="K192" s="4">
        <f ca="1"/>
        <v>-2.585247725636397E-3</v>
      </c>
      <c r="L192" s="4">
        <f ca="1"/>
        <v>-2.0494905385735174E-2</v>
      </c>
      <c r="M192" s="4">
        <f ca="1"/>
        <v>-3.2202438241899278E-2</v>
      </c>
      <c r="N192" s="4">
        <f ca="1"/>
        <v>-9.9170258889192953E-3</v>
      </c>
      <c r="O192" s="4">
        <f ca="1"/>
        <v>-1.2570245489501586E-3</v>
      </c>
      <c r="P192" s="4">
        <f ca="1"/>
        <v>1.2697715978744473E-3</v>
      </c>
    </row>
    <row r="193" spans="1:16" x14ac:dyDescent="0.25">
      <c r="A193" vm="2891">
        <f ca="1"/>
        <v>45205</v>
      </c>
      <c r="B193" s="4">
        <f ca="1"/>
        <v>2.095496246872397E-2</v>
      </c>
      <c r="C193" s="4">
        <f ca="1"/>
        <v>1.6270871266416131E-2</v>
      </c>
      <c r="D193" s="4">
        <f ca="1"/>
        <v>1.4509354715540157E-2</v>
      </c>
      <c r="E193" s="4">
        <f ca="1"/>
        <v>7.9564865593813039E-3</v>
      </c>
      <c r="F193" s="4">
        <f ca="1"/>
        <v>2.0166898470097561E-3</v>
      </c>
      <c r="G193" s="4">
        <f ca="1"/>
        <v>-8.972772277227703E-3</v>
      </c>
      <c r="H193" s="4">
        <f ca="1"/>
        <v>2.5968056991841904E-2</v>
      </c>
      <c r="I193" s="4">
        <f ca="1"/>
        <v>1.6441959881617896E-2</v>
      </c>
      <c r="J193" s="4">
        <f ca="1"/>
        <v>3.5915854284248372E-2</v>
      </c>
      <c r="K193" s="4">
        <f ca="1"/>
        <v>3.4909281800584058E-2</v>
      </c>
      <c r="L193" s="4">
        <f ca="1"/>
        <v>2.6630208642929531E-2</v>
      </c>
      <c r="M193" s="4">
        <f ca="1"/>
        <v>-1.9558281191729199E-2</v>
      </c>
      <c r="N193" s="4">
        <f ca="1"/>
        <v>8.5063545992198897E-3</v>
      </c>
      <c r="O193" s="4">
        <f ca="1"/>
        <v>1.8582956985267129E-2</v>
      </c>
      <c r="P193" s="4">
        <f ca="1"/>
        <v>2.4736973947895757E-2</v>
      </c>
    </row>
    <row r="194" spans="1:16" x14ac:dyDescent="0.25">
      <c r="A194" vm="2904">
        <f ca="1"/>
        <v>45208</v>
      </c>
      <c r="B194" s="4">
        <f ca="1"/>
        <v>9.4199938731747146E-3</v>
      </c>
      <c r="C194" s="4">
        <f ca="1"/>
        <v>7.1284260282848955E-3</v>
      </c>
      <c r="D194" s="4">
        <f ca="1"/>
        <v>-4.8927361686111892E-3</v>
      </c>
      <c r="E194" s="4">
        <f ca="1"/>
        <v>7.0463363510682164E-3</v>
      </c>
      <c r="F194" s="4">
        <f ca="1"/>
        <v>-5.0662780206814917E-3</v>
      </c>
      <c r="G194" s="4">
        <f ca="1"/>
        <v>1.4361536059943836E-2</v>
      </c>
      <c r="H194" s="4">
        <f ca="1"/>
        <v>-3.359838727741149E-3</v>
      </c>
      <c r="I194" s="4">
        <f ca="1"/>
        <v>5.4998382400517354E-3</v>
      </c>
      <c r="J194" s="4">
        <f ca="1"/>
        <v>1.535413571074784E-2</v>
      </c>
      <c r="K194" s="4">
        <f ca="1"/>
        <v>9.2889072060362565E-3</v>
      </c>
      <c r="L194" s="4">
        <f ca="1"/>
        <v>6.8322621735856792E-3</v>
      </c>
      <c r="M194" s="4">
        <f ca="1"/>
        <v>-6.4240733696800945E-3</v>
      </c>
      <c r="N194" s="4">
        <f ca="1"/>
        <v>8.9336960047912362E-2</v>
      </c>
      <c r="O194" s="4">
        <f ca="1"/>
        <v>6.1055385957260455E-3</v>
      </c>
      <c r="P194" s="4">
        <f ca="1"/>
        <v>7.822526431583432E-3</v>
      </c>
    </row>
    <row r="195" spans="1:16" x14ac:dyDescent="0.25">
      <c r="A195" vm="2917">
        <f ca="1"/>
        <v>45209</v>
      </c>
      <c r="B195" s="4">
        <f ca="1"/>
        <v>4.6786879441591545E-3</v>
      </c>
      <c r="C195" s="4">
        <f ca="1"/>
        <v>-3.1415594246781975E-3</v>
      </c>
      <c r="D195" s="4">
        <f ca="1"/>
        <v>2.1747352496217731E-2</v>
      </c>
      <c r="E195" s="4">
        <f ca="1"/>
        <v>7.5727381426864415E-3</v>
      </c>
      <c r="F195" s="4">
        <f ca="1"/>
        <v>9.9051339285713969E-3</v>
      </c>
      <c r="G195" s="4">
        <f ca="1"/>
        <v>-6.1557402277634399E-4</v>
      </c>
      <c r="H195" s="4">
        <f ca="1"/>
        <v>1.8204292617147955E-2</v>
      </c>
      <c r="I195" s="4">
        <f ca="1"/>
        <v>1.4800514800514808E-2</v>
      </c>
      <c r="J195" s="4">
        <f ca="1"/>
        <v>4.6585365853658356E-2</v>
      </c>
      <c r="K195" s="4">
        <f ca="1"/>
        <v>1.0931021485111048E-2</v>
      </c>
      <c r="L195" s="4">
        <f ca="1"/>
        <v>2.1507849790097344E-2</v>
      </c>
      <c r="M195" s="4">
        <f ca="1"/>
        <v>1.1952869113956321E-2</v>
      </c>
      <c r="N195" s="4">
        <f ca="1"/>
        <v>-3.2758344214600665E-3</v>
      </c>
      <c r="O195" s="4">
        <f ca="1"/>
        <v>-2.6007802340700659E-3</v>
      </c>
      <c r="P195" s="4">
        <f ca="1"/>
        <v>-4.3356982596568505E-3</v>
      </c>
    </row>
    <row r="196" spans="1:16" x14ac:dyDescent="0.25">
      <c r="A196" vm="2932">
        <f ca="1"/>
        <v>45210</v>
      </c>
      <c r="B196" s="4">
        <f ca="1"/>
        <v>2.5247948446861068E-2</v>
      </c>
      <c r="C196" s="4">
        <f ca="1"/>
        <v>1.5947146599840423E-2</v>
      </c>
      <c r="D196" s="4">
        <f ca="1"/>
        <v>-5.922635572829904E-3</v>
      </c>
      <c r="E196" s="4">
        <f ca="1"/>
        <v>-1.1075949367088667E-2</v>
      </c>
      <c r="F196" s="4">
        <f ca="1"/>
        <v>-1.2294515817101836E-2</v>
      </c>
      <c r="G196" s="4">
        <f ca="1"/>
        <v>-9.2392978133670756E-4</v>
      </c>
      <c r="H196" s="4">
        <f ca="1"/>
        <v>1.534047014678297E-2</v>
      </c>
      <c r="I196" s="4">
        <f ca="1"/>
        <v>2.2194039315155401E-3</v>
      </c>
      <c r="J196" s="4">
        <f ca="1"/>
        <v>3.7054299697040438E-2</v>
      </c>
      <c r="K196" s="4">
        <f ca="1"/>
        <v>1.858066119811097E-2</v>
      </c>
      <c r="L196" s="4">
        <f ca="1"/>
        <v>9.5141586443732162E-3</v>
      </c>
      <c r="M196" s="4">
        <f ca="1"/>
        <v>4.6237915090374671E-3</v>
      </c>
      <c r="N196" s="4">
        <f ca="1"/>
        <v>3.5623994484026422E-3</v>
      </c>
      <c r="O196" s="4">
        <f ca="1"/>
        <v>1.8035636679704536E-2</v>
      </c>
      <c r="P196" s="4">
        <f ca="1"/>
        <v>1.2271993666067793E-2</v>
      </c>
    </row>
    <row r="197" spans="1:16" x14ac:dyDescent="0.25">
      <c r="A197" vm="2945">
        <f ca="1"/>
        <v>45211</v>
      </c>
      <c r="B197" s="4">
        <f ca="1"/>
        <v>-1.031206265805773E-3</v>
      </c>
      <c r="C197" s="4">
        <f ca="1"/>
        <v>-3.5915835108569771E-2</v>
      </c>
      <c r="D197" s="4">
        <f ca="1"/>
        <v>-1.6756656116179491E-2</v>
      </c>
      <c r="E197" s="4">
        <f ca="1"/>
        <v>-2.3600000000000065E-2</v>
      </c>
      <c r="F197" s="4">
        <f ca="1"/>
        <v>2.2377622377622863E-3</v>
      </c>
      <c r="G197" s="4">
        <f ca="1"/>
        <v>-5.02466091245376E-2</v>
      </c>
      <c r="H197" s="4">
        <f ca="1"/>
        <v>4.5652173913044436E-3</v>
      </c>
      <c r="I197" s="4">
        <f ca="1"/>
        <v>-1.4236001265422349E-2</v>
      </c>
      <c r="J197" s="4">
        <f ca="1"/>
        <v>1.9775280898876479E-2</v>
      </c>
      <c r="K197" s="4">
        <f ca="1"/>
        <v>-1.1164663534866559E-2</v>
      </c>
      <c r="L197" s="4">
        <f ca="1"/>
        <v>-7.8630381440999431E-3</v>
      </c>
      <c r="M197" s="4">
        <f ca="1"/>
        <v>-4.4393305439330621E-2</v>
      </c>
      <c r="N197" s="4">
        <f ca="1"/>
        <v>-5.7483110042367835E-3</v>
      </c>
      <c r="O197" s="4">
        <f ca="1"/>
        <v>-1.1241551049448684E-2</v>
      </c>
      <c r="P197" s="4">
        <f ca="1"/>
        <v>-3.7903856566993133E-3</v>
      </c>
    </row>
    <row r="198" spans="1:16" x14ac:dyDescent="0.25">
      <c r="A198" vm="2960">
        <f ca="1"/>
        <v>45212</v>
      </c>
      <c r="B198" s="4">
        <f ca="1"/>
        <v>-3.4261557745717264E-2</v>
      </c>
      <c r="C198" s="4">
        <f ca="1"/>
        <v>-6.7452318188864213E-3</v>
      </c>
      <c r="D198" s="4">
        <f ca="1"/>
        <v>1.5148646089755413E-3</v>
      </c>
      <c r="E198" s="4">
        <f ca="1"/>
        <v>1.1971414265556035E-2</v>
      </c>
      <c r="F198" s="4">
        <f ca="1"/>
        <v>9.5590287468600987E-3</v>
      </c>
      <c r="G198" s="4">
        <f ca="1"/>
        <v>2.0123336579032758E-2</v>
      </c>
      <c r="H198" s="4">
        <f ca="1"/>
        <v>-2.120753083748117E-2</v>
      </c>
      <c r="I198" s="4">
        <f ca="1"/>
        <v>-6.4184852374837842E-4</v>
      </c>
      <c r="J198" s="4">
        <f ca="1"/>
        <v>1.8951079770824109E-2</v>
      </c>
      <c r="K198" s="4">
        <f ca="1"/>
        <v>-2.9213968410661484E-2</v>
      </c>
      <c r="L198" s="4">
        <f ca="1"/>
        <v>-2.461918947782582E-2</v>
      </c>
      <c r="M198" s="4">
        <f ca="1"/>
        <v>1.4448968869039902E-2</v>
      </c>
      <c r="N198" s="4">
        <f ca="1"/>
        <v>1.5939558667710907E-2</v>
      </c>
      <c r="O198" s="4">
        <f ca="1"/>
        <v>-1.1585234223213559E-2</v>
      </c>
      <c r="P198" s="4">
        <f ca="1"/>
        <v>-1.0357531102790252E-2</v>
      </c>
    </row>
    <row r="199" spans="1:16" x14ac:dyDescent="0.25">
      <c r="A199" vm="2976">
        <f ca="1"/>
        <v>45215</v>
      </c>
      <c r="B199" s="4">
        <f ca="1"/>
        <v>1.0332629221489809E-2</v>
      </c>
      <c r="C199" s="4">
        <f ca="1"/>
        <v>3.0676762157520798E-2</v>
      </c>
      <c r="D199" s="4">
        <f ca="1"/>
        <v>1.0209869540555916E-2</v>
      </c>
      <c r="E199" s="4">
        <f ca="1"/>
        <v>7.7365958978050653E-3</v>
      </c>
      <c r="F199" s="4">
        <f ca="1"/>
        <v>9.5376321791416085E-3</v>
      </c>
      <c r="G199" s="4">
        <f ca="1"/>
        <v>4.7725103404390179E-3</v>
      </c>
      <c r="H199" s="4">
        <f ca="1"/>
        <v>8.4015034269291355E-3</v>
      </c>
      <c r="I199" s="4">
        <f ca="1"/>
        <v>8.6705202312138407E-3</v>
      </c>
      <c r="J199" s="4">
        <f ca="1"/>
        <v>1.4273356401383941E-2</v>
      </c>
      <c r="K199" s="4">
        <f ca="1"/>
        <v>2.0528138803266538E-2</v>
      </c>
      <c r="L199" s="4">
        <f ca="1"/>
        <v>1.6423673140091077E-2</v>
      </c>
      <c r="M199" s="4">
        <f ca="1"/>
        <v>1.3379947343433063E-2</v>
      </c>
      <c r="N199" s="4">
        <f ca="1"/>
        <v>-1.4737223960458179E-3</v>
      </c>
      <c r="O199" s="4">
        <f ca="1"/>
        <v>1.26310425160161E-2</v>
      </c>
      <c r="P199" s="4">
        <f ca="1"/>
        <v>1.4981844811277512E-2</v>
      </c>
    </row>
    <row r="200" spans="1:16" x14ac:dyDescent="0.25">
      <c r="A200" vm="2991">
        <f ca="1"/>
        <v>45216</v>
      </c>
      <c r="B200" s="4">
        <f ca="1"/>
        <v>1.4710698002468492E-2</v>
      </c>
      <c r="C200" s="4">
        <f ca="1"/>
        <v>2.537109966676887E-3</v>
      </c>
      <c r="D200" s="4">
        <f ca="1"/>
        <v>1.1978289350552229E-2</v>
      </c>
      <c r="E200" s="4">
        <f ca="1"/>
        <v>-4.4634886627388237E-3</v>
      </c>
      <c r="F200" s="4">
        <f ca="1"/>
        <v>1.3007462175669282E-3</v>
      </c>
      <c r="G200" s="4">
        <f ca="1"/>
        <v>-2.2165927802405561E-3</v>
      </c>
      <c r="H200" s="4">
        <f ca="1"/>
        <v>-2.4117518088138112E-3</v>
      </c>
      <c r="I200" s="4">
        <f ca="1"/>
        <v>-1.2734797835084466E-3</v>
      </c>
      <c r="J200" s="4">
        <f ca="1"/>
        <v>3.3688699360341134E-2</v>
      </c>
      <c r="K200" s="4">
        <f ca="1"/>
        <v>8.8743577767398385E-3</v>
      </c>
      <c r="L200" s="4">
        <f ca="1"/>
        <v>1.7122122689647412E-2</v>
      </c>
      <c r="M200" s="4">
        <f ca="1"/>
        <v>1.2819966778823799E-2</v>
      </c>
      <c r="N200" s="4">
        <f ca="1"/>
        <v>1.6348402624826175E-3</v>
      </c>
      <c r="O200" s="4">
        <f ca="1"/>
        <v>4.4933318954671897E-3</v>
      </c>
      <c r="P200" s="4">
        <f ca="1"/>
        <v>-1.7436267436267139E-3</v>
      </c>
    </row>
    <row r="201" spans="1:16" x14ac:dyDescent="0.25">
      <c r="A201" vm="3007">
        <f ca="1"/>
        <v>45217</v>
      </c>
      <c r="B201" s="4">
        <f ca="1"/>
        <v>-5.9206116724176416E-2</v>
      </c>
      <c r="C201" s="4">
        <f ca="1"/>
        <v>-3.0330500472143473E-2</v>
      </c>
      <c r="D201" s="4">
        <f ca="1"/>
        <v>-3.6989088218986055E-4</v>
      </c>
      <c r="E201" s="4">
        <f ca="1"/>
        <v>-4.9318507890960817E-3</v>
      </c>
      <c r="F201" s="4">
        <f ca="1"/>
        <v>2.5776015315192247E-2</v>
      </c>
      <c r="G201" s="4">
        <f ca="1"/>
        <v>6.9819105046016183E-3</v>
      </c>
      <c r="H201" s="4">
        <f ca="1"/>
        <v>-1.5384615384615441E-2</v>
      </c>
      <c r="I201" s="4">
        <f ca="1"/>
        <v>-2.2314313037934297E-2</v>
      </c>
      <c r="J201" s="4">
        <f ca="1"/>
        <v>-1.6089108910890992E-2</v>
      </c>
      <c r="K201" s="4">
        <f ca="1"/>
        <v>-2.1697530864197456E-2</v>
      </c>
      <c r="L201" s="4">
        <f ca="1"/>
        <v>-4.1025641025641102E-2</v>
      </c>
      <c r="M201" s="4">
        <f ca="1"/>
        <v>-1.8376787216147994E-2</v>
      </c>
      <c r="N201" s="4">
        <f ca="1"/>
        <v>1.1198512910026492E-2</v>
      </c>
      <c r="O201" s="4">
        <f ca="1"/>
        <v>-1.2596621815058606E-2</v>
      </c>
      <c r="P201" s="4">
        <f ca="1"/>
        <v>-5.872432692886842E-3</v>
      </c>
    </row>
    <row r="202" spans="1:16" x14ac:dyDescent="0.25">
      <c r="A202" vm="3019">
        <f ca="1"/>
        <v>45218</v>
      </c>
      <c r="B202" s="4">
        <f ca="1"/>
        <v>-1.0554646683202273E-2</v>
      </c>
      <c r="C202" s="4">
        <f ca="1"/>
        <v>-3.9342474291056528E-2</v>
      </c>
      <c r="D202" s="4">
        <f ca="1"/>
        <v>5.5504162812212154E-3</v>
      </c>
      <c r="E202" s="4">
        <f ca="1"/>
        <v>-2.2708840227088412E-2</v>
      </c>
      <c r="F202" s="4">
        <f ca="1"/>
        <v>-1.1864293807905102E-2</v>
      </c>
      <c r="G202" s="4">
        <f ca="1"/>
        <v>-8.8244563504570328E-3</v>
      </c>
      <c r="H202" s="4">
        <f ca="1"/>
        <v>3.6941964285714279E-2</v>
      </c>
      <c r="I202" s="4">
        <f ca="1"/>
        <v>-4.2386697098142356E-3</v>
      </c>
      <c r="J202" s="4">
        <f ca="1"/>
        <v>-1.9077568134171941E-2</v>
      </c>
      <c r="K202" s="4">
        <f ca="1"/>
        <v>-1.3124270435687979E-2</v>
      </c>
      <c r="L202" s="4">
        <f ca="1"/>
        <v>-1.9181585677749302E-2</v>
      </c>
      <c r="M202" s="4">
        <f ca="1"/>
        <v>-9.8530608747815496E-4</v>
      </c>
      <c r="N202" s="4">
        <f ca="1"/>
        <v>6.9719999103279306E-3</v>
      </c>
      <c r="O202" s="4">
        <f ca="1"/>
        <v>-1.5221803421282543E-3</v>
      </c>
      <c r="P202" s="4">
        <f ca="1"/>
        <v>3.6654448517159377E-3</v>
      </c>
    </row>
    <row r="203" spans="1:16" x14ac:dyDescent="0.25">
      <c r="A203" vm="3034">
        <f ca="1"/>
        <v>45219</v>
      </c>
      <c r="B203" s="4">
        <f ca="1"/>
        <v>-5.4936263267374441E-3</v>
      </c>
      <c r="C203" s="4">
        <f ca="1"/>
        <v>-1.784121320249743E-3</v>
      </c>
      <c r="D203" s="4">
        <f ca="1"/>
        <v>4.0478380864765739E-3</v>
      </c>
      <c r="E203" s="4">
        <f ca="1"/>
        <v>6.9156293222683018E-4</v>
      </c>
      <c r="F203" s="4">
        <f ca="1"/>
        <v>-1.3490725126474867E-3</v>
      </c>
      <c r="G203" s="4">
        <f ca="1"/>
        <v>-4.4515103338632622E-3</v>
      </c>
      <c r="H203" s="4">
        <f ca="1"/>
        <v>-1.7220966526746206E-2</v>
      </c>
      <c r="I203" s="4">
        <f ca="1"/>
        <v>7.2036673215456482E-3</v>
      </c>
      <c r="J203" s="4">
        <f ca="1"/>
        <v>2.7783714468905263E-3</v>
      </c>
      <c r="K203" s="4">
        <f ca="1"/>
        <v>-1.3298807582877825E-2</v>
      </c>
      <c r="L203" s="4">
        <f ca="1"/>
        <v>-2.3942159535380036E-2</v>
      </c>
      <c r="M203" s="4">
        <f ca="1"/>
        <v>-1.2049742710120048E-2</v>
      </c>
      <c r="N203" s="4">
        <f ca="1"/>
        <v>-1.1153657776392545E-2</v>
      </c>
      <c r="O203" s="4">
        <f ca="1"/>
        <v>-1.5607985480943776E-2</v>
      </c>
      <c r="P203" s="4">
        <f ca="1"/>
        <v>-1.4034770010865505E-2</v>
      </c>
    </row>
    <row r="204" spans="1:16" x14ac:dyDescent="0.25">
      <c r="A204" vm="3048">
        <f ca="1"/>
        <v>45222</v>
      </c>
      <c r="B204" s="4">
        <f ca="1"/>
        <v>-1.6223318674246534E-2</v>
      </c>
      <c r="C204" s="4">
        <f ca="1"/>
        <v>-1.8888618084328512E-2</v>
      </c>
      <c r="D204" s="4">
        <f ca="1"/>
        <v>-8.9792926516401028E-3</v>
      </c>
      <c r="E204" s="4">
        <f ca="1"/>
        <v>-1.0504492052522463E-2</v>
      </c>
      <c r="F204" s="4">
        <f ca="1"/>
        <v>6.7544748395809151E-4</v>
      </c>
      <c r="G204" s="4">
        <f ca="1"/>
        <v>-6.0683487703608874E-3</v>
      </c>
      <c r="H204" s="4">
        <f ca="1"/>
        <v>-2.1903405979629698E-3</v>
      </c>
      <c r="I204" s="4">
        <f ca="1"/>
        <v>-1.950585175552666E-2</v>
      </c>
      <c r="J204" s="4">
        <f ca="1"/>
        <v>-5.0298380221653893E-2</v>
      </c>
      <c r="K204" s="4">
        <f ca="1"/>
        <v>1.7365948485339455E-2</v>
      </c>
      <c r="L204" s="4">
        <f ca="1"/>
        <v>4.6751669702489451E-3</v>
      </c>
      <c r="M204" s="4">
        <f ca="1"/>
        <v>6.3804852641173859E-3</v>
      </c>
      <c r="N204" s="4">
        <f ca="1"/>
        <v>4.4802665646037632E-3</v>
      </c>
      <c r="O204" s="4">
        <f ca="1"/>
        <v>6.6371681415928752E-3</v>
      </c>
      <c r="P204" s="4">
        <f ca="1"/>
        <v>8.1121621207946859E-3</v>
      </c>
    </row>
    <row r="205" spans="1:16" x14ac:dyDescent="0.25">
      <c r="A205" vm="3061">
        <f ca="1"/>
        <v>45223</v>
      </c>
      <c r="B205" s="4">
        <f ca="1"/>
        <v>1.747212909204876E-2</v>
      </c>
      <c r="C205" s="4">
        <f ca="1"/>
        <v>8.2805448598621822E-5</v>
      </c>
      <c r="D205" s="4">
        <f ca="1"/>
        <v>2.8846153846153966E-2</v>
      </c>
      <c r="E205" s="4">
        <f ca="1"/>
        <v>1.1360990827396833E-2</v>
      </c>
      <c r="F205" s="4">
        <f ca="1"/>
        <v>1.1812352345595745E-2</v>
      </c>
      <c r="G205" s="4">
        <f ca="1"/>
        <v>1.8958868894601633E-2</v>
      </c>
      <c r="H205" s="4">
        <f ca="1"/>
        <v>5.8171441115135725E-3</v>
      </c>
      <c r="I205" s="4">
        <f ca="1"/>
        <v>-1.5915119363395291E-2</v>
      </c>
      <c r="J205" s="4">
        <f ca="1"/>
        <v>1.3464991023337536E-3</v>
      </c>
      <c r="K205" s="4">
        <f ca="1"/>
        <v>-4.6495334543484867E-3</v>
      </c>
      <c r="L205" s="4">
        <f ca="1"/>
        <v>1.0757236961382644E-2</v>
      </c>
      <c r="M205" s="4">
        <f ca="1"/>
        <v>1.2119382385922473E-2</v>
      </c>
      <c r="N205" s="4">
        <f ca="1"/>
        <v>-1.1789492558723413E-2</v>
      </c>
      <c r="O205" s="4">
        <f ca="1"/>
        <v>1.6923076923077041E-2</v>
      </c>
      <c r="P205" s="4">
        <f ca="1"/>
        <v>3.6742378233936002E-3</v>
      </c>
    </row>
    <row r="206" spans="1:16" x14ac:dyDescent="0.25">
      <c r="A206" vm="3076">
        <f ca="1"/>
        <v>45224</v>
      </c>
      <c r="B206" s="4">
        <f ca="1"/>
        <v>-1.5430775825117871E-2</v>
      </c>
      <c r="C206" s="4">
        <f ca="1"/>
        <v>-1.8215690333264312E-2</v>
      </c>
      <c r="D206" s="4">
        <f ca="1"/>
        <v>8.6268871315600126E-3</v>
      </c>
      <c r="E206" s="4">
        <f ca="1"/>
        <v>-1.9382164725381013E-2</v>
      </c>
      <c r="F206" s="4">
        <f ca="1"/>
        <v>4.6697798532353563E-3</v>
      </c>
      <c r="G206" s="4">
        <f ca="1"/>
        <v>1.1668243456322891E-2</v>
      </c>
      <c r="H206" s="4">
        <f ca="1"/>
        <v>-4.3649061545176782E-2</v>
      </c>
      <c r="I206" s="4">
        <f ca="1"/>
        <v>-2.6954177897573484E-3</v>
      </c>
      <c r="J206" s="4">
        <f ca="1"/>
        <v>1.2102196324518033E-2</v>
      </c>
      <c r="K206" s="4">
        <f ca="1"/>
        <v>-4.1657334826427861E-2</v>
      </c>
      <c r="L206" s="4">
        <f ca="1"/>
        <v>5.8594917787742062E-3</v>
      </c>
      <c r="M206" s="4">
        <f ca="1"/>
        <v>-2.7698470192183411E-3</v>
      </c>
      <c r="N206" s="4">
        <f ca="1"/>
        <v>1.5400317532320296E-2</v>
      </c>
      <c r="O206" s="4">
        <f ca="1"/>
        <v>-9.5094013399610988E-2</v>
      </c>
      <c r="P206" s="4">
        <f ca="1"/>
        <v>3.0678001996793158E-2</v>
      </c>
    </row>
    <row r="207" spans="1:16" x14ac:dyDescent="0.25">
      <c r="A207" vm="3090">
        <f ca="1"/>
        <v>45225</v>
      </c>
      <c r="B207" s="4">
        <f ca="1"/>
        <v>6.6390944710492672E-3</v>
      </c>
      <c r="C207" s="4">
        <f ca="1"/>
        <v>1.1806873286950292E-3</v>
      </c>
      <c r="D207" s="4">
        <f ca="1"/>
        <v>-6.058446186742672E-3</v>
      </c>
      <c r="E207" s="4">
        <f ca="1"/>
        <v>-1.6901408450704203E-2</v>
      </c>
      <c r="F207" s="4">
        <f ca="1"/>
        <v>-5.312084993359778E-3</v>
      </c>
      <c r="G207" s="4">
        <f ca="1"/>
        <v>-6.8578553615959992E-3</v>
      </c>
      <c r="H207" s="4">
        <f ca="1"/>
        <v>-2.167959835691402E-3</v>
      </c>
      <c r="I207" s="4">
        <f ca="1"/>
        <v>-3.3783783783791765E-4</v>
      </c>
      <c r="J207" s="4">
        <f ca="1"/>
        <v>-8.8573959255978663E-3</v>
      </c>
      <c r="K207" s="4">
        <f ca="1"/>
        <v>-3.7325142723600102E-2</v>
      </c>
      <c r="L207" s="4">
        <f ca="1"/>
        <v>-5.8253581406407795E-3</v>
      </c>
      <c r="M207" s="4">
        <f ca="1"/>
        <v>-1.1281087086573827E-2</v>
      </c>
      <c r="N207" s="4">
        <f ca="1"/>
        <v>-3.8419442024614225E-3</v>
      </c>
      <c r="O207" s="4">
        <f ca="1"/>
        <v>-2.6510628134702618E-2</v>
      </c>
      <c r="P207" s="4">
        <f ca="1"/>
        <v>-3.7514310036105392E-2</v>
      </c>
    </row>
    <row r="208" spans="1:16" x14ac:dyDescent="0.25">
      <c r="A208" vm="3101">
        <f ca="1"/>
        <v>45226</v>
      </c>
      <c r="B208" s="4">
        <f ca="1"/>
        <v>-1.0055141096334652E-2</v>
      </c>
      <c r="C208" s="4">
        <f ca="1"/>
        <v>4.7803563155456308E-2</v>
      </c>
      <c r="D208" s="4">
        <f ca="1"/>
        <v>-9.6808892076012398E-3</v>
      </c>
      <c r="E208" s="4">
        <f ca="1"/>
        <v>-4.7755491881629197E-5</v>
      </c>
      <c r="F208" s="4">
        <f ca="1"/>
        <v>-1.7623497997329873E-2</v>
      </c>
      <c r="G208" s="4">
        <f ca="1"/>
        <v>-1.3182674199623268E-2</v>
      </c>
      <c r="H208" s="4">
        <f ca="1"/>
        <v>-1.6695254431103534E-2</v>
      </c>
      <c r="I208" s="4">
        <f ca="1"/>
        <v>-1.1828320378506341E-2</v>
      </c>
      <c r="J208" s="4">
        <f ca="1"/>
        <v>-1.4745308310991856E-2</v>
      </c>
      <c r="K208" s="4">
        <f ca="1"/>
        <v>2.9061903936188571E-2</v>
      </c>
      <c r="L208" s="4">
        <f ca="1"/>
        <v>-1.4230194319880374E-2</v>
      </c>
      <c r="M208" s="4">
        <f ca="1"/>
        <v>-7.6065347048145382E-3</v>
      </c>
      <c r="N208" s="4">
        <f ca="1"/>
        <v>-5.7851424983744737E-3</v>
      </c>
      <c r="O208" s="4">
        <f ca="1"/>
        <v>-8.9957474648350022E-4</v>
      </c>
      <c r="P208" s="4">
        <f ca="1"/>
        <v>5.8556223123609197E-3</v>
      </c>
    </row>
    <row r="209" spans="1:16" x14ac:dyDescent="0.25">
      <c r="A209" vm="3116">
        <f ca="1"/>
        <v>45229</v>
      </c>
      <c r="B209" s="4">
        <f ca="1"/>
        <v>9.0377894276976178E-3</v>
      </c>
      <c r="C209" s="4">
        <f ca="1"/>
        <v>2.4921617493367521E-2</v>
      </c>
      <c r="D209" s="4">
        <f ca="1"/>
        <v>1.647356987690074E-2</v>
      </c>
      <c r="E209" s="4">
        <f ca="1"/>
        <v>-1.3849754047471352E-3</v>
      </c>
      <c r="F209" s="4">
        <f ca="1"/>
        <v>1.4270182114705099E-2</v>
      </c>
      <c r="G209" s="4">
        <f ca="1"/>
        <v>5.7251908396946938E-3</v>
      </c>
      <c r="H209" s="4">
        <f ca="1"/>
        <v>8.1404814513330592E-4</v>
      </c>
      <c r="I209" s="4">
        <f ca="1"/>
        <v>5.4719562243501496E-3</v>
      </c>
      <c r="J209" s="4">
        <f ca="1"/>
        <v>4.0362811791383235E-2</v>
      </c>
      <c r="K209" s="4">
        <f ca="1"/>
        <v>1.9984497691504011E-2</v>
      </c>
      <c r="L209" s="4">
        <f ca="1"/>
        <v>-6.6719233335366113E-4</v>
      </c>
      <c r="M209" s="4">
        <f ca="1"/>
        <v>1.9510495601428479E-2</v>
      </c>
      <c r="N209" s="4">
        <f ca="1"/>
        <v>5.5256095085589596E-3</v>
      </c>
      <c r="O209" s="4">
        <f ca="1"/>
        <v>1.8744372595563386E-2</v>
      </c>
      <c r="P209" s="4">
        <f ca="1"/>
        <v>2.2740365665079976E-2</v>
      </c>
    </row>
    <row r="210" spans="1:16" x14ac:dyDescent="0.25">
      <c r="A210" vm="3132">
        <f ca="1"/>
        <v>45230</v>
      </c>
      <c r="B210" s="4">
        <f ca="1"/>
        <v>-1.7318360167771774E-3</v>
      </c>
      <c r="C210" s="4">
        <f ca="1"/>
        <v>-3.4904698407717261E-3</v>
      </c>
      <c r="D210" s="4">
        <f ca="1"/>
        <v>6.0552092609083008E-3</v>
      </c>
      <c r="E210" s="4">
        <f ca="1"/>
        <v>4.2085126733619749E-3</v>
      </c>
      <c r="F210" s="4">
        <f ca="1"/>
        <v>5.1587833311002029E-3</v>
      </c>
      <c r="G210" s="4">
        <f ca="1"/>
        <v>-5.0600885515496019E-3</v>
      </c>
      <c r="H210" s="4">
        <f ca="1"/>
        <v>2.9049500348594659E-3</v>
      </c>
      <c r="I210" s="4">
        <f ca="1"/>
        <v>1.5306122448979664E-2</v>
      </c>
      <c r="J210" s="4">
        <f ca="1"/>
        <v>-1.1333914559721103E-2</v>
      </c>
      <c r="K210" s="4">
        <f ca="1"/>
        <v>-4.5926121720744062E-3</v>
      </c>
      <c r="L210" s="4">
        <f ca="1"/>
        <v>1.4323865015780646E-2</v>
      </c>
      <c r="M210" s="4">
        <f ca="1"/>
        <v>2.1358393848780466E-4</v>
      </c>
      <c r="N210" s="4">
        <f ca="1"/>
        <v>1.973802260900781E-2</v>
      </c>
      <c r="O210" s="4">
        <f ca="1"/>
        <v>-3.0531897798489194E-3</v>
      </c>
      <c r="P210" s="4">
        <f ca="1"/>
        <v>2.3717055527556763E-3</v>
      </c>
    </row>
    <row r="211" spans="1:16" x14ac:dyDescent="0.25">
      <c r="A211" vm="3146">
        <f ca="1"/>
        <v>45231</v>
      </c>
      <c r="B211" s="4">
        <f ca="1"/>
        <v>4.2286736602423769E-3</v>
      </c>
      <c r="C211" s="4">
        <f ca="1"/>
        <v>7.0841040576172798E-3</v>
      </c>
      <c r="D211" s="4">
        <f ca="1"/>
        <v>-8.8511240927602319E-4</v>
      </c>
      <c r="E211" s="4">
        <f ca="1"/>
        <v>1.4144204209924682E-2</v>
      </c>
      <c r="F211" s="4">
        <f ca="1"/>
        <v>-2.7994401119775247E-3</v>
      </c>
      <c r="G211" s="4">
        <f ca="1"/>
        <v>2.3521932612841745E-2</v>
      </c>
      <c r="H211" s="4">
        <f ca="1"/>
        <v>1.7263353029776329E-2</v>
      </c>
      <c r="I211" s="4">
        <f ca="1"/>
        <v>-9.3802345058626724E-3</v>
      </c>
      <c r="J211" s="4">
        <f ca="1"/>
        <v>1.2345679012345734E-2</v>
      </c>
      <c r="K211" s="4">
        <f ca="1"/>
        <v>3.5118000464699595E-2</v>
      </c>
      <c r="L211" s="4">
        <f ca="1"/>
        <v>-4.487793202489232E-2</v>
      </c>
      <c r="M211" s="4">
        <f ca="1"/>
        <v>2.5624599615636789E-4</v>
      </c>
      <c r="N211" s="4">
        <f ca="1"/>
        <v>-4.9709660390638843E-3</v>
      </c>
      <c r="O211" s="4">
        <f ca="1"/>
        <v>1.9100580270793088E-2</v>
      </c>
      <c r="P211" s="4">
        <f ca="1"/>
        <v>2.354263405400614E-2</v>
      </c>
    </row>
    <row r="212" spans="1:16" x14ac:dyDescent="0.25">
      <c r="A212" vm="3160">
        <f ca="1"/>
        <v>45232</v>
      </c>
      <c r="B212" s="4">
        <f ca="1"/>
        <v>9.207223256943875E-2</v>
      </c>
      <c r="C212" s="4">
        <f ca="1"/>
        <v>2.9153151744890415E-2</v>
      </c>
      <c r="D212" s="4">
        <f ca="1"/>
        <v>1.1516654854712982E-2</v>
      </c>
      <c r="E212" s="4">
        <f ca="1"/>
        <v>-4.6959380136180062E-4</v>
      </c>
      <c r="F212" s="4">
        <f ca="1"/>
        <v>1.2231802686986093E-2</v>
      </c>
      <c r="G212" s="4">
        <f ca="1"/>
        <v>4.0683229813664346E-2</v>
      </c>
      <c r="H212" s="4">
        <f ca="1"/>
        <v>3.0523917995444183E-2</v>
      </c>
      <c r="I212" s="4">
        <f ca="1"/>
        <v>2.7730808251606343E-2</v>
      </c>
      <c r="J212" s="4">
        <f ca="1"/>
        <v>0.21297909407665516</v>
      </c>
      <c r="K212" s="4">
        <f ca="1"/>
        <v>-3.1425364758698171E-3</v>
      </c>
      <c r="L212" s="4">
        <f ca="1"/>
        <v>9.6855030697907685E-2</v>
      </c>
      <c r="M212" s="4">
        <f ca="1"/>
        <v>1.6182058836087254E-2</v>
      </c>
      <c r="N212" s="4">
        <f ca="1"/>
        <v>1.2511605287590211E-2</v>
      </c>
      <c r="O212" s="4">
        <f ca="1"/>
        <v>8.2245947014629728E-3</v>
      </c>
      <c r="P212" s="4">
        <f ca="1"/>
        <v>6.501574825902301E-3</v>
      </c>
    </row>
    <row r="213" spans="1:16" x14ac:dyDescent="0.25">
      <c r="A213" vm="3174">
        <f ca="1"/>
        <v>45233</v>
      </c>
      <c r="B213" s="4">
        <f ca="1"/>
        <v>-8.3790597656828725E-3</v>
      </c>
      <c r="C213" s="4">
        <f ca="1"/>
        <v>2.7340041769508217E-2</v>
      </c>
      <c r="D213" s="4">
        <f ca="1"/>
        <v>-6.1306708705552992E-3</v>
      </c>
      <c r="E213" s="4">
        <f ca="1"/>
        <v>2.057787174066239E-2</v>
      </c>
      <c r="F213" s="4">
        <f ca="1"/>
        <v>-9.0464870575805989E-3</v>
      </c>
      <c r="G213" s="4">
        <f ca="1"/>
        <v>-7.1620411817366891E-3</v>
      </c>
      <c r="H213" s="4">
        <f ca="1"/>
        <v>1.4478337754199933E-2</v>
      </c>
      <c r="I213" s="4">
        <f ca="1"/>
        <v>3.2905561039808795E-4</v>
      </c>
      <c r="J213" s="4">
        <f ca="1"/>
        <v>-8.9766606822262118E-2</v>
      </c>
      <c r="K213" s="4">
        <f ca="1"/>
        <v>1.199858461736425E-2</v>
      </c>
      <c r="L213" s="4">
        <f ca="1"/>
        <v>-3.3698880511766061E-2</v>
      </c>
      <c r="M213" s="4">
        <f ca="1"/>
        <v>1.5462184873949569E-2</v>
      </c>
      <c r="N213" s="4">
        <f ca="1"/>
        <v>-1.0261112566588126E-2</v>
      </c>
      <c r="O213" s="4">
        <f ca="1"/>
        <v>1.2628441446387972E-2</v>
      </c>
      <c r="P213" s="4">
        <f ca="1"/>
        <v>1.2861736334405238E-2</v>
      </c>
    </row>
    <row r="214" spans="1:16" x14ac:dyDescent="0.25">
      <c r="A214" vm="3188">
        <f ca="1"/>
        <v>45236</v>
      </c>
      <c r="B214" s="4">
        <f ca="1"/>
        <v>1.2338293576609649E-2</v>
      </c>
      <c r="C214" s="4">
        <f ca="1"/>
        <v>-9.5730918499354889E-3</v>
      </c>
      <c r="D214" s="4">
        <f ca="1"/>
        <v>4.0535777229466774E-3</v>
      </c>
      <c r="E214" s="4">
        <f ca="1"/>
        <v>1.2429222483083535E-3</v>
      </c>
      <c r="F214" s="4">
        <f ca="1"/>
        <v>5.7972945958553179E-3</v>
      </c>
      <c r="G214" s="4">
        <f ca="1"/>
        <v>6.0114217012308124E-4</v>
      </c>
      <c r="H214" s="4">
        <f ca="1"/>
        <v>8.8244906852597005E-3</v>
      </c>
      <c r="I214" s="4">
        <f ca="1"/>
        <v>-6.5789473684207955E-4</v>
      </c>
      <c r="J214" s="4">
        <f ca="1"/>
        <v>3.9447731755424265E-3</v>
      </c>
      <c r="K214" s="4">
        <f ca="1"/>
        <v>3.8143674507311598E-3</v>
      </c>
      <c r="L214" s="4">
        <f ca="1"/>
        <v>-4.2558222012057945E-3</v>
      </c>
      <c r="M214" s="4">
        <f ca="1"/>
        <v>-4.9652432969216065E-4</v>
      </c>
      <c r="N214" s="4">
        <f ca="1"/>
        <v>-4.8087528124585166E-3</v>
      </c>
      <c r="O214" s="4">
        <f ca="1"/>
        <v>8.9078233927188943E-3</v>
      </c>
      <c r="P214" s="4">
        <f ca="1"/>
        <v>1.0572562358276638E-2</v>
      </c>
    </row>
    <row r="215" spans="1:16" x14ac:dyDescent="0.25">
      <c r="A215" vm="3203">
        <f ca="1"/>
        <v>45237</v>
      </c>
      <c r="B215" s="4">
        <f ca="1"/>
        <v>2.3144728418771354E-3</v>
      </c>
      <c r="C215" s="4">
        <f ca="1"/>
        <v>-1.1568890879235627E-2</v>
      </c>
      <c r="D215" s="4">
        <f ca="1"/>
        <v>3.6861506055818616E-3</v>
      </c>
      <c r="E215" s="4">
        <f ca="1"/>
        <v>3.3563218390804117E-3</v>
      </c>
      <c r="F215" s="4">
        <f ca="1"/>
        <v>-2.3188021730488062E-3</v>
      </c>
      <c r="G215" s="4">
        <f ca="1"/>
        <v>-6.0078101531990669E-3</v>
      </c>
      <c r="H215" s="4">
        <f ca="1"/>
        <v>-2.0518358531317338E-3</v>
      </c>
      <c r="I215" s="4">
        <f ca="1"/>
        <v>-9.8749177090184936E-4</v>
      </c>
      <c r="J215" s="4">
        <f ca="1"/>
        <v>-4.3222003929273001E-3</v>
      </c>
      <c r="K215" s="4">
        <f ca="1"/>
        <v>9.5630145661811383E-3</v>
      </c>
      <c r="L215" s="4">
        <f ca="1"/>
        <v>-2.0064110174522143E-2</v>
      </c>
      <c r="M215" s="4">
        <f ca="1"/>
        <v>3.9741679085940618E-3</v>
      </c>
      <c r="N215" s="4">
        <f ca="1"/>
        <v>-2.2386736412803865E-3</v>
      </c>
      <c r="O215" s="4">
        <f ca="1"/>
        <v>5.5278310940498621E-3</v>
      </c>
      <c r="P215" s="4">
        <f ca="1"/>
        <v>1.1219252236838395E-2</v>
      </c>
    </row>
    <row r="216" spans="1:16" x14ac:dyDescent="0.25">
      <c r="A216" vm="3216">
        <f ca="1"/>
        <v>45238</v>
      </c>
      <c r="B216" s="4">
        <f ca="1"/>
        <v>8.7943401788346254E-3</v>
      </c>
      <c r="C216" s="4">
        <f ca="1"/>
        <v>-8.5328097863021091E-3</v>
      </c>
      <c r="D216" s="4">
        <f ca="1"/>
        <v>-1.5739769150051597E-3</v>
      </c>
      <c r="E216" s="4">
        <f ca="1"/>
        <v>-5.4575447921917264E-2</v>
      </c>
      <c r="F216" s="4">
        <f ca="1"/>
        <v>-3.8515173650309764E-3</v>
      </c>
      <c r="G216" s="4">
        <f ca="1"/>
        <v>2.4176488365064142E-3</v>
      </c>
      <c r="H216" s="4">
        <f ca="1"/>
        <v>-4.4367492695595034E-3</v>
      </c>
      <c r="I216" s="4">
        <f ca="1"/>
        <v>6.5897858319607927E-4</v>
      </c>
      <c r="J216" s="4">
        <f ca="1"/>
        <v>-3.3543804262036403E-2</v>
      </c>
      <c r="K216" s="4">
        <f ca="1"/>
        <v>3.0111034439495032E-3</v>
      </c>
      <c r="L216" s="4">
        <f ca="1"/>
        <v>2.8349890961957724E-2</v>
      </c>
      <c r="M216" s="4">
        <f ca="1"/>
        <v>-4.2058386937160464E-3</v>
      </c>
      <c r="N216" s="4">
        <f ca="1"/>
        <v>-1.2195934688437049E-2</v>
      </c>
      <c r="O216" s="4">
        <f ca="1"/>
        <v>6.6427426128121692E-3</v>
      </c>
      <c r="P216" s="4">
        <f ca="1"/>
        <v>7.4057637367210827E-3</v>
      </c>
    </row>
    <row r="217" spans="1:16" x14ac:dyDescent="0.25">
      <c r="A217" vm="3228">
        <f ca="1"/>
        <v>45239</v>
      </c>
      <c r="B217" s="4">
        <f ca="1"/>
        <v>5.2598256465201665E-3</v>
      </c>
      <c r="C217" s="4">
        <f ca="1"/>
        <v>-5.0647372429551973E-3</v>
      </c>
      <c r="D217" s="4">
        <f ca="1"/>
        <v>-7.5319670695394025E-3</v>
      </c>
      <c r="E217" s="4">
        <f ca="1"/>
        <v>-2.7093834819697626E-2</v>
      </c>
      <c r="F217" s="4">
        <f ca="1"/>
        <v>2.2665155656289571E-3</v>
      </c>
      <c r="G217" s="4">
        <f ca="1"/>
        <v>-6.6324992463068222E-3</v>
      </c>
      <c r="H217" s="4">
        <f ca="1"/>
        <v>-4.1304347826086607E-3</v>
      </c>
      <c r="I217" s="4">
        <f ca="1"/>
        <v>-6.5854461639776041E-3</v>
      </c>
      <c r="J217" s="4">
        <f ca="1"/>
        <v>-9.3915884034297958E-3</v>
      </c>
      <c r="K217" s="4">
        <f ca="1"/>
        <v>2.4079054349865903E-3</v>
      </c>
      <c r="L217" s="4">
        <f ca="1"/>
        <v>-1.1192271442035384E-3</v>
      </c>
      <c r="M217" s="4">
        <f ca="1"/>
        <v>-1.0559006211180222E-2</v>
      </c>
      <c r="N217" s="4">
        <f ca="1"/>
        <v>-4.9476004137993801E-3</v>
      </c>
      <c r="O217" s="4">
        <f ca="1"/>
        <v>-1.2135922330097082E-2</v>
      </c>
      <c r="P217" s="4">
        <f ca="1"/>
        <v>-6.9107929515418443E-3</v>
      </c>
    </row>
    <row r="218" spans="1:16" x14ac:dyDescent="0.25">
      <c r="A218" vm="3242">
        <f ca="1"/>
        <v>45240</v>
      </c>
      <c r="B218" s="4">
        <f ca="1"/>
        <v>1.606026839784902E-2</v>
      </c>
      <c r="C218" s="4">
        <f ca="1"/>
        <v>2.7749071841390194E-2</v>
      </c>
      <c r="D218" s="4">
        <f ca="1"/>
        <v>1.0589481115426125E-3</v>
      </c>
      <c r="E218" s="4">
        <f ca="1"/>
        <v>-7.024361082050512E-3</v>
      </c>
      <c r="F218" s="4">
        <f ca="1"/>
        <v>7.0502161622880699E-3</v>
      </c>
      <c r="G218" s="4">
        <f ca="1"/>
        <v>-1.8209408194234111E-3</v>
      </c>
      <c r="H218" s="4">
        <f ca="1"/>
        <v>6.352324819908306E-2</v>
      </c>
      <c r="I218" s="4">
        <f ca="1"/>
        <v>1.7567119655286678E-2</v>
      </c>
      <c r="J218" s="4">
        <f ca="1"/>
        <v>-1.4014839241549892E-2</v>
      </c>
      <c r="K218" s="4">
        <f ca="1"/>
        <v>2.5643425362657846E-2</v>
      </c>
      <c r="L218" s="4">
        <f ca="1"/>
        <v>2.6537713038863098E-2</v>
      </c>
      <c r="M218" s="4">
        <f ca="1"/>
        <v>1.5484410964636819E-3</v>
      </c>
      <c r="N218" s="4">
        <f ca="1"/>
        <v>5.4468200515300769E-3</v>
      </c>
      <c r="O218" s="4">
        <f ca="1"/>
        <v>1.8043611793611802E-2</v>
      </c>
      <c r="P218" s="4">
        <f ca="1"/>
        <v>2.4896725720147561E-2</v>
      </c>
    </row>
    <row r="219" spans="1:16" x14ac:dyDescent="0.25">
      <c r="A219" vm="3258">
        <f ca="1"/>
        <v>45243</v>
      </c>
      <c r="B219" s="4">
        <f ca="1"/>
        <v>-4.7681487662321054E-5</v>
      </c>
      <c r="C219" s="4">
        <f ca="1"/>
        <v>5.2137643378520337E-3</v>
      </c>
      <c r="D219" s="4">
        <f ca="1"/>
        <v>3.7023977433003896E-3</v>
      </c>
      <c r="E219" s="4">
        <f ca="1"/>
        <v>1.4599638771824131E-2</v>
      </c>
      <c r="F219" s="4">
        <f ca="1"/>
        <v>6.9348127600554754E-3</v>
      </c>
      <c r="G219" s="4">
        <f ca="1"/>
        <v>1.0641532380662788E-2</v>
      </c>
      <c r="H219" s="4">
        <f ca="1"/>
        <v>-1.0467980295566504E-2</v>
      </c>
      <c r="I219" s="4">
        <f ca="1"/>
        <v>-8.1433224755700362E-3</v>
      </c>
      <c r="J219" s="4">
        <f ca="1"/>
        <v>-7.1070234113712605E-3</v>
      </c>
      <c r="K219" s="4">
        <f ca="1"/>
        <v>1.2774888219728719E-3</v>
      </c>
      <c r="L219" s="4">
        <f ca="1"/>
        <v>1.2466249210087987E-2</v>
      </c>
      <c r="M219" s="4">
        <f ca="1"/>
        <v>6.3931138224970763E-3</v>
      </c>
      <c r="N219" s="4">
        <f ca="1"/>
        <v>3.5965562973450105E-4</v>
      </c>
      <c r="O219" s="4">
        <f ca="1"/>
        <v>-3.771023455765854E-3</v>
      </c>
      <c r="P219" s="4">
        <f ca="1"/>
        <v>-8.0882949657803405E-3</v>
      </c>
    </row>
    <row r="220" spans="1:16" x14ac:dyDescent="0.25">
      <c r="A220" vm="3272">
        <f ca="1"/>
        <v>45244</v>
      </c>
      <c r="B220" s="4">
        <f ca="1"/>
        <v>2.0337124192356226E-2</v>
      </c>
      <c r="C220" s="4">
        <f ca="1"/>
        <v>4.2494072317723619E-2</v>
      </c>
      <c r="D220" s="4">
        <f ca="1"/>
        <v>2.9861233093273487E-3</v>
      </c>
      <c r="E220" s="4">
        <f ca="1"/>
        <v>1.6960886119764762E-2</v>
      </c>
      <c r="F220" s="4">
        <f ca="1"/>
        <v>-2.2300931391840972E-3</v>
      </c>
      <c r="G220" s="4">
        <f ca="1"/>
        <v>1.0228640192539107E-2</v>
      </c>
      <c r="H220" s="4">
        <f ca="1"/>
        <v>2.582451773490968E-2</v>
      </c>
      <c r="I220" s="4">
        <f ca="1"/>
        <v>2.1674876847290747E-2</v>
      </c>
      <c r="J220" s="4">
        <f ca="1"/>
        <v>3.3684210526315761E-2</v>
      </c>
      <c r="K220" s="4">
        <f ca="1"/>
        <v>2.1628846562775417E-2</v>
      </c>
      <c r="L220" s="4">
        <f ca="1"/>
        <v>3.7505674080798856E-2</v>
      </c>
      <c r="M220" s="4">
        <f ca="1"/>
        <v>4.3180402740294888E-3</v>
      </c>
      <c r="N220" s="4">
        <f ca="1"/>
        <v>-1.8201020155943493E-3</v>
      </c>
      <c r="O220" s="4">
        <f ca="1"/>
        <v>1.158301158301156E-2</v>
      </c>
      <c r="P220" s="4">
        <f ca="1"/>
        <v>9.7905530707973476E-3</v>
      </c>
    </row>
    <row r="221" spans="1:16" x14ac:dyDescent="0.25">
      <c r="A221" vm="3286">
        <f ca="1"/>
        <v>45245</v>
      </c>
      <c r="B221" s="4">
        <f ca="1"/>
        <v>2.6170670156089315E-3</v>
      </c>
      <c r="C221" s="4">
        <f ca="1"/>
        <v>-3.9447030811330386E-3</v>
      </c>
      <c r="D221" s="4">
        <f ca="1"/>
        <v>1.9264448336251405E-3</v>
      </c>
      <c r="E221" s="4">
        <f ca="1"/>
        <v>-1.0356899737430703E-2</v>
      </c>
      <c r="F221" s="4">
        <f ca="1"/>
        <v>-4.6016302918749918E-3</v>
      </c>
      <c r="G221" s="4">
        <f ca="1"/>
        <v>-5.9559261465147451E-4</v>
      </c>
      <c r="H221" s="4">
        <f ca="1"/>
        <v>-1.1121221312303531E-3</v>
      </c>
      <c r="I221" s="4">
        <f ca="1"/>
        <v>-3.8572806171649487E-3</v>
      </c>
      <c r="J221" s="4">
        <f ca="1"/>
        <v>-4.032586558044815E-2</v>
      </c>
      <c r="K221" s="4">
        <f ca="1"/>
        <v>-1.0704409622074973E-2</v>
      </c>
      <c r="L221" s="4">
        <f ca="1"/>
        <v>4.7579983593108999E-3</v>
      </c>
      <c r="M221" s="4">
        <f ca="1"/>
        <v>-9.7151597833725623E-3</v>
      </c>
      <c r="N221" s="4">
        <f ca="1"/>
        <v>2.0710458781683094E-3</v>
      </c>
      <c r="O221" s="4">
        <f ca="1"/>
        <v>7.4839095943721734E-3</v>
      </c>
      <c r="P221" s="4">
        <f ca="1"/>
        <v>-1.6204391390065576E-3</v>
      </c>
    </row>
    <row r="222" spans="1:16" x14ac:dyDescent="0.25">
      <c r="A222" vm="3300">
        <f ca="1"/>
        <v>45246</v>
      </c>
      <c r="B222" s="4">
        <f ca="1"/>
        <v>-6.1526987974269698E-3</v>
      </c>
      <c r="C222" s="4">
        <f ca="1"/>
        <v>-2.4332810047095754E-2</v>
      </c>
      <c r="D222" s="4">
        <f ca="1"/>
        <v>-1.0487676979549221E-3</v>
      </c>
      <c r="E222" s="4">
        <f ca="1"/>
        <v>-5.4046086572012708E-4</v>
      </c>
      <c r="F222" s="4">
        <f ca="1"/>
        <v>9.3118478404439209E-3</v>
      </c>
      <c r="G222" s="4">
        <f ca="1"/>
        <v>7.4493444576877454E-3</v>
      </c>
      <c r="H222" s="4">
        <f ca="1"/>
        <v>-2.6315789473683182E-3</v>
      </c>
      <c r="I222" s="4">
        <f ca="1"/>
        <v>1.0971281058405946E-2</v>
      </c>
      <c r="J222" s="4">
        <f ca="1"/>
        <v>-1.6977928692699429E-2</v>
      </c>
      <c r="K222" s="4">
        <f ca="1"/>
        <v>4.4483183553245542E-3</v>
      </c>
      <c r="L222" s="4">
        <f ca="1"/>
        <v>-2.2860875244937739E-3</v>
      </c>
      <c r="M222" s="4">
        <f ca="1"/>
        <v>-1.2315270935960521E-2</v>
      </c>
      <c r="N222" s="4">
        <f ca="1"/>
        <v>1.0109179134654145E-3</v>
      </c>
      <c r="O222" s="4">
        <f ca="1"/>
        <v>1.715941167731394E-2</v>
      </c>
      <c r="P222" s="4">
        <f ca="1"/>
        <v>1.7583249925609223E-2</v>
      </c>
    </row>
    <row r="223" spans="1:16" x14ac:dyDescent="0.25">
      <c r="A223" vm="3316">
        <f ca="1"/>
        <v>45247</v>
      </c>
      <c r="B223" s="4">
        <f ca="1"/>
        <v>1.4538973829847146E-2</v>
      </c>
      <c r="C223" s="4">
        <f ca="1"/>
        <v>-7.3136839025811362E-4</v>
      </c>
      <c r="D223" s="4">
        <f ca="1"/>
        <v>1.9247594050744166E-3</v>
      </c>
      <c r="E223" s="4">
        <f ca="1"/>
        <v>-1.5681840526988511E-2</v>
      </c>
      <c r="F223" s="4">
        <f ca="1"/>
        <v>-1.1516063600078619E-2</v>
      </c>
      <c r="G223" s="4">
        <f ca="1"/>
        <v>-4.4365572315884227E-3</v>
      </c>
      <c r="H223" s="4">
        <f ca="1"/>
        <v>1.055408970976246E-2</v>
      </c>
      <c r="I223" s="4">
        <f ca="1"/>
        <v>9.2563038621131799E-3</v>
      </c>
      <c r="J223" s="4">
        <f ca="1"/>
        <v>-3.022452504317763E-3</v>
      </c>
      <c r="K223" s="4">
        <f ca="1"/>
        <v>2.5434632993208695E-3</v>
      </c>
      <c r="L223" s="4">
        <f ca="1"/>
        <v>-1.0365521003818934E-3</v>
      </c>
      <c r="M223" s="4">
        <f ca="1"/>
        <v>-4.0576524789720514E-3</v>
      </c>
      <c r="N223" s="4">
        <f ca="1"/>
        <v>-2.0422361363584551E-3</v>
      </c>
      <c r="O223" s="4">
        <f ca="1"/>
        <v>-1.1830862484481175E-2</v>
      </c>
      <c r="P223" s="4">
        <f ca="1"/>
        <v>-1.6800914480155194E-2</v>
      </c>
    </row>
    <row r="224" spans="1:16" x14ac:dyDescent="0.25">
      <c r="A224" vm="3328">
        <f ca="1"/>
        <v>45250</v>
      </c>
      <c r="B224" s="4">
        <f ca="1"/>
        <v>-2.5656434911243142E-3</v>
      </c>
      <c r="C224" s="4">
        <f ca="1"/>
        <v>4.0254702481155036E-3</v>
      </c>
      <c r="D224" s="4">
        <f ca="1"/>
        <v>2.4449877750611915E-3</v>
      </c>
      <c r="E224" s="4">
        <f ca="1"/>
        <v>-2.1475303401087276E-3</v>
      </c>
      <c r="F224" s="4">
        <f ca="1"/>
        <v>-5.2955583504334935E-3</v>
      </c>
      <c r="G224" s="4">
        <f ca="1"/>
        <v>3.8621509209744165E-3</v>
      </c>
      <c r="H224" s="4">
        <f ca="1"/>
        <v>3.8160273147218593E-3</v>
      </c>
      <c r="I224" s="4">
        <f ca="1"/>
        <v>1.3915243516761544E-2</v>
      </c>
      <c r="J224" s="4">
        <f ca="1"/>
        <v>4.3308791684726344E-4</v>
      </c>
      <c r="K224" s="4">
        <f ca="1"/>
        <v>1.4714660936007595E-2</v>
      </c>
      <c r="L224" s="4">
        <f ca="1"/>
        <v>5.5704221506196472E-3</v>
      </c>
      <c r="M224" s="4">
        <f ca="1"/>
        <v>5.6020031405168424E-3</v>
      </c>
      <c r="N224" s="4">
        <f ca="1"/>
        <v>-1.9564630745705358E-3</v>
      </c>
      <c r="O224" s="4">
        <f ca="1"/>
        <v>6.9470105683244743E-3</v>
      </c>
      <c r="P224" s="4">
        <f ca="1"/>
        <v>2.0521833175611626E-2</v>
      </c>
    </row>
    <row r="225" spans="1:16" x14ac:dyDescent="0.25">
      <c r="A225" vm="3344">
        <f ca="1"/>
        <v>45251</v>
      </c>
      <c r="B225" s="4">
        <f ca="1"/>
        <v>3.2210970268580219E-3</v>
      </c>
      <c r="C225" s="4">
        <f ca="1"/>
        <v>-3.3897069543665781E-3</v>
      </c>
      <c r="D225" s="4">
        <f ca="1"/>
        <v>1.0975609756097571E-2</v>
      </c>
      <c r="E225" s="4">
        <f ca="1"/>
        <v>6.9569569569569722E-3</v>
      </c>
      <c r="F225" s="4">
        <f ca="1"/>
        <v>-4.392094230385335E-3</v>
      </c>
      <c r="G225" s="4">
        <f ca="1"/>
        <v>1.0654039656703196E-2</v>
      </c>
      <c r="H225" s="4">
        <f ca="1"/>
        <v>-1.5506202480992326E-2</v>
      </c>
      <c r="I225" s="4">
        <f ca="1"/>
        <v>5.926388022457818E-3</v>
      </c>
      <c r="J225" s="4">
        <f ca="1"/>
        <v>-5.1948051948051965E-3</v>
      </c>
      <c r="K225" s="4">
        <f ca="1"/>
        <v>-8.7948936670882993E-3</v>
      </c>
      <c r="L225" s="4">
        <f ca="1"/>
        <v>-4.1818280562645471E-3</v>
      </c>
      <c r="M225" s="4">
        <f ca="1"/>
        <v>-1.1310403038615635E-2</v>
      </c>
      <c r="N225" s="4">
        <f ca="1"/>
        <v>9.7789594646358058E-3</v>
      </c>
      <c r="O225" s="4">
        <f ca="1"/>
        <v>5.2844036697248242E-3</v>
      </c>
      <c r="P225" s="4">
        <f ca="1"/>
        <v>-1.157799915218316E-2</v>
      </c>
    </row>
    <row r="226" spans="1:16" x14ac:dyDescent="0.25">
      <c r="A226" vm="3359">
        <f ca="1"/>
        <v>45252</v>
      </c>
      <c r="B226" s="4">
        <f ca="1"/>
        <v>-3.9037235516954372E-3</v>
      </c>
      <c r="C226" s="4">
        <f ca="1"/>
        <v>2.2674907654609555E-3</v>
      </c>
      <c r="D226" s="4">
        <f ca="1"/>
        <v>6.7206617266930557E-3</v>
      </c>
      <c r="E226" s="4">
        <f ca="1"/>
        <v>6.8094835727421366E-3</v>
      </c>
      <c r="F226" s="4">
        <f ca="1"/>
        <v>9.4245037096449824E-3</v>
      </c>
      <c r="G226" s="4">
        <f ca="1"/>
        <v>1.5519765739385072E-2</v>
      </c>
      <c r="H226" s="4">
        <f ca="1"/>
        <v>2.4387765470990086E-3</v>
      </c>
      <c r="I226" s="4">
        <f ca="1"/>
        <v>9.302325581395321E-3</v>
      </c>
      <c r="J226" s="4">
        <f ca="1"/>
        <v>-1.4795474325500435E-2</v>
      </c>
      <c r="K226" s="4">
        <f ca="1"/>
        <v>1.3383583595465653E-2</v>
      </c>
      <c r="L226" s="4">
        <f ca="1"/>
        <v>2.4541884816753345E-3</v>
      </c>
      <c r="M226" s="4">
        <f ca="1"/>
        <v>2.0361121782558556E-2</v>
      </c>
      <c r="N226" s="4">
        <f ca="1"/>
        <v>5.0206404105768154E-3</v>
      </c>
      <c r="O226" s="4">
        <f ca="1"/>
        <v>1.1097320581149317E-2</v>
      </c>
      <c r="P226" s="4">
        <f ca="1"/>
        <v>1.2812608893773447E-2</v>
      </c>
    </row>
    <row r="227" spans="1:16" x14ac:dyDescent="0.25">
      <c r="A227" vm="3374">
        <f ca="1"/>
        <v>45254</v>
      </c>
      <c r="B227" s="4">
        <f ca="1"/>
        <v>5.6582334253183486E-3</v>
      </c>
      <c r="C227" s="4">
        <f ca="1"/>
        <v>6.3856960408683605E-3</v>
      </c>
      <c r="D227" s="4">
        <f ca="1"/>
        <v>2.567613830879889E-3</v>
      </c>
      <c r="E227" s="4">
        <f ca="1"/>
        <v>3.1101895734597651E-3</v>
      </c>
      <c r="F227" s="4">
        <f ca="1"/>
        <v>2.3837902264600697E-3</v>
      </c>
      <c r="G227" s="4">
        <f ca="1"/>
        <v>7.4971164936561419E-3</v>
      </c>
      <c r="H227" s="4">
        <f ca="1"/>
        <v>-8.3122149011658486E-3</v>
      </c>
      <c r="I227" s="4">
        <f ca="1"/>
        <v>2.7649769585254003E-3</v>
      </c>
      <c r="J227" s="4">
        <f ca="1"/>
        <v>2.1643109540635974E-2</v>
      </c>
      <c r="K227" s="4">
        <f ca="1"/>
        <v>-9.5463996017453034E-3</v>
      </c>
      <c r="L227" s="4">
        <f ca="1"/>
        <v>-6.691692508568603E-3</v>
      </c>
      <c r="M227" s="4">
        <f ca="1"/>
        <v>-2.8028781793841828E-3</v>
      </c>
      <c r="N227" s="4">
        <f ca="1"/>
        <v>3.5746003552397099E-3</v>
      </c>
      <c r="O227" s="4">
        <f ca="1"/>
        <v>-1.2997328326955104E-2</v>
      </c>
      <c r="P227" s="4">
        <f ca="1"/>
        <v>-1.1115522032553171E-3</v>
      </c>
    </row>
    <row r="228" spans="1:16" x14ac:dyDescent="0.25">
      <c r="A228" vm="3389">
        <f ca="1"/>
        <v>45257</v>
      </c>
      <c r="B228" s="4">
        <f ca="1"/>
        <v>-4.0353264002582767E-3</v>
      </c>
      <c r="C228" s="4">
        <f ca="1"/>
        <v>2.4655547498186881E-3</v>
      </c>
      <c r="D228" s="4">
        <f ca="1"/>
        <v>-1.8780945876728516E-3</v>
      </c>
      <c r="E228" s="4">
        <f ca="1"/>
        <v>-8.8094886559377805E-3</v>
      </c>
      <c r="F228" s="4">
        <f ca="1"/>
        <v>-9.2482494384982239E-4</v>
      </c>
      <c r="G228" s="4">
        <f ca="1"/>
        <v>-1.4310246136233218E-3</v>
      </c>
      <c r="H228" s="4">
        <f ca="1"/>
        <v>-6.337524276806783E-3</v>
      </c>
      <c r="I228" s="4">
        <f ca="1"/>
        <v>-2.1446078431372473E-2</v>
      </c>
      <c r="J228" s="4">
        <f ca="1"/>
        <v>3.0263726761781129E-3</v>
      </c>
      <c r="K228" s="4">
        <f ca="1"/>
        <v>-1.0436685095940756E-2</v>
      </c>
      <c r="L228" s="4">
        <f ca="1"/>
        <v>1.7143170117208895E-2</v>
      </c>
      <c r="M228" s="4">
        <f ca="1"/>
        <v>-1.5941603389688641E-3</v>
      </c>
      <c r="N228" s="4">
        <f ca="1"/>
        <v>-1.4424459635848708E-2</v>
      </c>
      <c r="O228" s="4">
        <f ca="1"/>
        <v>-2.048430755724695E-3</v>
      </c>
      <c r="P228" s="4">
        <f ca="1"/>
        <v>3.1264075457702045E-3</v>
      </c>
    </row>
    <row r="229" spans="1:16" x14ac:dyDescent="0.25">
      <c r="A229" vm="3402">
        <f ca="1"/>
        <v>45258</v>
      </c>
      <c r="B229" s="4">
        <f ca="1"/>
        <v>-1.2479162807927491E-2</v>
      </c>
      <c r="C229" s="4">
        <f ca="1"/>
        <v>-1.1682581018518601E-2</v>
      </c>
      <c r="D229" s="4">
        <f ca="1"/>
        <v>2.0526855969893454E-3</v>
      </c>
      <c r="E229" s="4">
        <f ca="1"/>
        <v>-1.7725918570009935E-2</v>
      </c>
      <c r="F229" s="4">
        <f ca="1"/>
        <v>6.9426077757206439E-3</v>
      </c>
      <c r="G229" s="4">
        <f ca="1"/>
        <v>6.59214674691877E-3</v>
      </c>
      <c r="H229" s="4">
        <f ca="1"/>
        <v>7.9209957823269672E-3</v>
      </c>
      <c r="I229" s="4">
        <f ca="1"/>
        <v>3.4439574201625689E-3</v>
      </c>
      <c r="J229" s="4">
        <f ca="1"/>
        <v>-1.2931034482758674E-2</v>
      </c>
      <c r="K229" s="4">
        <f ca="1"/>
        <v>1.2817448461308611E-2</v>
      </c>
      <c r="L229" s="4">
        <f ca="1"/>
        <v>-2.3531312261052206E-2</v>
      </c>
      <c r="M229" s="4">
        <f ca="1"/>
        <v>1.5883020294970462E-2</v>
      </c>
      <c r="N229" s="4">
        <f ca="1"/>
        <v>6.2403196480278478E-3</v>
      </c>
      <c r="O229" s="4">
        <f ca="1"/>
        <v>5.7913642694815692E-3</v>
      </c>
      <c r="P229" s="4">
        <f ca="1"/>
        <v>1.08026729352102E-2</v>
      </c>
    </row>
    <row r="230" spans="1:16" x14ac:dyDescent="0.25">
      <c r="A230" vm="3417">
        <f ca="1"/>
        <v>45259</v>
      </c>
      <c r="B230" s="4">
        <f ca="1"/>
        <v>3.5870864886409226E-3</v>
      </c>
      <c r="C230" s="4">
        <f ca="1"/>
        <v>6.8069533394328197E-3</v>
      </c>
      <c r="D230" s="4">
        <f ca="1"/>
        <v>-5.9747354045749379E-3</v>
      </c>
      <c r="E230" s="4">
        <f ca="1"/>
        <v>-1.9713895769095657E-3</v>
      </c>
      <c r="F230" s="4">
        <f ca="1"/>
        <v>-7.6170464245846059E-3</v>
      </c>
      <c r="G230" s="4">
        <f ca="1"/>
        <v>-1.138952164009055E-3</v>
      </c>
      <c r="H230" s="4">
        <f ca="1"/>
        <v>9.185548071034777E-3</v>
      </c>
      <c r="I230" s="4">
        <f ca="1"/>
        <v>-9.9843993759749505E-3</v>
      </c>
      <c r="J230" s="4">
        <f ca="1"/>
        <v>1.0480349344978324E-2</v>
      </c>
      <c r="K230" s="4">
        <f ca="1"/>
        <v>-2.0030089383167748E-2</v>
      </c>
      <c r="L230" s="4">
        <f ca="1"/>
        <v>2.3546928421749325E-2</v>
      </c>
      <c r="M230" s="4">
        <f ca="1"/>
        <v>-1.5800140629524062E-2</v>
      </c>
      <c r="N230" s="4">
        <f ca="1"/>
        <v>-7.272402792959598E-3</v>
      </c>
      <c r="O230" s="4">
        <f ca="1"/>
        <v>-1.6107871720116518E-2</v>
      </c>
      <c r="P230" s="4">
        <f ca="1"/>
        <v>-1.006009929448648E-2</v>
      </c>
    </row>
    <row r="231" spans="1:16" x14ac:dyDescent="0.25">
      <c r="A231" vm="3432">
        <f ca="1"/>
        <v>45260</v>
      </c>
      <c r="B231" s="4">
        <f ca="1"/>
        <v>1.1960940055132374E-2</v>
      </c>
      <c r="C231" s="4">
        <f ca="1"/>
        <v>1.9265021264221582E-2</v>
      </c>
      <c r="D231" s="4">
        <f ca="1"/>
        <v>3.606388459556964E-3</v>
      </c>
      <c r="E231" s="4">
        <f ca="1"/>
        <v>1.7726904376012875E-2</v>
      </c>
      <c r="F231" s="4">
        <f ca="1"/>
        <v>1.5814199695626474E-2</v>
      </c>
      <c r="G231" s="4">
        <f ca="1"/>
        <v>8.5518814139118327E-4</v>
      </c>
      <c r="H231" s="4">
        <f ca="1"/>
        <v>-1.5877831715210289E-2</v>
      </c>
      <c r="I231" s="4">
        <f ca="1"/>
        <v>1.7964071856287234E-2</v>
      </c>
      <c r="J231" s="4">
        <f ca="1"/>
        <v>-1.5989628349178941E-2</v>
      </c>
      <c r="K231" s="4">
        <f ca="1"/>
        <v>-1.5201685731487058E-2</v>
      </c>
      <c r="L231" s="4">
        <f ca="1"/>
        <v>1.4546630030709551E-2</v>
      </c>
      <c r="M231" s="4">
        <f ca="1"/>
        <v>1.0674511451985724E-2</v>
      </c>
      <c r="N231" s="4">
        <f ca="1"/>
        <v>6.2021078178018385E-3</v>
      </c>
      <c r="O231" s="4">
        <f ca="1"/>
        <v>-1.8223572116453091E-2</v>
      </c>
      <c r="P231" s="4">
        <f ca="1"/>
        <v>1.583740266595246E-4</v>
      </c>
    </row>
    <row r="232" spans="1:16" x14ac:dyDescent="0.25">
      <c r="A232" vm="3447">
        <f ca="1"/>
        <v>45261</v>
      </c>
      <c r="B232" s="4">
        <f ca="1"/>
        <v>1.6113393970174084E-2</v>
      </c>
      <c r="C232" s="4">
        <f ca="1"/>
        <v>2.0683998430868877E-2</v>
      </c>
      <c r="D232" s="4">
        <f ca="1"/>
        <v>3.4223134839150848E-3</v>
      </c>
      <c r="E232" s="4">
        <f ca="1"/>
        <v>1.2789887528615429E-2</v>
      </c>
      <c r="F232" s="4">
        <f ca="1"/>
        <v>-5.6018759770715132E-3</v>
      </c>
      <c r="G232" s="4">
        <f ca="1"/>
        <v>1.1677584733694291E-2</v>
      </c>
      <c r="H232" s="4">
        <f ca="1"/>
        <v>1.2742780803617348E-2</v>
      </c>
      <c r="I232" s="4">
        <f ca="1"/>
        <v>3.4055727554179516E-2</v>
      </c>
      <c r="J232" s="4">
        <f ca="1"/>
        <v>5.8410188844971511E-2</v>
      </c>
      <c r="K232" s="4">
        <f ca="1"/>
        <v>-7.1221152376584884E-3</v>
      </c>
      <c r="L232" s="4">
        <f ca="1"/>
        <v>1.1895279061122643E-2</v>
      </c>
      <c r="M232" s="4">
        <f ca="1"/>
        <v>6.0709385005612848E-3</v>
      </c>
      <c r="N232" s="4">
        <f ca="1"/>
        <v>3.6625946356390049E-3</v>
      </c>
      <c r="O232" s="4">
        <f ca="1"/>
        <v>-5.0554591413264349E-3</v>
      </c>
      <c r="P232" s="4">
        <f ca="1"/>
        <v>-1.1612256208598404E-2</v>
      </c>
    </row>
    <row r="233" spans="1:16" x14ac:dyDescent="0.25">
      <c r="A233" vm="3463">
        <f ca="1"/>
        <v>45264</v>
      </c>
      <c r="B233" s="4">
        <f ca="1"/>
        <v>-4.5665212649946829E-3</v>
      </c>
      <c r="C233" s="4">
        <f ca="1"/>
        <v>1.8098598930855081E-2</v>
      </c>
      <c r="D233" s="4">
        <f ca="1"/>
        <v>-1.1937244201910557E-3</v>
      </c>
      <c r="E233" s="4">
        <f ca="1"/>
        <v>-2.0834357034052342E-2</v>
      </c>
      <c r="F233" s="4">
        <f ca="1"/>
        <v>-3.9303026333027402E-3</v>
      </c>
      <c r="G233" s="4">
        <f ca="1"/>
        <v>8.4459459459458319E-3</v>
      </c>
      <c r="H233" s="4">
        <f ca="1"/>
        <v>-1.5626585489599054E-2</v>
      </c>
      <c r="I233" s="4">
        <f ca="1"/>
        <v>7.7844311377244235E-3</v>
      </c>
      <c r="J233" s="4">
        <f ca="1"/>
        <v>-2.3651452282157703E-2</v>
      </c>
      <c r="K233" s="4">
        <f ca="1"/>
        <v>-1.4777415183794163E-2</v>
      </c>
      <c r="L233" s="4">
        <f ca="1"/>
        <v>-4.7756494358437429E-3</v>
      </c>
      <c r="M233" s="4">
        <f ca="1"/>
        <v>-6.7782599710684011E-3</v>
      </c>
      <c r="N233" s="4">
        <f ca="1"/>
        <v>2.8481787232148559E-3</v>
      </c>
      <c r="O233" s="4">
        <f ca="1"/>
        <v>-1.9642044592749874E-2</v>
      </c>
      <c r="P233" s="4">
        <f ca="1"/>
        <v>-1.4338735948305814E-2</v>
      </c>
    </row>
    <row r="234" spans="1:16" x14ac:dyDescent="0.25">
      <c r="A234" vm="3475">
        <f ca="1"/>
        <v>45265</v>
      </c>
      <c r="B234" s="4">
        <f ca="1"/>
        <v>-7.5773137053520845E-3</v>
      </c>
      <c r="C234" s="4">
        <f ca="1"/>
        <v>-1.1050482171659826E-2</v>
      </c>
      <c r="D234" s="4">
        <f ca="1"/>
        <v>1.5366228444595453E-3</v>
      </c>
      <c r="E234" s="4">
        <f ca="1"/>
        <v>-3.6131881366989749E-3</v>
      </c>
      <c r="F234" s="4">
        <f ca="1"/>
        <v>-3.4854662633171163E-2</v>
      </c>
      <c r="G234" s="4">
        <f ca="1"/>
        <v>5.5834729201564848E-4</v>
      </c>
      <c r="H234" s="4">
        <f ca="1"/>
        <v>-3.2986290073189206E-3</v>
      </c>
      <c r="I234" s="4">
        <f ca="1"/>
        <v>-1.0992275698157972E-2</v>
      </c>
      <c r="J234" s="4">
        <f ca="1"/>
        <v>-9.7747556311091888E-3</v>
      </c>
      <c r="K234" s="4">
        <f ca="1"/>
        <v>-5.4059121304916857E-3</v>
      </c>
      <c r="L234" s="4">
        <f ca="1"/>
        <v>-1.1073613161779461E-3</v>
      </c>
      <c r="M234" s="4">
        <f ca="1"/>
        <v>-1.5188714577004769E-2</v>
      </c>
      <c r="N234" s="4">
        <f ca="1"/>
        <v>-9.8737491402072219E-3</v>
      </c>
      <c r="O234" s="4">
        <f ca="1"/>
        <v>1.3305484644542398E-2</v>
      </c>
      <c r="P234" s="4">
        <f ca="1"/>
        <v>9.1564176193315028E-3</v>
      </c>
    </row>
    <row r="235" spans="1:16" x14ac:dyDescent="0.25">
      <c r="A235" vm="3489">
        <f ca="1"/>
        <v>45266</v>
      </c>
      <c r="B235" s="4">
        <f ca="1"/>
        <v>-1.1728721569348455E-3</v>
      </c>
      <c r="C235" s="4">
        <f ca="1"/>
        <v>8.0161016066904178E-3</v>
      </c>
      <c r="D235" s="4">
        <f ca="1"/>
        <v>-1.022843504943638E-3</v>
      </c>
      <c r="E235" s="4">
        <f ca="1"/>
        <v>3.7270209015360933E-3</v>
      </c>
      <c r="F235" s="4">
        <f ca="1"/>
        <v>-7.4952303079844906E-4</v>
      </c>
      <c r="G235" s="4">
        <f ca="1"/>
        <v>1.0044642857142794E-2</v>
      </c>
      <c r="H235" s="4">
        <f ca="1"/>
        <v>1.199710414727484E-2</v>
      </c>
      <c r="I235" s="4">
        <f ca="1"/>
        <v>6.9089816761791489E-3</v>
      </c>
      <c r="J235" s="4">
        <f ca="1"/>
        <v>4.2918454935620964E-3</v>
      </c>
      <c r="K235" s="4">
        <f ca="1"/>
        <v>-2.6391027050803872E-3</v>
      </c>
      <c r="L235" s="4">
        <f ca="1"/>
        <v>1.277516760808739E-2</v>
      </c>
      <c r="M235" s="4">
        <f ca="1"/>
        <v>-6.5917349784501145E-3</v>
      </c>
      <c r="N235" s="4">
        <f ca="1"/>
        <v>7.1038006453927327E-3</v>
      </c>
      <c r="O235" s="4">
        <f ca="1"/>
        <v>-7.4051454309489451E-3</v>
      </c>
      <c r="P235" s="4">
        <f ca="1"/>
        <v>-9.9860410179318793E-3</v>
      </c>
    </row>
    <row r="236" spans="1:16" x14ac:dyDescent="0.25">
      <c r="A236" vm="3501">
        <f ca="1"/>
        <v>45267</v>
      </c>
      <c r="B236" s="4">
        <f ca="1"/>
        <v>-1.2663473936268543E-3</v>
      </c>
      <c r="C236" s="4">
        <f ca="1"/>
        <v>1.253098320022028E-2</v>
      </c>
      <c r="D236" s="4">
        <f ca="1"/>
        <v>2.3890784982936175E-3</v>
      </c>
      <c r="E236" s="4">
        <f ca="1"/>
        <v>1.3548095739876587E-2</v>
      </c>
      <c r="F236" s="4">
        <f ca="1"/>
        <v>-1.022843504943749E-3</v>
      </c>
      <c r="G236" s="4">
        <f ca="1"/>
        <v>8.2872928176793703E-3</v>
      </c>
      <c r="H236" s="4">
        <f ca="1"/>
        <v>1.471640265712848E-2</v>
      </c>
      <c r="I236" s="4">
        <f ca="1"/>
        <v>-5.9665871121727942E-4</v>
      </c>
      <c r="J236" s="4">
        <f ca="1"/>
        <v>1.3675213675213627E-2</v>
      </c>
      <c r="K236" s="4">
        <f ca="1"/>
        <v>2.8791935737911389E-2</v>
      </c>
      <c r="L236" s="4">
        <f ca="1"/>
        <v>1.3187385978629118E-2</v>
      </c>
      <c r="M236" s="4">
        <f ca="1"/>
        <v>3.2326669502340533E-3</v>
      </c>
      <c r="N236" s="4">
        <f ca="1"/>
        <v>-5.1178211432767462E-3</v>
      </c>
      <c r="O236" s="4">
        <f ca="1"/>
        <v>5.3145669896938807E-2</v>
      </c>
      <c r="P236" s="4">
        <f ca="1"/>
        <v>5.8297180043382912E-3</v>
      </c>
    </row>
    <row r="237" spans="1:16" x14ac:dyDescent="0.25">
      <c r="A237" vm="3516">
        <f ca="1"/>
        <v>45268</v>
      </c>
      <c r="B237" s="4">
        <f ca="1"/>
        <v>1.1204094335707904E-2</v>
      </c>
      <c r="C237" s="4">
        <f ca="1"/>
        <v>3.3319733442132016E-3</v>
      </c>
      <c r="D237" s="4">
        <f ca="1"/>
        <v>-2.2131426625808803E-3</v>
      </c>
      <c r="E237" s="4">
        <f ca="1"/>
        <v>-7.3766028021189367E-3</v>
      </c>
      <c r="F237" s="4">
        <f ca="1"/>
        <v>-9.215017064846398E-3</v>
      </c>
      <c r="G237" s="4">
        <f ca="1"/>
        <v>-7.3972602739726945E-3</v>
      </c>
      <c r="H237" s="4">
        <f ca="1"/>
        <v>1.0675798166985384E-2</v>
      </c>
      <c r="I237" s="4">
        <f ca="1"/>
        <v>-1.6119402985074638E-2</v>
      </c>
      <c r="J237" s="4">
        <f ca="1"/>
        <v>-2.0657672849915598E-2</v>
      </c>
      <c r="K237" s="4">
        <f ca="1"/>
        <v>1.8861569552037771E-2</v>
      </c>
      <c r="L237" s="4">
        <f ca="1"/>
        <v>2.5054017903076486E-2</v>
      </c>
      <c r="M237" s="4">
        <f ca="1"/>
        <v>-6.0205206478419759E-3</v>
      </c>
      <c r="N237" s="4">
        <f ca="1"/>
        <v>2.0352933282636876E-3</v>
      </c>
      <c r="O237" s="4">
        <f ca="1"/>
        <v>-1.4167822975242772E-2</v>
      </c>
      <c r="P237" s="4">
        <f ca="1"/>
        <v>8.8421620164442771E-3</v>
      </c>
    </row>
    <row r="238" spans="1:16" x14ac:dyDescent="0.25">
      <c r="A238" vm="3529">
        <f ca="1"/>
        <v>45271</v>
      </c>
      <c r="B238" s="4">
        <f ca="1"/>
        <v>-9.347285867359334E-4</v>
      </c>
      <c r="C238" s="4">
        <f ca="1"/>
        <v>1.5587936292782434E-3</v>
      </c>
      <c r="D238" s="4">
        <f ca="1"/>
        <v>7.3366319740657548E-3</v>
      </c>
      <c r="E238" s="4">
        <f ca="1"/>
        <v>5.9351620947631911E-3</v>
      </c>
      <c r="F238" s="4">
        <f ca="1"/>
        <v>4.6159145711333061E-3</v>
      </c>
      <c r="G238" s="4">
        <f ca="1"/>
        <v>1.5180789401048944E-2</v>
      </c>
      <c r="H238" s="4">
        <f ca="1"/>
        <v>5.979073243647326E-3</v>
      </c>
      <c r="I238" s="4">
        <f ca="1"/>
        <v>7.2815533980583602E-3</v>
      </c>
      <c r="J238" s="4">
        <f ca="1"/>
        <v>3.4438226431338759E-2</v>
      </c>
      <c r="K238" s="4">
        <f ca="1"/>
        <v>-2.2449286250939227E-2</v>
      </c>
      <c r="L238" s="4">
        <f ca="1"/>
        <v>1.2597239648682423E-2</v>
      </c>
      <c r="M238" s="4">
        <f ca="1"/>
        <v>5.3745094693737894E-3</v>
      </c>
      <c r="N238" s="4">
        <f ca="1"/>
        <v>7.2318200080354611E-3</v>
      </c>
      <c r="O238" s="4">
        <f ca="1"/>
        <v>-1.2593525446329523E-2</v>
      </c>
      <c r="P238" s="4">
        <f ca="1"/>
        <v>-7.8294097212944225E-3</v>
      </c>
    </row>
    <row r="239" spans="1:16" x14ac:dyDescent="0.25">
      <c r="A239" vm="3544">
        <f ca="1"/>
        <v>45272</v>
      </c>
      <c r="B239" s="4">
        <f ca="1"/>
        <v>5.9559125553374503E-3</v>
      </c>
      <c r="C239" s="4">
        <f ca="1"/>
        <v>-7.1051563134383322E-4</v>
      </c>
      <c r="D239" s="4">
        <f ca="1"/>
        <v>6.4363143631436248E-3</v>
      </c>
      <c r="E239" s="4">
        <f ca="1"/>
        <v>-5.4539144231235959E-4</v>
      </c>
      <c r="F239" s="4">
        <f ca="1"/>
        <v>8.2293238238917432E-4</v>
      </c>
      <c r="G239" s="4">
        <f ca="1"/>
        <v>1.3050570962479524E-2</v>
      </c>
      <c r="H239" s="4">
        <f ca="1"/>
        <v>6.4388311045071589E-3</v>
      </c>
      <c r="I239" s="4">
        <f ca="1"/>
        <v>6.0240963855417995E-4</v>
      </c>
      <c r="J239" s="4">
        <f ca="1"/>
        <v>-9.1552226383687652E-3</v>
      </c>
      <c r="K239" s="4">
        <f ca="1"/>
        <v>2.7484013772749893E-2</v>
      </c>
      <c r="L239" s="4">
        <f ca="1"/>
        <v>1.7396907216495006E-2</v>
      </c>
      <c r="M239" s="4">
        <f ca="1"/>
        <v>5.5154857870176599E-4</v>
      </c>
      <c r="N239" s="4">
        <f ca="1"/>
        <v>8.1992642822314998E-4</v>
      </c>
      <c r="O239" s="4">
        <f ca="1"/>
        <v>-5.7768774851825189E-3</v>
      </c>
      <c r="P239" s="4">
        <f ca="1"/>
        <v>8.2951791004577391E-3</v>
      </c>
    </row>
    <row r="240" spans="1:16" x14ac:dyDescent="0.25">
      <c r="A240" vm="3556">
        <f ca="1"/>
        <v>45273</v>
      </c>
      <c r="B240" s="4">
        <f ca="1"/>
        <v>1.6105981897784893E-3</v>
      </c>
      <c r="C240" s="4">
        <f ca="1"/>
        <v>7.9905197223630875E-3</v>
      </c>
      <c r="D240" s="4">
        <f ca="1"/>
        <v>8.5829686974081554E-3</v>
      </c>
      <c r="E240" s="4">
        <f ca="1"/>
        <v>2.6242682805833972E-2</v>
      </c>
      <c r="F240" s="4">
        <f ca="1"/>
        <v>1.8089625873646709E-2</v>
      </c>
      <c r="G240" s="4">
        <f ca="1"/>
        <v>1.0735373054213682E-2</v>
      </c>
      <c r="H240" s="4">
        <f ca="1"/>
        <v>5.1181102362205522E-3</v>
      </c>
      <c r="I240" s="4">
        <f ca="1"/>
        <v>6.0204695966303845E-4</v>
      </c>
      <c r="J240" s="4">
        <f ca="1"/>
        <v>3.5279294414111817E-2</v>
      </c>
      <c r="K240" s="4">
        <f ca="1"/>
        <v>1.5558614086528255E-3</v>
      </c>
      <c r="L240" s="4">
        <f ca="1"/>
        <v>2.4406878745067528E-2</v>
      </c>
      <c r="M240" s="4">
        <f ca="1"/>
        <v>2.8664716109061628E-2</v>
      </c>
      <c r="N240" s="4">
        <f ca="1"/>
        <v>-4.2069835927638355E-4</v>
      </c>
      <c r="O240" s="4">
        <f ca="1"/>
        <v>3.7730153939019573E-4</v>
      </c>
      <c r="P240" s="4">
        <f ca="1"/>
        <v>-2.6710828569864731E-5</v>
      </c>
    </row>
    <row r="241" spans="1:16" x14ac:dyDescent="0.25">
      <c r="A241" vm="3571">
        <f ca="1"/>
        <v>45274</v>
      </c>
      <c r="B241" s="4">
        <f ca="1"/>
        <v>3.1412782533858818E-2</v>
      </c>
      <c r="C241" s="4">
        <f ca="1"/>
        <v>3.8225118403815816E-2</v>
      </c>
      <c r="D241" s="4">
        <f ca="1"/>
        <v>-1.4850659102286001E-2</v>
      </c>
      <c r="E241" s="4">
        <f ca="1"/>
        <v>1.7305554212790675E-2</v>
      </c>
      <c r="F241" s="4">
        <f ca="1"/>
        <v>-2.6383093283079972E-2</v>
      </c>
      <c r="G241" s="4">
        <f ca="1"/>
        <v>-1.7525225703664327E-2</v>
      </c>
      <c r="H241" s="4">
        <f ca="1"/>
        <v>1.3023893458675939E-2</v>
      </c>
      <c r="I241" s="4">
        <f ca="1"/>
        <v>1.8050541516245522E-2</v>
      </c>
      <c r="J241" s="4">
        <f ca="1"/>
        <v>-5.2738336713995526E-3</v>
      </c>
      <c r="K241" s="4">
        <f ca="1"/>
        <v>-4.6902073250880694E-3</v>
      </c>
      <c r="L241" s="4">
        <f ca="1"/>
        <v>2.6250713334601494E-2</v>
      </c>
      <c r="M241" s="4">
        <f ca="1"/>
        <v>-6.430603075147423E-3</v>
      </c>
      <c r="N241" s="4">
        <f ca="1"/>
        <v>-1.3667375509480828E-2</v>
      </c>
      <c r="O241" s="4">
        <f ca="1"/>
        <v>-4.7522063815342852E-3</v>
      </c>
      <c r="P241" s="4">
        <f ca="1"/>
        <v>-2.2544541496380632E-2</v>
      </c>
    </row>
    <row r="242" spans="1:16" x14ac:dyDescent="0.25">
      <c r="A242" vm="3584">
        <f ca="1"/>
        <v>45275</v>
      </c>
      <c r="B242" s="4">
        <f ca="1"/>
        <v>-3.9744406139522459E-3</v>
      </c>
      <c r="C242" s="4">
        <f ca="1"/>
        <v>1.7211815328868729E-2</v>
      </c>
      <c r="D242" s="4">
        <f ca="1"/>
        <v>-7.4525745257452147E-3</v>
      </c>
      <c r="E242" s="4">
        <f ca="1"/>
        <v>1.040627227369928E-2</v>
      </c>
      <c r="F242" s="4">
        <f ca="1"/>
        <v>-4.8389326697082513E-3</v>
      </c>
      <c r="G242" s="4">
        <f ca="1"/>
        <v>-1.1081081081080968E-2</v>
      </c>
      <c r="H242" s="4">
        <f ca="1"/>
        <v>-8.7965200579990244E-3</v>
      </c>
      <c r="I242" s="4">
        <f ca="1"/>
        <v>4.7281323877068626E-3</v>
      </c>
      <c r="J242" s="4">
        <f ca="1"/>
        <v>2.1615008156606885E-2</v>
      </c>
      <c r="K242" s="4">
        <f ca="1"/>
        <v>5.2525737611428536E-3</v>
      </c>
      <c r="L242" s="4">
        <f ca="1"/>
        <v>-3.6144578313253017E-3</v>
      </c>
      <c r="M242" s="4">
        <f ca="1"/>
        <v>-1.8960295398912974E-2</v>
      </c>
      <c r="N242" s="4">
        <f ca="1"/>
        <v>-7.7705661733329379E-3</v>
      </c>
      <c r="O242" s="4">
        <f ca="1"/>
        <v>5.0022737608004242E-3</v>
      </c>
      <c r="P242" s="4">
        <f ca="1"/>
        <v>1.3117262864482226E-2</v>
      </c>
    </row>
    <row r="243" spans="1:16" x14ac:dyDescent="0.25">
      <c r="A243" vm="3597">
        <f ca="1"/>
        <v>45278</v>
      </c>
      <c r="B243" s="4">
        <f ca="1"/>
        <v>-2.4250440917106264E-4</v>
      </c>
      <c r="C243" s="4">
        <f ca="1"/>
        <v>1.1450017493079834E-3</v>
      </c>
      <c r="D243" s="4">
        <f ca="1"/>
        <v>7.1672354948806305E-3</v>
      </c>
      <c r="E243" s="4">
        <f ca="1"/>
        <v>1.3638073739653978E-2</v>
      </c>
      <c r="F243" s="4">
        <f ca="1"/>
        <v>1.5351486524034286E-2</v>
      </c>
      <c r="G243" s="4">
        <f ca="1"/>
        <v>3.2795845859523443E-3</v>
      </c>
      <c r="H243" s="4">
        <f ca="1"/>
        <v>3.8033937975423537E-3</v>
      </c>
      <c r="I243" s="4">
        <f ca="1"/>
        <v>9.7058823529412308E-3</v>
      </c>
      <c r="J243" s="4">
        <f ca="1"/>
        <v>-1.7964071856287345E-2</v>
      </c>
      <c r="K243" s="4">
        <f ca="1"/>
        <v>2.8962140212588139E-2</v>
      </c>
      <c r="L243" s="4">
        <f ca="1"/>
        <v>-9.3014603292806974E-5</v>
      </c>
      <c r="M243" s="4">
        <f ca="1"/>
        <v>1.0276579548337939E-2</v>
      </c>
      <c r="N243" s="4">
        <f ca="1"/>
        <v>1.1543423643647799E-2</v>
      </c>
      <c r="O243" s="4">
        <f ca="1"/>
        <v>2.4132730015083093E-2</v>
      </c>
      <c r="P243" s="4">
        <f ca="1"/>
        <v>5.1789712189462822E-3</v>
      </c>
    </row>
    <row r="244" spans="1:16" x14ac:dyDescent="0.25">
      <c r="A244" vm="3613">
        <f ca="1"/>
        <v>45279</v>
      </c>
      <c r="B244" s="4">
        <f ca="1"/>
        <v>1.492866435864082E-2</v>
      </c>
      <c r="C244" s="4">
        <f ca="1"/>
        <v>-5.3689995869999896E-3</v>
      </c>
      <c r="D244" s="4">
        <f ca="1"/>
        <v>-3.2192477126398167E-3</v>
      </c>
      <c r="E244" s="4">
        <f ca="1"/>
        <v>1.6284680337756319E-2</v>
      </c>
      <c r="F244" s="4">
        <f ca="1"/>
        <v>0</v>
      </c>
      <c r="G244" s="4">
        <f ca="1"/>
        <v>-5.9929174611822456E-3</v>
      </c>
      <c r="H244" s="4">
        <f ca="1"/>
        <v>9.1324200913240894E-3</v>
      </c>
      <c r="I244" s="4">
        <f ca="1"/>
        <v>7.2822604136324465E-3</v>
      </c>
      <c r="J244" s="4">
        <f ca="1"/>
        <v>3.4959349593495892E-2</v>
      </c>
      <c r="K244" s="4">
        <f ca="1"/>
        <v>1.6656026928210776E-2</v>
      </c>
      <c r="L244" s="4">
        <f ca="1"/>
        <v>1.2604651162790637E-2</v>
      </c>
      <c r="M244" s="4">
        <f ca="1"/>
        <v>9.2092594918162796E-3</v>
      </c>
      <c r="N244" s="4">
        <f ca="1"/>
        <v>1.9690765478508343E-3</v>
      </c>
      <c r="O244" s="4">
        <f ca="1"/>
        <v>6.259204712812938E-3</v>
      </c>
      <c r="P244" s="4">
        <f ca="1"/>
        <v>1.6369247282974619E-3</v>
      </c>
    </row>
    <row r="245" spans="1:16" x14ac:dyDescent="0.25">
      <c r="A245" vm="3628">
        <f ca="1"/>
        <v>45280</v>
      </c>
      <c r="B245" s="4">
        <f ca="1"/>
        <v>-2.3551905444748611E-2</v>
      </c>
      <c r="C245" s="4">
        <f ca="1"/>
        <v>-1.1594480643924876E-2</v>
      </c>
      <c r="D245" s="4">
        <f ca="1"/>
        <v>-2.0737718850926345E-2</v>
      </c>
      <c r="E245" s="4">
        <f ca="1"/>
        <v>-1.8717187856653883E-2</v>
      </c>
      <c r="F245" s="4">
        <f ca="1"/>
        <v>-1.5461448997742266E-2</v>
      </c>
      <c r="G245" s="4">
        <f ca="1"/>
        <v>-2.0279528637983102E-2</v>
      </c>
      <c r="H245" s="4">
        <f ca="1"/>
        <v>-3.6873014344854127E-2</v>
      </c>
      <c r="I245" s="4">
        <f ca="1"/>
        <v>-6.3620589936379535E-3</v>
      </c>
      <c r="J245" s="4">
        <f ca="1"/>
        <v>1.8460329929300912E-2</v>
      </c>
      <c r="K245" s="4">
        <f ca="1"/>
        <v>-3.0825436693687758E-3</v>
      </c>
      <c r="L245" s="4">
        <f ca="1"/>
        <v>-2.2093610766616201E-2</v>
      </c>
      <c r="M245" s="4">
        <f ca="1"/>
        <v>-2.4969928242565054E-2</v>
      </c>
      <c r="N245" s="4">
        <f ca="1"/>
        <v>-1.159025436030281E-2</v>
      </c>
      <c r="O245" s="4">
        <f ca="1"/>
        <v>1.2367361873399263E-2</v>
      </c>
      <c r="P245" s="4">
        <f ca="1"/>
        <v>-7.0728178749396298E-3</v>
      </c>
    </row>
    <row r="246" spans="1:16" x14ac:dyDescent="0.25">
      <c r="A246" vm="3644">
        <f ca="1"/>
        <v>45281</v>
      </c>
      <c r="B246" s="4">
        <f ca="1"/>
        <v>1.4418583952650055E-2</v>
      </c>
      <c r="C246" s="4">
        <f ca="1"/>
        <v>3.9424785910486815E-3</v>
      </c>
      <c r="D246" s="4">
        <f ca="1"/>
        <v>6.5960770699531324E-3</v>
      </c>
      <c r="E246" s="4">
        <f ca="1"/>
        <v>1.6189811584089497E-2</v>
      </c>
      <c r="F246" s="4">
        <f ca="1"/>
        <v>2.4320756028073376E-3</v>
      </c>
      <c r="G246" s="4">
        <f ca="1"/>
        <v>5.8741258741259461E-3</v>
      </c>
      <c r="H246" s="4">
        <f ca="1"/>
        <v>2.5089964014394228E-2</v>
      </c>
      <c r="I246" s="4">
        <f ca="1"/>
        <v>2.9103608847498297E-3</v>
      </c>
      <c r="J246" s="4">
        <f ca="1"/>
        <v>2.9695333590435746E-2</v>
      </c>
      <c r="K246" s="4">
        <f ca="1"/>
        <v>1.3771186440677985E-2</v>
      </c>
      <c r="L246" s="4">
        <f ca="1"/>
        <v>-2.1136683889150243E-3</v>
      </c>
      <c r="M246" s="4">
        <f ca="1"/>
        <v>3.4032415876121824E-3</v>
      </c>
      <c r="N246" s="4">
        <f ca="1"/>
        <v>1.224582015363751E-2</v>
      </c>
      <c r="O246" s="4">
        <f ca="1"/>
        <v>1.503541997975999E-2</v>
      </c>
      <c r="P246" s="4">
        <f ca="1"/>
        <v>7.8786897630997998E-3</v>
      </c>
    </row>
    <row r="247" spans="1:16" x14ac:dyDescent="0.25">
      <c r="A247" vm="3658">
        <f ca="1"/>
        <v>45282</v>
      </c>
      <c r="B247" s="4">
        <f ca="1"/>
        <v>5.0230313665278192E-3</v>
      </c>
      <c r="C247" s="4">
        <f ca="1"/>
        <v>4.4742009205909206E-3</v>
      </c>
      <c r="D247" s="4">
        <f ca="1"/>
        <v>5.6906363166062679E-3</v>
      </c>
      <c r="E247" s="4">
        <f ca="1"/>
        <v>6.2262509728516768E-3</v>
      </c>
      <c r="F247" s="4">
        <f ca="1"/>
        <v>7.0705670317483538E-3</v>
      </c>
      <c r="G247" s="4">
        <f ca="1"/>
        <v>1.1123470522803158E-2</v>
      </c>
      <c r="H247" s="4">
        <f ca="1"/>
        <v>5.8508044856169228E-3</v>
      </c>
      <c r="I247" s="4">
        <f ca="1"/>
        <v>4.9332559489263517E-3</v>
      </c>
      <c r="J247" s="4">
        <f ca="1"/>
        <v>-1.8726591760299671E-3</v>
      </c>
      <c r="K247" s="4">
        <f ca="1"/>
        <v>-1.9768985286225949E-3</v>
      </c>
      <c r="L247" s="4">
        <f ca="1"/>
        <v>7.4841139091550435E-3</v>
      </c>
      <c r="M247" s="4">
        <f ca="1"/>
        <v>8.521643278076807E-3</v>
      </c>
      <c r="N247" s="4">
        <f ca="1"/>
        <v>4.4640864247136314E-4</v>
      </c>
      <c r="O247" s="4">
        <f ca="1"/>
        <v>7.6199971514030462E-3</v>
      </c>
      <c r="P247" s="4">
        <f ca="1"/>
        <v>2.7841730470632431E-3</v>
      </c>
    </row>
    <row r="248" spans="1:16" x14ac:dyDescent="0.25">
      <c r="A248" vm="3672">
        <f ca="1"/>
        <v>45286</v>
      </c>
      <c r="B248" s="4">
        <f ca="1"/>
        <v>7.1367773194526141E-3</v>
      </c>
      <c r="C248" s="4">
        <f ca="1"/>
        <v>6.8256104595270095E-3</v>
      </c>
      <c r="D248" s="4">
        <f ca="1"/>
        <v>4.115226337448652E-3</v>
      </c>
      <c r="E248" s="4">
        <f ca="1"/>
        <v>7.4161699804358161E-3</v>
      </c>
      <c r="F248" s="4">
        <f ca="1"/>
        <v>4.5429515418502486E-3</v>
      </c>
      <c r="G248" s="4">
        <f ca="1"/>
        <v>3.8503850385038785E-3</v>
      </c>
      <c r="H248" s="4">
        <f ca="1"/>
        <v>1.2603005332040729E-2</v>
      </c>
      <c r="I248" s="4">
        <f ca="1"/>
        <v>9.2405428818942426E-3</v>
      </c>
      <c r="J248" s="4">
        <f ca="1"/>
        <v>6.0037523452156627E-3</v>
      </c>
      <c r="K248" s="4">
        <f ca="1"/>
        <v>4.0748181895355895E-3</v>
      </c>
      <c r="L248" s="4">
        <f ca="1"/>
        <v>2.896654830872647E-3</v>
      </c>
      <c r="M248" s="4">
        <f ca="1"/>
        <v>4.6662182613081971E-3</v>
      </c>
      <c r="N248" s="4">
        <f ca="1"/>
        <v>4.3728526170183635E-3</v>
      </c>
      <c r="O248" s="4">
        <f ca="1"/>
        <v>2.1202911866557983E-4</v>
      </c>
      <c r="P248" s="4">
        <f ca="1"/>
        <v>2.1357253457221503E-4</v>
      </c>
    </row>
    <row r="249" spans="1:16" x14ac:dyDescent="0.25">
      <c r="A249" vm="3686">
        <f ca="1"/>
        <v>45287</v>
      </c>
      <c r="B249" s="4">
        <f ca="1"/>
        <v>1.7119576994755192E-3</v>
      </c>
      <c r="C249" s="4">
        <f ca="1"/>
        <v>-8.9118049587821879E-4</v>
      </c>
      <c r="D249" s="4">
        <f ca="1"/>
        <v>2.5614754098359782E-3</v>
      </c>
      <c r="E249" s="4">
        <f ca="1"/>
        <v>8.671303405293207E-3</v>
      </c>
      <c r="F249" s="4">
        <f ca="1"/>
        <v>8.2225572152938575E-4</v>
      </c>
      <c r="G249" s="4">
        <f ca="1"/>
        <v>5.4794520547951642E-4</v>
      </c>
      <c r="H249" s="4">
        <f ca="1"/>
        <v>1.9147917663955294E-3</v>
      </c>
      <c r="I249" s="4">
        <f ca="1"/>
        <v>-8.583690987124637E-3</v>
      </c>
      <c r="J249" s="4">
        <f ca="1"/>
        <v>3.3569563595672314E-3</v>
      </c>
      <c r="K249" s="4">
        <f ca="1"/>
        <v>8.4547529803005173E-3</v>
      </c>
      <c r="L249" s="4">
        <f ca="1"/>
        <v>6.0095034007265902E-3</v>
      </c>
      <c r="M249" s="4">
        <f ca="1"/>
        <v>4.7282313067491533E-3</v>
      </c>
      <c r="N249" s="4">
        <f ca="1"/>
        <v>-2.6878137633834509E-3</v>
      </c>
      <c r="O249" s="4">
        <f ca="1"/>
        <v>-8.126059920859241E-3</v>
      </c>
      <c r="P249" s="4">
        <f ca="1"/>
        <v>-1.5747611167459263E-3</v>
      </c>
    </row>
    <row r="250" spans="1:16" x14ac:dyDescent="0.25">
      <c r="A250" vm="3701">
        <f ca="1"/>
        <v>45288</v>
      </c>
      <c r="B250" s="4">
        <f ca="1"/>
        <v>-6.2736614386160738E-4</v>
      </c>
      <c r="C250" s="4">
        <f ca="1"/>
        <v>1.2742505813756466E-4</v>
      </c>
      <c r="D250" s="4">
        <f ca="1"/>
        <v>6.8131493782996877E-4</v>
      </c>
      <c r="E250" s="4">
        <f ca="1"/>
        <v>-7.1639652547684785E-3</v>
      </c>
      <c r="F250" s="4">
        <f ca="1"/>
        <v>-2.259345474462604E-3</v>
      </c>
      <c r="G250" s="4">
        <f ca="1"/>
        <v>6.0240963855422436E-3</v>
      </c>
      <c r="H250" s="4">
        <f ca="1"/>
        <v>4.7778308647861145E-4</v>
      </c>
      <c r="I250" s="4">
        <f ca="1"/>
        <v>2.5974025974027093E-3</v>
      </c>
      <c r="J250" s="4">
        <f ca="1"/>
        <v>-2.2304832713754275E-3</v>
      </c>
      <c r="K250" s="4">
        <f ca="1"/>
        <v>1.3693653410837836E-3</v>
      </c>
      <c r="L250" s="4">
        <f ca="1"/>
        <v>2.4079648066681614E-3</v>
      </c>
      <c r="M250" s="4">
        <f ca="1"/>
        <v>8.4957521239379385E-3</v>
      </c>
      <c r="N250" s="4">
        <f ca="1"/>
        <v>5.0337439027106079E-3</v>
      </c>
      <c r="O250" s="4">
        <f ca="1"/>
        <v>-9.9736410914019746E-4</v>
      </c>
      <c r="P250" s="4">
        <f ca="1"/>
        <v>3.2346886946292841E-3</v>
      </c>
    </row>
    <row r="251" spans="1:16" x14ac:dyDescent="0.25">
      <c r="A251" vm="3715">
        <f ca="1"/>
        <v>45289</v>
      </c>
      <c r="B251" s="4">
        <f ca="1"/>
        <v>-2.7275088752273247E-3</v>
      </c>
      <c r="C251" s="4">
        <f ca="1"/>
        <v>-4.8415352763178099E-3</v>
      </c>
      <c r="D251" s="4">
        <f ca="1"/>
        <v>3.0638297872340736E-3</v>
      </c>
      <c r="E251" s="4">
        <f ca="1"/>
        <v>-8.5234959862903192E-3</v>
      </c>
      <c r="F251" s="4">
        <f ca="1"/>
        <v>5.558224113085819E-3</v>
      </c>
      <c r="G251" s="4">
        <f ca="1"/>
        <v>6.5323897659226304E-3</v>
      </c>
      <c r="H251" s="4">
        <f ca="1"/>
        <v>-6.6857688634193169E-3</v>
      </c>
      <c r="I251" s="4">
        <f ca="1"/>
        <v>-2.014968336211842E-3</v>
      </c>
      <c r="J251" s="4">
        <f ca="1"/>
        <v>4.4709388971684305E-3</v>
      </c>
      <c r="K251" s="4">
        <f ca="1"/>
        <v>-1.2167894619334763E-2</v>
      </c>
      <c r="L251" s="4">
        <f ca="1"/>
        <v>-3.0951171062963967E-3</v>
      </c>
      <c r="M251" s="4">
        <f ca="1"/>
        <v>-1.6930954740667081E-3</v>
      </c>
      <c r="N251" s="4">
        <f ca="1"/>
        <v>4.4544910577752894E-3</v>
      </c>
      <c r="O251" s="4">
        <f ca="1"/>
        <v>-3.8508165157241647E-3</v>
      </c>
      <c r="P251" s="4">
        <f ca="1"/>
        <v>2.0251545512686153E-3</v>
      </c>
    </row>
    <row r="252" spans="1:16" x14ac:dyDescent="0.25">
      <c r="A252" vm="3730">
        <f ca="1"/>
        <v>45293</v>
      </c>
      <c r="B252" s="4">
        <f ca="1"/>
        <v>-4.5365747775124587E-3</v>
      </c>
      <c r="C252" s="4">
        <f ca="1"/>
        <v>-7.7777422142559782E-3</v>
      </c>
      <c r="D252" s="4">
        <f ca="1"/>
        <v>1.5102664177838232E-2</v>
      </c>
      <c r="E252" s="4">
        <f ca="1"/>
        <v>-1.2599499658858204E-2</v>
      </c>
      <c r="F252" s="4">
        <f ca="1"/>
        <v>1.5012965743141926E-2</v>
      </c>
      <c r="G252" s="4">
        <f ca="1"/>
        <v>3.0827474310438197E-2</v>
      </c>
      <c r="H252" s="4">
        <f ca="1"/>
        <v>-2.3749999999999938E-2</v>
      </c>
      <c r="I252" s="4">
        <f ca="1"/>
        <v>-1.4421690222095052E-3</v>
      </c>
      <c r="J252" s="4">
        <f ca="1"/>
        <v>-3.189910979228483E-2</v>
      </c>
      <c r="K252" s="4">
        <f ca="1"/>
        <v>-2.1669115154254626E-2</v>
      </c>
      <c r="L252" s="4">
        <f ca="1"/>
        <v>-3.0259499536608003E-2</v>
      </c>
      <c r="M252" s="4">
        <f ca="1"/>
        <v>8.8521199586348853E-3</v>
      </c>
      <c r="N252" s="4">
        <f ca="1"/>
        <v>6.3542494042891917E-3</v>
      </c>
      <c r="O252" s="4">
        <f ca="1"/>
        <v>-1.0881237024840784E-2</v>
      </c>
      <c r="P252" s="4">
        <f ca="1"/>
        <v>-1.3748537389639437E-2</v>
      </c>
    </row>
    <row r="253" spans="1:16" x14ac:dyDescent="0.25">
      <c r="A253" vm="3744">
        <f ca="1"/>
        <v>45294</v>
      </c>
      <c r="B253" s="4">
        <f ca="1"/>
        <v>-1.7291380475785489E-2</v>
      </c>
      <c r="C253" s="4">
        <f ca="1"/>
        <v>-2.7193548387096755E-2</v>
      </c>
      <c r="D253" s="4">
        <f ca="1"/>
        <v>2.3403543965228035E-3</v>
      </c>
      <c r="E253" s="4">
        <f ca="1"/>
        <v>-1.6353418094711691E-2</v>
      </c>
      <c r="F253" s="4">
        <f ca="1"/>
        <v>-6.0508269463493969E-3</v>
      </c>
      <c r="G253" s="4">
        <f ca="1"/>
        <v>-1.0493179433368471E-3</v>
      </c>
      <c r="H253" s="4">
        <f ca="1"/>
        <v>-1.3395055648576792E-2</v>
      </c>
      <c r="I253" s="4">
        <f ca="1"/>
        <v>1.1554015020218689E-3</v>
      </c>
      <c r="J253" s="4">
        <f ca="1"/>
        <v>-7.6628352490437646E-4</v>
      </c>
      <c r="K253" s="4">
        <f ca="1"/>
        <v>-5.2557105316353159E-3</v>
      </c>
      <c r="L253" s="4">
        <f ca="1"/>
        <v>-3.5982223921250056E-2</v>
      </c>
      <c r="M253" s="4">
        <f ca="1"/>
        <v>-1.0127516503341649E-2</v>
      </c>
      <c r="N253" s="4">
        <f ca="1"/>
        <v>6.5772165219679657E-3</v>
      </c>
      <c r="O253" s="4">
        <f ca="1"/>
        <v>5.4280958239849575E-3</v>
      </c>
      <c r="P253" s="4">
        <f ca="1"/>
        <v>-7.2801790384768861E-4</v>
      </c>
    </row>
    <row r="254" spans="1:16" x14ac:dyDescent="0.25">
      <c r="A254" vm="3759">
        <f ca="1"/>
        <v>45295</v>
      </c>
      <c r="B254" s="4">
        <f ca="1"/>
        <v>3.062039584627696E-3</v>
      </c>
      <c r="C254" s="4">
        <f ca="1"/>
        <v>2.9843817355845736E-4</v>
      </c>
      <c r="D254" s="4">
        <f ca="1"/>
        <v>-3.3355570380253496E-3</v>
      </c>
      <c r="E254" s="4">
        <f ca="1"/>
        <v>1.1567461246663191E-2</v>
      </c>
      <c r="F254" s="4">
        <f ca="1"/>
        <v>5.4788961038960693E-3</v>
      </c>
      <c r="G254" s="4">
        <f ca="1"/>
        <v>-7.8781512605041737E-3</v>
      </c>
      <c r="H254" s="4">
        <f ca="1"/>
        <v>-1.0382350004991547E-2</v>
      </c>
      <c r="I254" s="4">
        <f ca="1"/>
        <v>1.7311021350261413E-3</v>
      </c>
      <c r="J254" s="4">
        <f ca="1"/>
        <v>-2.3389570552147187E-2</v>
      </c>
      <c r="K254" s="4">
        <f ca="1"/>
        <v>7.6929776177896425E-3</v>
      </c>
      <c r="L254" s="4">
        <f ca="1"/>
        <v>-8.2779815604243634E-3</v>
      </c>
      <c r="M254" s="4">
        <f ca="1"/>
        <v>3.7693645928258412E-3</v>
      </c>
      <c r="N254" s="4">
        <f ca="1"/>
        <v>-2.7225997560550441E-3</v>
      </c>
      <c r="O254" s="4">
        <f ca="1"/>
        <v>-1.8211920529801362E-2</v>
      </c>
      <c r="P254" s="4">
        <f ca="1"/>
        <v>-7.1775499190502856E-3</v>
      </c>
    </row>
    <row r="255" spans="1:16" x14ac:dyDescent="0.25">
      <c r="A255" vm="3773">
        <f ca="1"/>
        <v>45296</v>
      </c>
      <c r="B255" s="4">
        <f ca="1"/>
        <v>3.296022651860353E-3</v>
      </c>
      <c r="C255" s="4">
        <f ca="1"/>
        <v>1.5215805874162935E-2</v>
      </c>
      <c r="D255" s="4">
        <f ca="1"/>
        <v>-1.5060240963854499E-3</v>
      </c>
      <c r="E255" s="4">
        <f ca="1"/>
        <v>-3.2407407407408773E-4</v>
      </c>
      <c r="F255" s="4">
        <f ca="1"/>
        <v>-8.2744702320889374E-3</v>
      </c>
      <c r="G255" s="4">
        <f ca="1"/>
        <v>4.2350449973529436E-3</v>
      </c>
      <c r="H255" s="4">
        <f ca="1"/>
        <v>4.842126500554933E-3</v>
      </c>
      <c r="I255" s="4">
        <f ca="1"/>
        <v>-2.8801843317972642E-3</v>
      </c>
      <c r="J255" s="4">
        <f ca="1"/>
        <v>1.2171181782489215E-2</v>
      </c>
      <c r="K255" s="4">
        <f ca="1"/>
        <v>1.3914496427748224E-2</v>
      </c>
      <c r="L255" s="4">
        <f ca="1"/>
        <v>-4.9482681061627787E-3</v>
      </c>
      <c r="M255" s="4">
        <f ca="1"/>
        <v>2.1458341930425506E-2</v>
      </c>
      <c r="N255" s="4">
        <f ca="1"/>
        <v>-2.9921156660187576E-3</v>
      </c>
      <c r="O255" s="4">
        <f ca="1"/>
        <v>-4.8390644475401201E-3</v>
      </c>
      <c r="P255" s="4">
        <f ca="1"/>
        <v>-5.1638854161006886E-4</v>
      </c>
    </row>
    <row r="256" spans="1:16" x14ac:dyDescent="0.25">
      <c r="A256" vm="3787">
        <f ca="1"/>
        <v>45299</v>
      </c>
      <c r="B256" s="4">
        <f ca="1"/>
        <v>1.1332818873332595E-2</v>
      </c>
      <c r="C256" s="4">
        <f ca="1"/>
        <v>1.071020408163248E-2</v>
      </c>
      <c r="D256" s="4">
        <f ca="1"/>
        <v>7.3738897268309511E-3</v>
      </c>
      <c r="E256" s="4">
        <f ca="1"/>
        <v>2.2553605335062343E-2</v>
      </c>
      <c r="F256" s="4">
        <f ca="1"/>
        <v>8.6148419481753002E-3</v>
      </c>
      <c r="G256" s="4">
        <f ca="1"/>
        <v>8.170795993674318E-3</v>
      </c>
      <c r="H256" s="4">
        <f ca="1"/>
        <v>2.6402971589197799E-2</v>
      </c>
      <c r="I256" s="4">
        <f ca="1"/>
        <v>2.021952628538326E-3</v>
      </c>
      <c r="J256" s="4">
        <f ca="1"/>
        <v>-1.5515903801396558E-2</v>
      </c>
      <c r="K256" s="4">
        <f ca="1"/>
        <v>1.906520812615442E-2</v>
      </c>
      <c r="L256" s="4">
        <f ca="1"/>
        <v>3.2599959815149626E-2</v>
      </c>
      <c r="M256" s="4">
        <f ca="1"/>
        <v>9.9785884539247416E-3</v>
      </c>
      <c r="N256" s="4">
        <f ca="1"/>
        <v>4.6002190580505253E-3</v>
      </c>
      <c r="O256" s="4">
        <f ca="1"/>
        <v>2.2913136373683196E-2</v>
      </c>
      <c r="P256" s="4">
        <f ca="1"/>
        <v>1.8871515975526831E-2</v>
      </c>
    </row>
    <row r="257" spans="1:16" x14ac:dyDescent="0.25">
      <c r="A257" vm="3801">
        <f ca="1"/>
        <v>45300</v>
      </c>
      <c r="B257" s="4">
        <f ca="1"/>
        <v>-2.6815496304694042E-3</v>
      </c>
      <c r="C257" s="4">
        <f ca="1"/>
        <v>-5.8798824023519325E-3</v>
      </c>
      <c r="D257" s="4">
        <f ca="1"/>
        <v>-1.8299783729828212E-3</v>
      </c>
      <c r="E257" s="4">
        <f ca="1"/>
        <v>5.3442028985506429E-3</v>
      </c>
      <c r="F257" s="4">
        <f ca="1"/>
        <v>4.1024951240837826E-3</v>
      </c>
      <c r="G257" s="4">
        <f ca="1"/>
        <v>7.8431372549019329E-3</v>
      </c>
      <c r="H257" s="4">
        <f ca="1"/>
        <v>-3.4233176838810442E-3</v>
      </c>
      <c r="I257" s="4">
        <f ca="1"/>
        <v>-2.3061400980108893E-3</v>
      </c>
      <c r="J257" s="4">
        <f ca="1"/>
        <v>-5.5161544523246731E-3</v>
      </c>
      <c r="K257" s="4">
        <f ca="1"/>
        <v>-3.4294317738248203E-3</v>
      </c>
      <c r="L257" s="4">
        <f ca="1"/>
        <v>-7.1508488592693098E-3</v>
      </c>
      <c r="M257" s="4">
        <f ca="1"/>
        <v>1.415999999999995E-2</v>
      </c>
      <c r="N257" s="4">
        <f ca="1"/>
        <v>-5.0370693414740764E-3</v>
      </c>
      <c r="O257" s="4">
        <f ca="1"/>
        <v>1.5197349467012344E-2</v>
      </c>
      <c r="P257" s="4">
        <f ca="1"/>
        <v>2.9357602284556528E-3</v>
      </c>
    </row>
    <row r="258" spans="1:16" x14ac:dyDescent="0.25">
      <c r="A258" vm="3815">
        <f ca="1"/>
        <v>45301</v>
      </c>
      <c r="B258" s="4">
        <f ca="1"/>
        <v>7.2574651335635121E-3</v>
      </c>
      <c r="C258" s="4">
        <f ca="1"/>
        <v>-5.6221767248382237E-3</v>
      </c>
      <c r="D258" s="4">
        <f ca="1"/>
        <v>3.3333333333334103E-3</v>
      </c>
      <c r="E258" s="4">
        <f ca="1"/>
        <v>9.0548698080910039E-3</v>
      </c>
      <c r="F258" s="4">
        <f ca="1"/>
        <v>4.2866711319489159E-3</v>
      </c>
      <c r="G258" s="4">
        <f ca="1"/>
        <v>-1.7120622568093324E-2</v>
      </c>
      <c r="H258" s="4">
        <f ca="1"/>
        <v>-1.0697811365197762E-2</v>
      </c>
      <c r="I258" s="4">
        <f ca="1"/>
        <v>2.6004045073679816E-3</v>
      </c>
      <c r="J258" s="4">
        <f ca="1"/>
        <v>1.6640253565768592E-2</v>
      </c>
      <c r="K258" s="4">
        <f ca="1"/>
        <v>3.648266793498034E-2</v>
      </c>
      <c r="L258" s="4">
        <f ca="1"/>
        <v>-2.2537971582557992E-3</v>
      </c>
      <c r="M258" s="4">
        <f ca="1"/>
        <v>4.8513055139229877E-3</v>
      </c>
      <c r="N258" s="4">
        <f ca="1"/>
        <v>-1.9505139275461936E-3</v>
      </c>
      <c r="O258" s="4">
        <f ca="1"/>
        <v>9.4359702021995506E-3</v>
      </c>
      <c r="P258" s="4">
        <f ca="1"/>
        <v>1.8574203677585777E-2</v>
      </c>
    </row>
    <row r="259" spans="1:16" x14ac:dyDescent="0.25">
      <c r="A259" vm="3829">
        <f ca="1"/>
        <v>45302</v>
      </c>
      <c r="B259" s="4">
        <f ca="1"/>
        <v>4.0366335344417248E-3</v>
      </c>
      <c r="C259" s="4">
        <f ca="1"/>
        <v>2.6145499705854114E-4</v>
      </c>
      <c r="D259" s="4">
        <f ca="1"/>
        <v>-6.4784053156146104E-3</v>
      </c>
      <c r="E259" s="4">
        <f ca="1"/>
        <v>-6.1163444796642485E-3</v>
      </c>
      <c r="F259" s="4">
        <f ca="1"/>
        <v>3.8015206082433473E-3</v>
      </c>
      <c r="G259" s="4">
        <f ca="1"/>
        <v>-8.1815782528372738E-3</v>
      </c>
      <c r="H259" s="4">
        <f ca="1"/>
        <v>4.1666666666666519E-3</v>
      </c>
      <c r="I259" s="4">
        <f ca="1"/>
        <v>-3.7463976945245614E-3</v>
      </c>
      <c r="J259" s="4">
        <f ca="1"/>
        <v>-1.9485580670303926E-2</v>
      </c>
      <c r="K259" s="4">
        <f ca="1"/>
        <v>-2.1594191162577214E-3</v>
      </c>
      <c r="L259" s="4">
        <f ca="1"/>
        <v>-5.7454331172657191E-3</v>
      </c>
      <c r="M259" s="4">
        <f ca="1"/>
        <v>1.0401538642697439E-2</v>
      </c>
      <c r="N259" s="4">
        <f ca="1"/>
        <v>-4.9846288976723718E-3</v>
      </c>
      <c r="O259" s="4">
        <f ca="1"/>
        <v>-1.4056789429293115E-3</v>
      </c>
      <c r="P259" s="4">
        <f ca="1"/>
        <v>4.8593149933380264E-3</v>
      </c>
    </row>
    <row r="260" spans="1:16" x14ac:dyDescent="0.25">
      <c r="A260" vm="3842">
        <f ca="1"/>
        <v>45303</v>
      </c>
      <c r="B260" s="4">
        <f ca="1"/>
        <v>-5.0146982535016482E-3</v>
      </c>
      <c r="C260" s="4">
        <f ca="1"/>
        <v>-1.2938639482454328E-2</v>
      </c>
      <c r="D260" s="4">
        <f ca="1"/>
        <v>9.6973750208995124E-3</v>
      </c>
      <c r="E260" s="4">
        <f ca="1"/>
        <v>3.503728326295974E-3</v>
      </c>
      <c r="F260" s="4">
        <f ca="1"/>
        <v>5.9796691249758283E-4</v>
      </c>
      <c r="G260" s="4">
        <f ca="1"/>
        <v>2.6609898882383742E-3</v>
      </c>
      <c r="H260" s="4">
        <f ca="1"/>
        <v>1.9758940920766577E-4</v>
      </c>
      <c r="I260" s="4">
        <f ca="1"/>
        <v>8.3887763957188888E-3</v>
      </c>
      <c r="J260" s="4">
        <f ca="1"/>
        <v>1.2718600953895098E-2</v>
      </c>
      <c r="K260" s="4">
        <f ca="1"/>
        <v>1.3038656098682599E-2</v>
      </c>
      <c r="L260" s="4">
        <f ca="1"/>
        <v>-4.9390033091234464E-5</v>
      </c>
      <c r="M260" s="4">
        <f ca="1"/>
        <v>3.4185377981508225E-3</v>
      </c>
      <c r="N260" s="4">
        <f ca="1"/>
        <v>2.2179065610310467E-2</v>
      </c>
      <c r="O260" s="4">
        <f ca="1"/>
        <v>4.0118243243243423E-3</v>
      </c>
      <c r="P260" s="4">
        <f ca="1"/>
        <v>9.9836206224164226E-3</v>
      </c>
    </row>
    <row r="261" spans="1:16" x14ac:dyDescent="0.25">
      <c r="A261" vm="3856">
        <f ca="1"/>
        <v>45307</v>
      </c>
      <c r="B261" s="4">
        <f ca="1"/>
        <v>9.3413277719855969E-4</v>
      </c>
      <c r="C261" s="4">
        <f ca="1"/>
        <v>-4.0383978814962918E-3</v>
      </c>
      <c r="D261" s="4">
        <f ca="1"/>
        <v>-6.623613180990251E-3</v>
      </c>
      <c r="E261" s="4">
        <f ca="1"/>
        <v>-9.5344673231870791E-3</v>
      </c>
      <c r="F261" s="4">
        <f ca="1"/>
        <v>-5.3784860557769543E-3</v>
      </c>
      <c r="G261" s="4">
        <f ca="1"/>
        <v>-1.8577494692144647E-3</v>
      </c>
      <c r="H261" s="4">
        <f ca="1"/>
        <v>4.2473330699328571E-3</v>
      </c>
      <c r="I261" s="4">
        <f ca="1"/>
        <v>-3.4423407917383297E-3</v>
      </c>
      <c r="J261" s="4">
        <f ca="1"/>
        <v>-1.7660910518053297E-2</v>
      </c>
      <c r="K261" s="4">
        <f ca="1"/>
        <v>-1.877219685438869E-2</v>
      </c>
      <c r="L261" s="4">
        <f ca="1"/>
        <v>-5.3837795120024179E-3</v>
      </c>
      <c r="M261" s="4">
        <f ca="1"/>
        <v>-1.1304684475416216E-2</v>
      </c>
      <c r="N261" s="4">
        <f ca="1"/>
        <v>-1.1528995207046977E-2</v>
      </c>
      <c r="O261" s="4">
        <f ca="1"/>
        <v>-1.1216263582194408E-3</v>
      </c>
      <c r="P261" s="4">
        <f ca="1"/>
        <v>4.6335624372537687E-3</v>
      </c>
    </row>
    <row r="262" spans="1:16" x14ac:dyDescent="0.25">
      <c r="A262" vm="3871">
        <f ca="1"/>
        <v>45308</v>
      </c>
      <c r="B262" s="4">
        <f ca="1"/>
        <v>-1.0200759631036282E-2</v>
      </c>
      <c r="C262" s="4">
        <f ca="1"/>
        <v>2.8981653815474795E-2</v>
      </c>
      <c r="D262" s="4">
        <f ca="1"/>
        <v>0</v>
      </c>
      <c r="E262" s="4">
        <f ca="1"/>
        <v>-1.0801283499796699E-2</v>
      </c>
      <c r="F262" s="4">
        <f ca="1"/>
        <v>1.0014019627477833E-3</v>
      </c>
      <c r="G262" s="4">
        <f ca="1"/>
        <v>4.7859611805369795E-3</v>
      </c>
      <c r="H262" s="4">
        <f ca="1"/>
        <v>1.2589751155699824E-2</v>
      </c>
      <c r="I262" s="4">
        <f ca="1"/>
        <v>-1.0074841681059321E-2</v>
      </c>
      <c r="J262" s="4">
        <f ca="1"/>
        <v>9.5884938074310977E-3</v>
      </c>
      <c r="K262" s="4">
        <f ca="1"/>
        <v>2.4764600228597278E-3</v>
      </c>
      <c r="L262" s="4">
        <f ca="1"/>
        <v>-6.0088394497691544E-3</v>
      </c>
      <c r="M262" s="4">
        <f ca="1"/>
        <v>-1.0650794893883653E-2</v>
      </c>
      <c r="N262" s="4">
        <f ca="1"/>
        <v>-2.9923117246198894E-3</v>
      </c>
      <c r="O262" s="4">
        <f ca="1"/>
        <v>-7.1583970804969255E-3</v>
      </c>
      <c r="P262" s="4">
        <f ca="1"/>
        <v>-2.0498629154174219E-3</v>
      </c>
    </row>
    <row r="263" spans="1:16" x14ac:dyDescent="0.25">
      <c r="A263" vm="3883">
        <f ca="1"/>
        <v>45309</v>
      </c>
      <c r="B263" s="4">
        <f ca="1"/>
        <v>2.1159960530643618E-2</v>
      </c>
      <c r="C263" s="4">
        <f ca="1"/>
        <v>1.6472868217054515E-3</v>
      </c>
      <c r="D263" s="4">
        <f ca="1"/>
        <v>2.8338056342722684E-3</v>
      </c>
      <c r="E263" s="4">
        <f ca="1"/>
        <v>7.2642543859648967E-3</v>
      </c>
      <c r="F263" s="4">
        <f ca="1"/>
        <v>-1.200480192076836E-2</v>
      </c>
      <c r="G263" s="4">
        <f ca="1"/>
        <v>-2.0640381053188661E-2</v>
      </c>
      <c r="H263" s="4">
        <f ca="1"/>
        <v>9.791160757649342E-2</v>
      </c>
      <c r="I263" s="4">
        <f ca="1"/>
        <v>1.7446932247746627E-3</v>
      </c>
      <c r="J263" s="4">
        <f ca="1"/>
        <v>-4.3529877324890442E-3</v>
      </c>
      <c r="K263" s="4">
        <f ca="1"/>
        <v>2.1065776257567004E-2</v>
      </c>
      <c r="L263" s="4">
        <f ca="1"/>
        <v>8.7430055955235453E-3</v>
      </c>
      <c r="M263" s="4">
        <f ca="1"/>
        <v>3.9183091902161848E-3</v>
      </c>
      <c r="N263" s="4">
        <f ca="1"/>
        <v>6.7912458650074559E-3</v>
      </c>
      <c r="O263" s="4">
        <f ca="1"/>
        <v>1.4207959284654015E-2</v>
      </c>
      <c r="P263" s="4">
        <f ca="1"/>
        <v>1.1297404164633873E-2</v>
      </c>
    </row>
    <row r="264" spans="1:16" x14ac:dyDescent="0.25">
      <c r="A264" vm="3896">
        <f ca="1"/>
        <v>45310</v>
      </c>
      <c r="B264" s="4">
        <f ca="1"/>
        <v>1.0027914966716844E-2</v>
      </c>
      <c r="C264" s="4">
        <f ca="1"/>
        <v>-4.4177872367869853E-3</v>
      </c>
      <c r="D264" s="4">
        <f ca="1"/>
        <v>-5.485372340425454E-3</v>
      </c>
      <c r="E264" s="4">
        <f ca="1"/>
        <v>4.3543339229827893E-3</v>
      </c>
      <c r="F264" s="4">
        <f ca="1"/>
        <v>-3.8477116241393272E-3</v>
      </c>
      <c r="G264" s="4">
        <f ca="1"/>
        <v>1.8913807079168343E-3</v>
      </c>
      <c r="H264" s="4">
        <f ca="1"/>
        <v>1.0351234185614455E-2</v>
      </c>
      <c r="I264" s="4">
        <f ca="1"/>
        <v>2.9027576197386828E-3</v>
      </c>
      <c r="J264" s="4">
        <f ca="1"/>
        <v>8.346581875993575E-3</v>
      </c>
      <c r="K264" s="4">
        <f ca="1"/>
        <v>1.9461356445909628E-2</v>
      </c>
      <c r="L264" s="4">
        <f ca="1"/>
        <v>2.5754048833639409E-3</v>
      </c>
      <c r="M264" s="4">
        <f ca="1"/>
        <v>1.1827321111768097E-3</v>
      </c>
      <c r="N264" s="4">
        <f ca="1"/>
        <v>-3.9384642165503081E-3</v>
      </c>
      <c r="O264" s="4">
        <f ca="1"/>
        <v>2.0211876219682123E-2</v>
      </c>
      <c r="P264" s="4">
        <f ca="1"/>
        <v>1.2186762129636763E-2</v>
      </c>
    </row>
    <row r="265" spans="1:16" x14ac:dyDescent="0.25">
      <c r="A265" vm="3910">
        <f ca="1"/>
        <v>45313</v>
      </c>
      <c r="B265" s="4">
        <f ca="1"/>
        <v>6.6968556668154378E-3</v>
      </c>
      <c r="C265" s="4">
        <f ca="1"/>
        <v>1.3603679471401176E-3</v>
      </c>
      <c r="D265" s="4">
        <f ca="1"/>
        <v>-4.3456459969913874E-3</v>
      </c>
      <c r="E265" s="4">
        <f ca="1"/>
        <v>-6.1870568576977147E-3</v>
      </c>
      <c r="F265" s="4">
        <f ca="1"/>
        <v>1.9651690723048176E-3</v>
      </c>
      <c r="G265" s="4">
        <f ca="1"/>
        <v>-8.6299892125134559E-3</v>
      </c>
      <c r="H265" s="4">
        <f ca="1"/>
        <v>-1.0245183887915954E-2</v>
      </c>
      <c r="I265" s="4">
        <f ca="1"/>
        <v>5.7887120115776014E-3</v>
      </c>
      <c r="J265" s="4">
        <f ca="1"/>
        <v>3.0350808040993327E-2</v>
      </c>
      <c r="K265" s="4">
        <f ca="1"/>
        <v>-4.3551962446212178E-3</v>
      </c>
      <c r="L265" s="4">
        <f ca="1"/>
        <v>5.08817862964972E-3</v>
      </c>
      <c r="M265" s="4">
        <f ca="1"/>
        <v>-9.135656625319899E-3</v>
      </c>
      <c r="N265" s="4">
        <f ca="1"/>
        <v>2.1845508563438365E-3</v>
      </c>
      <c r="O265" s="4">
        <f ca="1"/>
        <v>-2.6642984014209059E-3</v>
      </c>
      <c r="P265" s="4">
        <f ca="1"/>
        <v>-5.4180148995410793E-3</v>
      </c>
    </row>
    <row r="266" spans="1:16" x14ac:dyDescent="0.25">
      <c r="A266" vm="3925">
        <f ca="1"/>
        <v>45314</v>
      </c>
      <c r="B266" s="4">
        <f ca="1"/>
        <v>-9.334347018077338E-3</v>
      </c>
      <c r="C266" s="4">
        <f ca="1"/>
        <v>-1.6949152542372947E-2</v>
      </c>
      <c r="D266" s="4">
        <f ca="1"/>
        <v>4.7003525264395218E-3</v>
      </c>
      <c r="E266" s="4">
        <f ca="1"/>
        <v>-1.4905025902026692E-2</v>
      </c>
      <c r="F266" s="4">
        <f ca="1"/>
        <v>4.139050453131321E-2</v>
      </c>
      <c r="G266" s="4">
        <f ca="1"/>
        <v>1.0609357997823698E-2</v>
      </c>
      <c r="H266" s="4">
        <f ca="1"/>
        <v>9.7319295762186009E-3</v>
      </c>
      <c r="I266" s="4">
        <f ca="1"/>
        <v>4.0287769784173033E-3</v>
      </c>
      <c r="J266" s="4">
        <f ca="1"/>
        <v>-1.7214996174445218E-2</v>
      </c>
      <c r="K266" s="4">
        <f ca="1"/>
        <v>8.9580386610090823E-3</v>
      </c>
      <c r="L266" s="4">
        <f ca="1"/>
        <v>-3.8828270913201623E-2</v>
      </c>
      <c r="M266" s="4">
        <f ca="1"/>
        <v>5.4047609585503587E-3</v>
      </c>
      <c r="N266" s="4">
        <f ca="1"/>
        <v>-4.1612171941756038E-2</v>
      </c>
      <c r="O266" s="4">
        <f ca="1"/>
        <v>7.1922734433864655E-3</v>
      </c>
      <c r="P266" s="4">
        <f ca="1"/>
        <v>6.0275907291114095E-3</v>
      </c>
    </row>
    <row r="267" spans="1:16" x14ac:dyDescent="0.25">
      <c r="A267" vm="3939">
        <f ca="1"/>
        <v>45315</v>
      </c>
      <c r="B267" s="4">
        <f ca="1"/>
        <v>-8.9959496908975645E-3</v>
      </c>
      <c r="C267" s="4">
        <f ca="1"/>
        <v>-5.6922874440642479E-3</v>
      </c>
      <c r="D267" s="4">
        <f ca="1"/>
        <v>-1.5705931495405223E-2</v>
      </c>
      <c r="E267" s="4">
        <f ca="1"/>
        <v>-8.9030353353630742E-3</v>
      </c>
      <c r="F267" s="4">
        <f ca="1"/>
        <v>-1.2079490842966556E-2</v>
      </c>
      <c r="G267" s="4">
        <f ca="1"/>
        <v>-8.8829071332435783E-3</v>
      </c>
      <c r="H267" s="4">
        <f ca="1"/>
        <v>2.0941032156313044E-2</v>
      </c>
      <c r="I267" s="4">
        <f ca="1"/>
        <v>-1.4330753797649809E-2</v>
      </c>
      <c r="J267" s="4">
        <f ca="1"/>
        <v>2.3355391202801723E-3</v>
      </c>
      <c r="K267" s="4">
        <f ca="1"/>
        <v>1.4278296988577299E-2</v>
      </c>
      <c r="L267" s="4">
        <f ca="1"/>
        <v>-1.1658825935774164E-2</v>
      </c>
      <c r="M267" s="4">
        <f ca="1"/>
        <v>-2.2056207755247303E-2</v>
      </c>
      <c r="N267" s="4">
        <f ca="1"/>
        <v>-1.8240953442354546E-2</v>
      </c>
      <c r="O267" s="4">
        <f ca="1"/>
        <v>1.1289445048966229E-2</v>
      </c>
      <c r="P267" s="4">
        <f ca="1"/>
        <v>9.1752318876912042E-3</v>
      </c>
    </row>
    <row r="268" spans="1:16" x14ac:dyDescent="0.25">
      <c r="A268" vm="3951">
        <f ca="1"/>
        <v>45316</v>
      </c>
      <c r="B268" s="4">
        <f ca="1"/>
        <v>1.4885561865427777E-2</v>
      </c>
      <c r="C268" s="4">
        <f ca="1"/>
        <v>2.6539594294979985E-2</v>
      </c>
      <c r="D268" s="4">
        <f ca="1"/>
        <v>4.2437616703445702E-3</v>
      </c>
      <c r="E268" s="4">
        <f ca="1"/>
        <v>8.51757039795209E-3</v>
      </c>
      <c r="F268" s="4">
        <f ca="1"/>
        <v>2.3008151459374071E-2</v>
      </c>
      <c r="G268" s="4">
        <f ca="1"/>
        <v>1.195002715915261E-2</v>
      </c>
      <c r="H268" s="4">
        <f ca="1"/>
        <v>3.4328870580169202E-4</v>
      </c>
      <c r="I268" s="4">
        <f ca="1"/>
        <v>1.7737714451875553E-2</v>
      </c>
      <c r="J268" s="4">
        <f ca="1"/>
        <v>2.3300970873786353E-2</v>
      </c>
      <c r="K268" s="4">
        <f ca="1"/>
        <v>6.3475812643973839E-3</v>
      </c>
      <c r="L268" s="4">
        <f ca="1"/>
        <v>2.436879139072845E-2</v>
      </c>
      <c r="M268" s="4">
        <f ca="1"/>
        <v>1.131724667555889E-2</v>
      </c>
      <c r="N268" s="4">
        <f ca="1"/>
        <v>-1.4131819761379338E-3</v>
      </c>
      <c r="O268" s="4">
        <f ca="1"/>
        <v>2.1318090114324173E-2</v>
      </c>
      <c r="P268" s="4">
        <f ca="1"/>
        <v>5.7382750397456661E-3</v>
      </c>
    </row>
    <row r="269" spans="1:16" x14ac:dyDescent="0.25">
      <c r="A269" vm="3965">
        <f ca="1"/>
        <v>45317</v>
      </c>
      <c r="B269" s="4">
        <f ca="1"/>
        <v>-4.451038575667976E-4</v>
      </c>
      <c r="C269" s="4">
        <f ca="1"/>
        <v>-3.7394023403499732E-3</v>
      </c>
      <c r="D269" s="4">
        <f ca="1"/>
        <v>3.5496957403651219E-3</v>
      </c>
      <c r="E269" s="4">
        <f ca="1"/>
        <v>-2.7229093594240972E-3</v>
      </c>
      <c r="F269" s="4">
        <f ca="1"/>
        <v>3.3414728184035791E-3</v>
      </c>
      <c r="G269" s="4">
        <f ca="1"/>
        <v>-1.3419216317765992E-3</v>
      </c>
      <c r="H269" s="4">
        <f ca="1"/>
        <v>6.0054907343858321E-3</v>
      </c>
      <c r="I269" s="4">
        <f ca="1"/>
        <v>1.1142857142857121E-2</v>
      </c>
      <c r="J269" s="4">
        <f ca="1"/>
        <v>-3.2258064516129115E-2</v>
      </c>
      <c r="K269" s="4">
        <f ca="1"/>
        <v>2.4416297878833149E-3</v>
      </c>
      <c r="L269" s="4">
        <f ca="1"/>
        <v>-8.5357846355876843E-3</v>
      </c>
      <c r="M269" s="4">
        <f ca="1"/>
        <v>-2.8376164022221317E-3</v>
      </c>
      <c r="N269" s="4">
        <f ca="1"/>
        <v>-2.6215664439495079E-3</v>
      </c>
      <c r="O269" s="4">
        <f ca="1"/>
        <v>2.0741423585961538E-3</v>
      </c>
      <c r="P269" s="4">
        <f ca="1"/>
        <v>-2.3217329019191713E-3</v>
      </c>
    </row>
    <row r="270" spans="1:16" x14ac:dyDescent="0.25">
      <c r="A270" vm="3981">
        <f ca="1"/>
        <v>45320</v>
      </c>
      <c r="B270" s="4">
        <f ca="1"/>
        <v>1.0411586335588252E-2</v>
      </c>
      <c r="C270" s="4">
        <f ca="1"/>
        <v>1.6016825756349995E-2</v>
      </c>
      <c r="D270" s="4">
        <f ca="1"/>
        <v>6.0636685194541684E-3</v>
      </c>
      <c r="E270" s="4">
        <f ca="1"/>
        <v>2.7766208524224734E-3</v>
      </c>
      <c r="F270" s="4">
        <f ca="1"/>
        <v>1.2809017548365276E-4</v>
      </c>
      <c r="G270" s="4">
        <f ca="1"/>
        <v>2.6874496103197476E-3</v>
      </c>
      <c r="H270" s="4">
        <f ca="1"/>
        <v>-2.387856046392689E-3</v>
      </c>
      <c r="I270" s="4">
        <f ca="1"/>
        <v>5.6513139304890103E-3</v>
      </c>
      <c r="J270" s="4">
        <f ca="1"/>
        <v>1.1764705882352899E-2</v>
      </c>
      <c r="K270" s="4">
        <f ca="1"/>
        <v>1.7455726391637505E-2</v>
      </c>
      <c r="L270" s="4">
        <f ca="1"/>
        <v>3.871625063678108E-3</v>
      </c>
      <c r="M270" s="4">
        <f ca="1"/>
        <v>5.2104208416834386E-3</v>
      </c>
      <c r="N270" s="4">
        <f ca="1"/>
        <v>-4.4195296690006103E-3</v>
      </c>
      <c r="O270" s="4">
        <f ca="1"/>
        <v>8.7065085258073438E-3</v>
      </c>
      <c r="P270" s="4">
        <f ca="1"/>
        <v>1.4334166811081239E-2</v>
      </c>
    </row>
    <row r="271" spans="1:16" x14ac:dyDescent="0.25">
      <c r="A271" vm="3995">
        <f ca="1"/>
        <v>45321</v>
      </c>
      <c r="B271" s="4">
        <f ca="1"/>
        <v>2.854144805876313E-3</v>
      </c>
      <c r="C271" s="4">
        <f ca="1"/>
        <v>2.0318471337579691E-2</v>
      </c>
      <c r="D271" s="4">
        <f ca="1"/>
        <v>2.8461409676878713E-3</v>
      </c>
      <c r="E271" s="4">
        <f ca="1"/>
        <v>6.8300336886797375E-3</v>
      </c>
      <c r="F271" s="4">
        <f ca="1"/>
        <v>8.5169057377050272E-3</v>
      </c>
      <c r="G271" s="4">
        <f ca="1"/>
        <v>1.0720986330741145E-3</v>
      </c>
      <c r="H271" s="4">
        <f ca="1"/>
        <v>-7.8645922379894095E-3</v>
      </c>
      <c r="I271" s="4">
        <f ca="1"/>
        <v>7.3054228715931924E-3</v>
      </c>
      <c r="J271" s="4">
        <f ca="1"/>
        <v>-7.3643410852713975E-3</v>
      </c>
      <c r="K271" s="4">
        <f ca="1"/>
        <v>-2.3938955663058703E-3</v>
      </c>
      <c r="L271" s="4">
        <f ca="1"/>
        <v>9.6417334821885525E-4</v>
      </c>
      <c r="M271" s="4">
        <f ca="1"/>
        <v>-9.4497607655502636E-3</v>
      </c>
      <c r="N271" s="4">
        <f ca="1"/>
        <v>8.5745660148128788E-3</v>
      </c>
      <c r="O271" s="4">
        <f ca="1"/>
        <v>-1.335417888085455E-2</v>
      </c>
      <c r="P271" s="4">
        <f ca="1"/>
        <v>-2.7579810602363919E-3</v>
      </c>
    </row>
    <row r="272" spans="1:16" x14ac:dyDescent="0.25">
      <c r="A272" vm="4010">
        <f ca="1"/>
        <v>45322</v>
      </c>
      <c r="B272" s="4">
        <f ca="1"/>
        <v>-2.7957979324488402E-2</v>
      </c>
      <c r="C272" s="4">
        <f ca="1"/>
        <v>-1.9102315999750319E-2</v>
      </c>
      <c r="D272" s="4">
        <f ca="1"/>
        <v>-6.8447412353922488E-3</v>
      </c>
      <c r="E272" s="4">
        <f ca="1"/>
        <v>3.5751936563230835E-3</v>
      </c>
      <c r="F272" s="4">
        <f ca="1"/>
        <v>-2.2223633246556407E-3</v>
      </c>
      <c r="G272" s="4">
        <f ca="1"/>
        <v>-5.8902275769745494E-3</v>
      </c>
      <c r="H272" s="4">
        <f ca="1"/>
        <v>-2.6710322247113671E-2</v>
      </c>
      <c r="I272" s="4">
        <f ca="1"/>
        <v>-4.1841004184099972E-3</v>
      </c>
      <c r="J272" s="4">
        <f ca="1"/>
        <v>-3.3971105037094884E-2</v>
      </c>
      <c r="K272" s="4">
        <f ca="1"/>
        <v>-2.4796280557916384E-2</v>
      </c>
      <c r="L272" s="4">
        <f ca="1"/>
        <v>-1.6223067173637418E-2</v>
      </c>
      <c r="M272" s="4">
        <f ca="1"/>
        <v>-1.3484683814354081E-2</v>
      </c>
      <c r="N272" s="4">
        <f ca="1"/>
        <v>-5.2585248332097656E-3</v>
      </c>
      <c r="O272" s="4">
        <f ca="1"/>
        <v>-7.5003301201637451E-2</v>
      </c>
      <c r="P272" s="4">
        <f ca="1"/>
        <v>-2.6946327614479015E-2</v>
      </c>
    </row>
    <row r="273" spans="1:16" x14ac:dyDescent="0.25">
      <c r="A273" vm="4026">
        <f ca="1"/>
        <v>45323</v>
      </c>
      <c r="B273" s="4">
        <f ca="1"/>
        <v>7.6813778256189513E-2</v>
      </c>
      <c r="C273" s="4">
        <f ca="1"/>
        <v>1.5210335391077523E-2</v>
      </c>
      <c r="D273" s="4">
        <f ca="1"/>
        <v>2.5046226256513648E-2</v>
      </c>
      <c r="E273" s="4">
        <f ca="1"/>
        <v>2.1283398036081369E-2</v>
      </c>
      <c r="F273" s="4">
        <f ca="1"/>
        <v>1.2982054219167649E-2</v>
      </c>
      <c r="G273" s="4">
        <f ca="1"/>
        <v>1.6967411796390941E-2</v>
      </c>
      <c r="H273" s="4">
        <f ca="1"/>
        <v>3.8066572237960283E-3</v>
      </c>
      <c r="I273" s="4">
        <f ca="1"/>
        <v>1.6246498599439718E-2</v>
      </c>
      <c r="J273" s="4">
        <f ca="1"/>
        <v>2.9911075181891844E-2</v>
      </c>
      <c r="K273" s="4">
        <f ca="1"/>
        <v>1.1893166555595469E-2</v>
      </c>
      <c r="L273" s="4">
        <f ca="1"/>
        <v>3.2002061324400755E-2</v>
      </c>
      <c r="M273" s="4">
        <f ca="1"/>
        <v>3.1010282356781493E-2</v>
      </c>
      <c r="N273" s="4">
        <f ca="1"/>
        <v>8.3835960969702583E-4</v>
      </c>
      <c r="O273" s="4">
        <f ca="1"/>
        <v>7.5660242683797119E-3</v>
      </c>
      <c r="P273" s="4">
        <f ca="1"/>
        <v>1.5594345792041775E-2</v>
      </c>
    </row>
    <row r="274" spans="1:16" x14ac:dyDescent="0.25">
      <c r="A274" vm="4041">
        <f ca="1"/>
        <v>45324</v>
      </c>
      <c r="B274" s="4">
        <f ca="1"/>
        <v>2.0352673037706381E-2</v>
      </c>
      <c r="C274" s="4">
        <f ca="1"/>
        <v>6.1120862587762392E-3</v>
      </c>
      <c r="D274" s="4">
        <f ca="1"/>
        <v>-7.2154804854049903E-3</v>
      </c>
      <c r="E274" s="4">
        <f ca="1"/>
        <v>-6.3503421135012728E-3</v>
      </c>
      <c r="F274" s="4">
        <f ca="1"/>
        <v>-6.8475939188340496E-3</v>
      </c>
      <c r="G274" s="4">
        <f ca="1"/>
        <v>-2.9131355932203729E-3</v>
      </c>
      <c r="H274" s="4">
        <f ca="1"/>
        <v>2.0813122850339427E-2</v>
      </c>
      <c r="I274" s="4">
        <f ca="1"/>
        <v>6.8908489525909555E-3</v>
      </c>
      <c r="J274" s="4">
        <f ca="1"/>
        <v>-1.7268445839874413E-2</v>
      </c>
      <c r="K274" s="4">
        <f ca="1"/>
        <v>0.20317645270783746</v>
      </c>
      <c r="L274" s="4">
        <f ca="1"/>
        <v>2.1172475781484179E-2</v>
      </c>
      <c r="M274" s="4">
        <f ca="1"/>
        <v>-8.271331328162157E-3</v>
      </c>
      <c r="N274" s="4">
        <f ca="1"/>
        <v>-8.8419387114037074E-3</v>
      </c>
      <c r="O274" s="4">
        <f ca="1"/>
        <v>8.6426749787475998E-3</v>
      </c>
      <c r="P274" s="4">
        <f ca="1"/>
        <v>1.8425875476744791E-2</v>
      </c>
    </row>
    <row r="275" spans="1:16" x14ac:dyDescent="0.25">
      <c r="A275" vm="4054">
        <f ca="1"/>
        <v>45327</v>
      </c>
      <c r="B275" s="4">
        <f ca="1"/>
        <v>-2.919507798416876E-3</v>
      </c>
      <c r="C275" s="4">
        <f ca="1"/>
        <v>-2.0094083927848172E-2</v>
      </c>
      <c r="D275" s="4">
        <f ca="1"/>
        <v>-8.2590023125206358E-3</v>
      </c>
      <c r="E275" s="4">
        <f ca="1"/>
        <v>-1.0306494441693959E-2</v>
      </c>
      <c r="F275" s="4">
        <f ca="1"/>
        <v>7.590612941994479E-4</v>
      </c>
      <c r="G275" s="4">
        <f ca="1"/>
        <v>-1.1420982735723784E-2</v>
      </c>
      <c r="H275" s="4">
        <f ca="1"/>
        <v>2.6263498920086503E-2</v>
      </c>
      <c r="I275" s="4">
        <f ca="1"/>
        <v>5.4749520941690388E-3</v>
      </c>
      <c r="J275" s="4">
        <f ca="1"/>
        <v>-4.0335463258785897E-2</v>
      </c>
      <c r="K275" s="4">
        <f ca="1"/>
        <v>-3.2800690540853439E-2</v>
      </c>
      <c r="L275" s="4">
        <f ca="1"/>
        <v>-1.1295843520782389E-2</v>
      </c>
      <c r="M275" s="4">
        <f ca="1"/>
        <v>-1.4086755257592065E-2</v>
      </c>
      <c r="N275" s="4">
        <f ca="1"/>
        <v>-1.0024180106580349E-2</v>
      </c>
      <c r="O275" s="4">
        <f ca="1"/>
        <v>9.1304958561595484E-3</v>
      </c>
      <c r="P275" s="4">
        <f ca="1"/>
        <v>-1.3545061037887329E-2</v>
      </c>
    </row>
    <row r="276" spans="1:16" x14ac:dyDescent="0.25">
      <c r="A276" vm="4068">
        <f ca="1"/>
        <v>45328</v>
      </c>
      <c r="B276" s="4">
        <f ca="1"/>
        <v>5.2665710299291124E-3</v>
      </c>
      <c r="C276" s="4">
        <f ca="1"/>
        <v>9.7602848604310122E-3</v>
      </c>
      <c r="D276" s="4">
        <f ca="1"/>
        <v>-1.6655562958027836E-3</v>
      </c>
      <c r="E276" s="4">
        <f ca="1"/>
        <v>2.7376080036380035E-2</v>
      </c>
      <c r="F276" s="4">
        <f ca="1"/>
        <v>4.7405347323177249E-3</v>
      </c>
      <c r="G276" s="4">
        <f ca="1"/>
        <v>-2.6867275658237766E-4</v>
      </c>
      <c r="H276" s="4">
        <f ca="1"/>
        <v>4.9667480427644239E-3</v>
      </c>
      <c r="I276" s="4">
        <f ca="1"/>
        <v>7.8954533079227396E-3</v>
      </c>
      <c r="J276" s="4">
        <f ca="1"/>
        <v>-8.3229296712439282E-4</v>
      </c>
      <c r="K276" s="4">
        <f ca="1"/>
        <v>-1.0208746000304747E-2</v>
      </c>
      <c r="L276" s="4">
        <f ca="1"/>
        <v>1.9387704634254987E-2</v>
      </c>
      <c r="M276" s="4">
        <f ca="1"/>
        <v>6.4356836396017858E-3</v>
      </c>
      <c r="N276" s="4">
        <f ca="1"/>
        <v>1.244960872658285E-2</v>
      </c>
      <c r="O276" s="4">
        <f ca="1"/>
        <v>2.923162583518879E-3</v>
      </c>
      <c r="P276" s="4">
        <f ca="1"/>
        <v>-3.9442869468742092E-4</v>
      </c>
    </row>
    <row r="277" spans="1:16" x14ac:dyDescent="0.25">
      <c r="A277" vm="4081">
        <f ca="1"/>
        <v>45329</v>
      </c>
      <c r="B277" s="4">
        <f ca="1"/>
        <v>5.219431140651043E-3</v>
      </c>
      <c r="C277" s="4">
        <f ca="1"/>
        <v>7.6508926041371605E-2</v>
      </c>
      <c r="D277" s="4">
        <f ca="1"/>
        <v>8.3416750083431523E-4</v>
      </c>
      <c r="E277" s="4">
        <f ca="1"/>
        <v>-2.2131728045315935E-4</v>
      </c>
      <c r="F277" s="4">
        <f ca="1"/>
        <v>1.0065425264216277E-3</v>
      </c>
      <c r="G277" s="4">
        <f ca="1"/>
        <v>-2.1768341843590444E-2</v>
      </c>
      <c r="H277" s="4">
        <f ca="1"/>
        <v>4.6909029988272843E-2</v>
      </c>
      <c r="I277" s="4">
        <f ca="1"/>
        <v>-8.1037277147488762E-4</v>
      </c>
      <c r="J277" s="4">
        <f ca="1"/>
        <v>-5.8309037900874383E-3</v>
      </c>
      <c r="K277" s="4">
        <f ca="1"/>
        <v>3.2701442646023704E-2</v>
      </c>
      <c r="L277" s="4">
        <f ca="1"/>
        <v>1.3536461112997777E-2</v>
      </c>
      <c r="M277" s="4">
        <f ca="1"/>
        <v>-1.7011864065956228E-2</v>
      </c>
      <c r="N277" s="4">
        <f ca="1"/>
        <v>7.3779131045790258E-3</v>
      </c>
      <c r="O277" s="4">
        <f ca="1"/>
        <v>9.9930603747397928E-3</v>
      </c>
      <c r="P277" s="4">
        <f ca="1"/>
        <v>2.1110261658733975E-2</v>
      </c>
    </row>
    <row r="278" spans="1:16" x14ac:dyDescent="0.25">
      <c r="A278" vm="4094">
        <f ca="1"/>
        <v>45330</v>
      </c>
      <c r="B278" s="4">
        <f ca="1"/>
        <v>2.5086538835517036E-3</v>
      </c>
      <c r="C278" s="4">
        <f ca="1"/>
        <v>2.4275394109560811E-3</v>
      </c>
      <c r="D278" s="4">
        <f ca="1"/>
        <v>-2.6671111851975793E-3</v>
      </c>
      <c r="E278" s="4">
        <f ca="1"/>
        <v>-2.4837295789613578E-2</v>
      </c>
      <c r="F278" s="4">
        <f ca="1"/>
        <v>-3.0165912518854698E-3</v>
      </c>
      <c r="G278" s="4">
        <f ca="1"/>
        <v>1.9230769230769162E-3</v>
      </c>
      <c r="H278" s="4">
        <f ca="1"/>
        <v>7.0011201792286704E-2</v>
      </c>
      <c r="I278" s="4">
        <f ca="1"/>
        <v>2.1627466882940816E-3</v>
      </c>
      <c r="J278" s="4">
        <f ca="1"/>
        <v>2.2203602848763992E-2</v>
      </c>
      <c r="K278" s="4">
        <f ca="1"/>
        <v>8.7310206776125554E-4</v>
      </c>
      <c r="L278" s="4">
        <f ca="1"/>
        <v>-5.4092867400670208E-3</v>
      </c>
      <c r="M278" s="4">
        <f ca="1"/>
        <v>-5.6051059651418544E-3</v>
      </c>
      <c r="N278" s="4">
        <f ca="1"/>
        <v>-7.2076261334573788E-3</v>
      </c>
      <c r="O278" s="4">
        <f ca="1"/>
        <v>2.5422564243506862E-3</v>
      </c>
      <c r="P278" s="4">
        <f ca="1"/>
        <v>1.449100350199295E-4</v>
      </c>
    </row>
    <row r="279" spans="1:16" x14ac:dyDescent="0.25">
      <c r="A279" vm="4109">
        <f ca="1"/>
        <v>45331</v>
      </c>
      <c r="B279" s="4">
        <f ca="1"/>
        <v>1.1386782021687303E-2</v>
      </c>
      <c r="C279" s="4">
        <f ca="1"/>
        <v>9.8325261130887132E-3</v>
      </c>
      <c r="D279" s="4">
        <f ca="1"/>
        <v>-4.5127862276449493E-3</v>
      </c>
      <c r="E279" s="4">
        <f ca="1"/>
        <v>1.8205756832833986E-2</v>
      </c>
      <c r="F279" s="4">
        <f ca="1"/>
        <v>-7.6903681290972914E-3</v>
      </c>
      <c r="G279" s="4">
        <f ca="1"/>
        <v>-1.3709898546750754E-2</v>
      </c>
      <c r="H279" s="4">
        <f ca="1"/>
        <v>-4.6362072833319168E-3</v>
      </c>
      <c r="I279" s="4">
        <f ca="1"/>
        <v>-4.8556784461828428E-3</v>
      </c>
      <c r="J279" s="4">
        <f ca="1"/>
        <v>-9.0163934426229497E-3</v>
      </c>
      <c r="K279" s="4">
        <f ca="1"/>
        <v>-4.0212765957446939E-3</v>
      </c>
      <c r="L279" s="4">
        <f ca="1"/>
        <v>1.126245367473655E-2</v>
      </c>
      <c r="M279" s="4">
        <f ca="1"/>
        <v>-2.0571898786257981E-3</v>
      </c>
      <c r="N279" s="4">
        <f ca="1"/>
        <v>-1.1709601873536313E-3</v>
      </c>
      <c r="O279" s="4">
        <f ca="1"/>
        <v>2.1177438146802841E-2</v>
      </c>
      <c r="P279" s="4">
        <f ca="1"/>
        <v>1.5551423534809539E-2</v>
      </c>
    </row>
    <row r="280" spans="1:16" x14ac:dyDescent="0.25">
      <c r="A280" vm="4125">
        <f ca="1"/>
        <v>45334</v>
      </c>
      <c r="B280" s="4">
        <f ca="1"/>
        <v>-6.0991982814836421E-3</v>
      </c>
      <c r="C280" s="4">
        <f ca="1"/>
        <v>1.2712721389153581E-2</v>
      </c>
      <c r="D280" s="4">
        <f ca="1"/>
        <v>2.350570852921452E-3</v>
      </c>
      <c r="E280" s="4">
        <f ca="1"/>
        <v>2.9874704597137036E-3</v>
      </c>
      <c r="F280" s="4">
        <f ca="1"/>
        <v>-1.969254224367778E-3</v>
      </c>
      <c r="G280" s="4">
        <f ca="1"/>
        <v>1.0842368640533895E-2</v>
      </c>
      <c r="H280" s="4">
        <f ca="1"/>
        <v>-1.9908346480354666E-2</v>
      </c>
      <c r="I280" s="4">
        <f ca="1"/>
        <v>-5.421523448089216E-4</v>
      </c>
      <c r="J280" s="4">
        <f ca="1"/>
        <v>1.6956162117452545E-2</v>
      </c>
      <c r="K280" s="4">
        <f ca="1"/>
        <v>1.6876375210954642E-3</v>
      </c>
      <c r="L280" s="4">
        <f ca="1"/>
        <v>7.0915234876969269E-3</v>
      </c>
      <c r="M280" s="4">
        <f ca="1"/>
        <v>1.8676561533704339E-2</v>
      </c>
      <c r="N280" s="4">
        <f ca="1"/>
        <v>3.6811254396247328E-3</v>
      </c>
      <c r="O280" s="4">
        <f ca="1"/>
        <v>-9.8657718120804816E-3</v>
      </c>
      <c r="P280" s="4">
        <f ca="1"/>
        <v>-1.2578765901795297E-2</v>
      </c>
    </row>
    <row r="281" spans="1:16" x14ac:dyDescent="0.25">
      <c r="A281" vm="4138">
        <f ca="1"/>
        <v>45335</v>
      </c>
      <c r="B281" s="4">
        <f ca="1"/>
        <v>-1.2678502508683964E-2</v>
      </c>
      <c r="C281" s="4">
        <f ca="1"/>
        <v>-1.9343242703489083E-2</v>
      </c>
      <c r="D281" s="4">
        <f ca="1"/>
        <v>-5.862646566164198E-3</v>
      </c>
      <c r="E281" s="4">
        <f ca="1"/>
        <v>-1.8671645772205814E-3</v>
      </c>
      <c r="F281" s="4">
        <f ca="1"/>
        <v>-5.3465724651517998E-3</v>
      </c>
      <c r="G281" s="4">
        <f ca="1"/>
        <v>-6.3256325632562449E-3</v>
      </c>
      <c r="H281" s="4">
        <f ca="1"/>
        <v>-2.2305687567070409E-2</v>
      </c>
      <c r="I281" s="4">
        <f ca="1"/>
        <v>-7.0518036343910628E-3</v>
      </c>
      <c r="J281" s="4">
        <f ca="1"/>
        <v>-5.0020333468889788E-2</v>
      </c>
      <c r="K281" s="4">
        <f ca="1"/>
        <v>-1.8724674770740024E-2</v>
      </c>
      <c r="L281" s="4">
        <f ca="1"/>
        <v>-2.2495274102079299E-2</v>
      </c>
      <c r="M281" s="4">
        <f ca="1"/>
        <v>-1.0118180346446515E-2</v>
      </c>
      <c r="N281" s="4">
        <f ca="1"/>
        <v>-3.6209031233209732E-3</v>
      </c>
      <c r="O281" s="4">
        <f ca="1"/>
        <v>-1.6200094895953421E-2</v>
      </c>
      <c r="P281" s="4">
        <f ca="1"/>
        <v>-2.1528680826470192E-2</v>
      </c>
    </row>
    <row r="282" spans="1:16" x14ac:dyDescent="0.25">
      <c r="A282" vm="4152">
        <f ca="1"/>
        <v>45336</v>
      </c>
      <c r="B282" s="4">
        <f ca="1"/>
        <v>2.0092645075542759E-2</v>
      </c>
      <c r="C282" s="4">
        <f ca="1"/>
        <v>1.0735170046257236E-2</v>
      </c>
      <c r="D282" s="4">
        <f ca="1"/>
        <v>-1.0109519797809607E-3</v>
      </c>
      <c r="E282" s="4">
        <f ca="1"/>
        <v>1.3762693746659505E-2</v>
      </c>
      <c r="F282" s="4">
        <f ca="1"/>
        <v>-4.0954757791004104E-3</v>
      </c>
      <c r="G282" s="4">
        <f ca="1"/>
        <v>-5.4525325214503373E-2</v>
      </c>
      <c r="H282" s="4">
        <f ca="1"/>
        <v>1.3484907879263153E-2</v>
      </c>
      <c r="I282" s="4">
        <f ca="1"/>
        <v>1.065282709642168E-2</v>
      </c>
      <c r="J282" s="4">
        <f ca="1"/>
        <v>4.9229452054794676E-2</v>
      </c>
      <c r="K282" s="4">
        <f ca="1"/>
        <v>2.8601234460575498E-2</v>
      </c>
      <c r="L282" s="4">
        <f ca="1"/>
        <v>2.8040997872751827E-2</v>
      </c>
      <c r="M282" s="4">
        <f ca="1"/>
        <v>-4.0068689181455008E-3</v>
      </c>
      <c r="N282" s="4">
        <f ca="1"/>
        <v>-1.9530150989402584E-2</v>
      </c>
      <c r="O282" s="4">
        <f ca="1"/>
        <v>5.511919525974962E-3</v>
      </c>
      <c r="P282" s="4">
        <f ca="1"/>
        <v>7.8017326245323204E-3</v>
      </c>
    </row>
    <row r="283" spans="1:16" x14ac:dyDescent="0.25">
      <c r="A283" vm="4163">
        <f ca="1"/>
        <v>45337</v>
      </c>
      <c r="B283" s="4">
        <f ca="1"/>
        <v>-7.6641566553514728E-5</v>
      </c>
      <c r="C283" s="4">
        <f ca="1"/>
        <v>-6.1596914397560321E-3</v>
      </c>
      <c r="D283" s="4">
        <f ca="1"/>
        <v>1.8552875695732052E-3</v>
      </c>
      <c r="E283" s="4">
        <f ca="1"/>
        <v>2.3900531611089182E-2</v>
      </c>
      <c r="F283" s="4">
        <f ca="1"/>
        <v>8.8671849900403554E-3</v>
      </c>
      <c r="G283" s="4">
        <f ca="1"/>
        <v>2.3711943793911061E-2</v>
      </c>
      <c r="H283" s="4">
        <f ca="1"/>
        <v>-1.8565792527269753E-3</v>
      </c>
      <c r="I283" s="4">
        <f ca="1"/>
        <v>0</v>
      </c>
      <c r="J283" s="4">
        <f ca="1"/>
        <v>4.2431660546715655E-2</v>
      </c>
      <c r="K283" s="4">
        <f ca="1"/>
        <v>2.2713826910074397E-2</v>
      </c>
      <c r="L283" s="4">
        <f ca="1"/>
        <v>6.6779533483822817E-3</v>
      </c>
      <c r="M283" s="4">
        <f ca="1"/>
        <v>5.3366174055828886E-3</v>
      </c>
      <c r="N283" s="4">
        <f ca="1"/>
        <v>1.1788899782395612E-2</v>
      </c>
      <c r="O283" s="4">
        <f ca="1"/>
        <v>-2.1721255310401477E-2</v>
      </c>
      <c r="P283" s="4">
        <f ca="1"/>
        <v>-7.1552418862487199E-3</v>
      </c>
    </row>
    <row r="284" spans="1:16" x14ac:dyDescent="0.25">
      <c r="A284" vm="4178">
        <f ca="1"/>
        <v>45338</v>
      </c>
      <c r="B284" s="4">
        <f ca="1"/>
        <v>-3.4682967022440225E-3</v>
      </c>
      <c r="C284" s="4">
        <f ca="1"/>
        <v>-9.7312326227987356E-3</v>
      </c>
      <c r="D284" s="4">
        <f ca="1"/>
        <v>-1.6835016835015093E-4</v>
      </c>
      <c r="E284" s="4">
        <f ca="1"/>
        <v>-7.8094829435744195E-3</v>
      </c>
      <c r="F284" s="4">
        <f ca="1"/>
        <v>3.1845105407299901E-3</v>
      </c>
      <c r="G284" s="4">
        <f ca="1"/>
        <v>-4.5753503002572415E-3</v>
      </c>
      <c r="H284" s="4">
        <f ca="1"/>
        <v>-1.813531736805396E-2</v>
      </c>
      <c r="I284" s="4">
        <f ca="1"/>
        <v>-7.5675675675676013E-3</v>
      </c>
      <c r="J284" s="4">
        <f ca="1"/>
        <v>-1.6438356164383605E-2</v>
      </c>
      <c r="K284" s="4">
        <f ca="1"/>
        <v>-2.212672768216839E-2</v>
      </c>
      <c r="L284" s="4">
        <f ca="1"/>
        <v>-1.2239559002148903E-2</v>
      </c>
      <c r="M284" s="4">
        <f ca="1"/>
        <v>-4.3282972641894846E-3</v>
      </c>
      <c r="N284" s="4">
        <f ca="1"/>
        <v>2.2452259406313679E-3</v>
      </c>
      <c r="O284" s="4">
        <f ca="1"/>
        <v>-1.5759613364152103E-2</v>
      </c>
      <c r="P284" s="4">
        <f ca="1"/>
        <v>-6.1491538764265607E-3</v>
      </c>
    </row>
    <row r="285" spans="1:16" x14ac:dyDescent="0.25">
      <c r="A285" vm="4194">
        <f ca="1"/>
        <v>45342</v>
      </c>
      <c r="B285" s="4">
        <f ca="1"/>
        <v>-1.0191131792485209E-3</v>
      </c>
      <c r="C285" s="4">
        <f ca="1"/>
        <v>1.4623303696771117E-2</v>
      </c>
      <c r="D285" s="4">
        <f ca="1"/>
        <v>2.2057585452096351E-2</v>
      </c>
      <c r="E285" s="4">
        <f ca="1"/>
        <v>-8.5629027375340172E-3</v>
      </c>
      <c r="F285" s="4">
        <f ca="1"/>
        <v>6.3488032505871761E-3</v>
      </c>
      <c r="G285" s="4">
        <f ca="1"/>
        <v>2.3269175524274432E-2</v>
      </c>
      <c r="H285" s="4">
        <f ca="1"/>
        <v>-1.0734864630199681E-2</v>
      </c>
      <c r="I285" s="4">
        <f ca="1"/>
        <v>3.8126361655772545E-3</v>
      </c>
      <c r="J285" s="4">
        <f ca="1"/>
        <v>-3.4222045364106668E-2</v>
      </c>
      <c r="K285" s="4">
        <f ca="1"/>
        <v>-3.3169948449252029E-3</v>
      </c>
      <c r="L285" s="4">
        <f ca="1"/>
        <v>-1.0594021944759779E-2</v>
      </c>
      <c r="M285" s="4">
        <f ca="1"/>
        <v>5.8234908136483021E-3</v>
      </c>
      <c r="N285" s="4">
        <f ca="1"/>
        <v>4.7162025137348351E-4</v>
      </c>
      <c r="O285" s="4">
        <f ca="1"/>
        <v>4.2698548249358037E-3</v>
      </c>
      <c r="P285" s="4">
        <f ca="1"/>
        <v>-3.1430975597682709E-3</v>
      </c>
    </row>
    <row r="286" spans="1:16" x14ac:dyDescent="0.25">
      <c r="A286" vm="4210">
        <f ca="1"/>
        <v>45343</v>
      </c>
      <c r="B286" s="4">
        <f ca="1"/>
        <v>8.0457336438706228E-3</v>
      </c>
      <c r="C286" s="4">
        <f ca="1"/>
        <v>1.4989046466042932E-3</v>
      </c>
      <c r="D286" s="4">
        <f ca="1"/>
        <v>8.896210873146515E-3</v>
      </c>
      <c r="E286" s="4">
        <f ca="1"/>
        <v>1.5703380588876659E-2</v>
      </c>
      <c r="F286" s="4">
        <f ca="1"/>
        <v>1.1923537947132745E-2</v>
      </c>
      <c r="G286" s="4">
        <f ca="1"/>
        <v>2.1617069062324523E-2</v>
      </c>
      <c r="H286" s="4">
        <f ca="1"/>
        <v>7.9789356099979614E-5</v>
      </c>
      <c r="I286" s="4">
        <f ca="1"/>
        <v>6.5111231687466908E-3</v>
      </c>
      <c r="J286" s="4">
        <f ca="1"/>
        <v>1.2360939431396822E-2</v>
      </c>
      <c r="K286" s="4">
        <f ca="1"/>
        <v>-7.885532591415001E-3</v>
      </c>
      <c r="L286" s="4">
        <f ca="1"/>
        <v>9.6558317399617621E-3</v>
      </c>
      <c r="M286" s="4">
        <f ca="1"/>
        <v>1.4270570007339778E-3</v>
      </c>
      <c r="N286" s="4">
        <f ca="1"/>
        <v>7.7309260612345998E-3</v>
      </c>
      <c r="O286" s="4">
        <f ca="1"/>
        <v>1.0133219954648665E-2</v>
      </c>
      <c r="P286" s="4">
        <f ca="1"/>
        <v>-1.5144368032969924E-3</v>
      </c>
    </row>
    <row r="287" spans="1:16" x14ac:dyDescent="0.25">
      <c r="A287" vm="4226">
        <f ca="1"/>
        <v>45344</v>
      </c>
      <c r="B287" s="4">
        <f ca="1"/>
        <v>1.2010463806304994E-2</v>
      </c>
      <c r="C287" s="4">
        <f ca="1"/>
        <v>1.5599815795533045E-2</v>
      </c>
      <c r="D287" s="4">
        <f ca="1"/>
        <v>-1.4696276943174658E-3</v>
      </c>
      <c r="E287" s="4">
        <f ca="1"/>
        <v>1.3656860639897017E-2</v>
      </c>
      <c r="F287" s="4">
        <f ca="1"/>
        <v>9.9750623441385855E-4</v>
      </c>
      <c r="G287" s="4">
        <f ca="1"/>
        <v>5.4960153888417018E-4</v>
      </c>
      <c r="H287" s="4">
        <f ca="1"/>
        <v>2.975905536939516E-2</v>
      </c>
      <c r="I287" s="4">
        <f ca="1"/>
        <v>2.1293800539083474E-2</v>
      </c>
      <c r="J287" s="4">
        <f ca="1"/>
        <v>6.1050061050060833E-3</v>
      </c>
      <c r="K287" s="4">
        <f ca="1"/>
        <v>3.8672734653761642E-2</v>
      </c>
      <c r="L287" s="4">
        <f ca="1"/>
        <v>0.10278382728908242</v>
      </c>
      <c r="M287" s="4">
        <f ca="1"/>
        <v>3.6643459142537971E-4</v>
      </c>
      <c r="N287" s="4">
        <f ca="1"/>
        <v>3.134136358320605E-3</v>
      </c>
      <c r="O287" s="4">
        <f ca="1"/>
        <v>1.0803226937916355E-2</v>
      </c>
      <c r="P287" s="4">
        <f ca="1"/>
        <v>2.3546670644984724E-2</v>
      </c>
    </row>
    <row r="288" spans="1:16" x14ac:dyDescent="0.25">
      <c r="A288" vm="4240">
        <f ca="1"/>
        <v>45345</v>
      </c>
      <c r="B288" s="4">
        <f ca="1"/>
        <v>2.0188679245283225E-3</v>
      </c>
      <c r="C288" s="4">
        <f ca="1"/>
        <v>9.6638893612197574E-3</v>
      </c>
      <c r="D288" s="4">
        <f ca="1"/>
        <v>8.1766148814388373E-4</v>
      </c>
      <c r="E288" s="4">
        <f ca="1"/>
        <v>-7.6261492183204993E-4</v>
      </c>
      <c r="F288" s="4">
        <f ca="1"/>
        <v>2.927254608869001E-3</v>
      </c>
      <c r="G288" s="4">
        <f ca="1"/>
        <v>-9.8873935731941254E-3</v>
      </c>
      <c r="H288" s="4">
        <f ca="1"/>
        <v>3.5639575424188941E-3</v>
      </c>
      <c r="I288" s="4">
        <f ca="1"/>
        <v>1.1612562681446281E-2</v>
      </c>
      <c r="J288" s="4">
        <f ca="1"/>
        <v>1.2540453074433744E-2</v>
      </c>
      <c r="K288" s="4">
        <f ca="1"/>
        <v>-4.3198321436652698E-3</v>
      </c>
      <c r="L288" s="4">
        <f ca="1"/>
        <v>6.2679775039711227E-3</v>
      </c>
      <c r="M288" s="4">
        <f ca="1"/>
        <v>6.227106227106205E-3</v>
      </c>
      <c r="N288" s="4">
        <f ca="1"/>
        <v>5.1994683951597231E-3</v>
      </c>
      <c r="O288" s="4">
        <f ca="1"/>
        <v>-9.0221389409395059E-4</v>
      </c>
      <c r="P288" s="4">
        <f ca="1"/>
        <v>-3.1823150734847649E-3</v>
      </c>
    </row>
    <row r="289" spans="1:16" x14ac:dyDescent="0.25">
      <c r="A289" vm="4252">
        <f ca="1"/>
        <v>45348</v>
      </c>
      <c r="B289" s="4">
        <f ca="1"/>
        <v>-4.8957764513168911E-4</v>
      </c>
      <c r="C289" s="4">
        <f ca="1"/>
        <v>-1.6785022595222632E-2</v>
      </c>
      <c r="D289" s="4">
        <f ca="1"/>
        <v>-8.0065359477125009E-3</v>
      </c>
      <c r="E289" s="4">
        <f ca="1"/>
        <v>-9.0735637057450802E-3</v>
      </c>
      <c r="F289" s="4">
        <f ca="1"/>
        <v>-5.0301186114388718E-3</v>
      </c>
      <c r="G289" s="4">
        <f ca="1"/>
        <v>-2.4965325936198157E-3</v>
      </c>
      <c r="H289" s="4">
        <f ca="1"/>
        <v>8.5694433721916763E-3</v>
      </c>
      <c r="I289" s="4">
        <f ca="1"/>
        <v>-3.9133837725019438E-3</v>
      </c>
      <c r="J289" s="4">
        <f ca="1"/>
        <v>3.2760687175389602E-2</v>
      </c>
      <c r="K289" s="4">
        <f ca="1"/>
        <v>-4.7311117079519294E-3</v>
      </c>
      <c r="L289" s="4">
        <f ca="1"/>
        <v>5.3329920218438964E-3</v>
      </c>
      <c r="M289" s="4">
        <f ca="1"/>
        <v>-1.6583747927031434E-3</v>
      </c>
      <c r="N289" s="4">
        <f ca="1"/>
        <v>-4.4999072184078726E-3</v>
      </c>
      <c r="O289" s="4">
        <f ca="1"/>
        <v>-4.4387329813837306E-2</v>
      </c>
      <c r="P289" s="4">
        <f ca="1"/>
        <v>-6.823609689525667E-3</v>
      </c>
    </row>
    <row r="290" spans="1:16" x14ac:dyDescent="0.25">
      <c r="A290" vm="4265">
        <f ca="1"/>
        <v>45349</v>
      </c>
      <c r="B290" s="4">
        <f ca="1"/>
        <v>1.2810610199507355E-3</v>
      </c>
      <c r="C290" s="4">
        <f ca="1"/>
        <v>-8.8212623825973946E-3</v>
      </c>
      <c r="D290" s="4">
        <f ca="1"/>
        <v>-6.0945478504365047E-3</v>
      </c>
      <c r="E290" s="4">
        <f ca="1"/>
        <v>-5.0917804116212828E-3</v>
      </c>
      <c r="F290" s="4">
        <f ca="1"/>
        <v>-5.7421046061664205E-3</v>
      </c>
      <c r="G290" s="4">
        <f ca="1"/>
        <v>-4.4493882091213299E-3</v>
      </c>
      <c r="H290" s="4">
        <f ca="1"/>
        <v>-1.5691977954684466E-2</v>
      </c>
      <c r="I290" s="4">
        <f ca="1"/>
        <v>-5.7621791513881027E-3</v>
      </c>
      <c r="J290" s="4">
        <f ca="1"/>
        <v>1.9729206963249535E-2</v>
      </c>
      <c r="K290" s="4">
        <f ca="1"/>
        <v>1.10225432806077E-2</v>
      </c>
      <c r="L290" s="4">
        <f ca="1"/>
        <v>1.6677983364454363E-2</v>
      </c>
      <c r="M290" s="4">
        <f ca="1"/>
        <v>1.0939145936310624E-3</v>
      </c>
      <c r="N290" s="4">
        <f ca="1"/>
        <v>2.9125308728272792E-3</v>
      </c>
      <c r="O290" s="4">
        <f ca="1"/>
        <v>9.5224249472996014E-3</v>
      </c>
      <c r="P290" s="4">
        <f ca="1"/>
        <v>-1.4722481228834905E-4</v>
      </c>
    </row>
    <row r="291" spans="1:16" x14ac:dyDescent="0.25">
      <c r="A291" vm="4281">
        <f ca="1"/>
        <v>45350</v>
      </c>
      <c r="B291" s="4">
        <f ca="1"/>
        <v>-7.3378614837527056E-4</v>
      </c>
      <c r="C291" s="4">
        <f ca="1"/>
        <v>7.1428571428571175E-3</v>
      </c>
      <c r="D291" s="4">
        <f ca="1"/>
        <v>9.943652635067135E-4</v>
      </c>
      <c r="E291" s="4">
        <f ca="1"/>
        <v>-5.0748322724927242E-3</v>
      </c>
      <c r="F291" s="4">
        <f ca="1"/>
        <v>4.7080979284368496E-3</v>
      </c>
      <c r="G291" s="4">
        <f ca="1"/>
        <v>-7.2625698324021437E-3</v>
      </c>
      <c r="H291" s="4">
        <f ca="1"/>
        <v>-9.4097519247220429E-3</v>
      </c>
      <c r="I291" s="4">
        <f ca="1"/>
        <v>-7.3761854583772601E-3</v>
      </c>
      <c r="J291" s="4">
        <f ca="1"/>
        <v>-2.2761760242792084E-3</v>
      </c>
      <c r="K291" s="4">
        <f ca="1"/>
        <v>-6.2211271943333202E-3</v>
      </c>
      <c r="L291" s="4">
        <f ca="1"/>
        <v>-3.9236966231164239E-3</v>
      </c>
      <c r="M291" s="4">
        <f ca="1"/>
        <v>1.4164879193816482E-3</v>
      </c>
      <c r="N291" s="4">
        <f ca="1"/>
        <v>4.7626791812838132E-3</v>
      </c>
      <c r="O291" s="4">
        <f ca="1"/>
        <v>-1.8001152073732762E-2</v>
      </c>
      <c r="P291" s="4">
        <f ca="1"/>
        <v>5.889859625012317E-4</v>
      </c>
    </row>
    <row r="292" spans="1:16" x14ac:dyDescent="0.25">
      <c r="A292" vm="4294">
        <f ca="1"/>
        <v>45351</v>
      </c>
      <c r="B292" s="4">
        <f ca="1"/>
        <v>8.1905479194126496E-3</v>
      </c>
      <c r="C292" s="4">
        <f ca="1"/>
        <v>9.1512239762070458E-4</v>
      </c>
      <c r="D292" s="4">
        <f ca="1"/>
        <v>-6.2913907284767312E-3</v>
      </c>
      <c r="E292" s="4">
        <f ca="1"/>
        <v>6.7865479380997407E-3</v>
      </c>
      <c r="F292" s="4">
        <f ca="1"/>
        <v>-6.9353327085286409E-3</v>
      </c>
      <c r="G292" s="4">
        <f ca="1"/>
        <v>-7.3157006190207596E-3</v>
      </c>
      <c r="H292" s="4">
        <f ca="1"/>
        <v>1.01271785209609E-2</v>
      </c>
      <c r="I292" s="4">
        <f ca="1"/>
        <v>6.900212314224996E-3</v>
      </c>
      <c r="J292" s="4">
        <f ca="1"/>
        <v>2.1292775665399111E-2</v>
      </c>
      <c r="K292" s="4">
        <f ca="1"/>
        <v>1.2623445312177184E-2</v>
      </c>
      <c r="L292" s="4">
        <f ca="1"/>
        <v>1.2068893265725134E-2</v>
      </c>
      <c r="M292" s="4">
        <f ca="1"/>
        <v>4.3646944713870983E-3</v>
      </c>
      <c r="N292" s="4">
        <f ca="1"/>
        <v>-9.8039215686274161E-3</v>
      </c>
      <c r="O292" s="4">
        <f ca="1"/>
        <v>1.5251503152954982E-2</v>
      </c>
      <c r="P292" s="4">
        <f ca="1"/>
        <v>1.4519768468556737E-2</v>
      </c>
    </row>
    <row r="293" spans="1:16" x14ac:dyDescent="0.25">
      <c r="A293" vm="4306">
        <f ca="1"/>
        <v>45352</v>
      </c>
      <c r="B293" s="4">
        <f ca="1"/>
        <v>4.388831823699535E-3</v>
      </c>
      <c r="C293" s="4">
        <f ca="1"/>
        <v>-8.2857142857142296E-3</v>
      </c>
      <c r="D293" s="4">
        <f ca="1"/>
        <v>-8.1639453515495175E-3</v>
      </c>
      <c r="E293" s="4">
        <f ca="1"/>
        <v>-6.0109054999779588E-4</v>
      </c>
      <c r="F293" s="4">
        <f ca="1"/>
        <v>-5.662514156286047E-4</v>
      </c>
      <c r="G293" s="4">
        <f ca="1"/>
        <v>-4.2517006802720303E-3</v>
      </c>
      <c r="H293" s="4">
        <f ca="1"/>
        <v>4.064661537265879E-2</v>
      </c>
      <c r="I293" s="4">
        <f ca="1"/>
        <v>7.6436478650501183E-3</v>
      </c>
      <c r="J293" s="4">
        <f ca="1"/>
        <v>-1.3775130305286654E-2</v>
      </c>
      <c r="K293" s="4">
        <f ca="1"/>
        <v>2.4830147103829692E-2</v>
      </c>
      <c r="L293" s="4">
        <f ca="1"/>
        <v>-2.5671814831683681E-3</v>
      </c>
      <c r="M293" s="4">
        <f ca="1"/>
        <v>5.955255110252633E-3</v>
      </c>
      <c r="N293" s="4">
        <f ca="1"/>
        <v>-4.156547730244764E-3</v>
      </c>
      <c r="O293" s="4">
        <f ca="1"/>
        <v>-9.5334392604363716E-3</v>
      </c>
      <c r="P293" s="4">
        <f ca="1"/>
        <v>4.4966637655932118E-3</v>
      </c>
    </row>
    <row r="294" spans="1:16" x14ac:dyDescent="0.25">
      <c r="A294" vm="4320">
        <f ca="1"/>
        <v>45355</v>
      </c>
      <c r="B294" s="4">
        <f ca="1"/>
        <v>-4.2580885087392106E-3</v>
      </c>
      <c r="C294" s="4">
        <f ca="1"/>
        <v>1.5528666090463883E-2</v>
      </c>
      <c r="D294" s="4">
        <f ca="1"/>
        <v>4.7035108348731924E-3</v>
      </c>
      <c r="E294" s="4">
        <f ca="1"/>
        <v>2.1480431327061122E-3</v>
      </c>
      <c r="F294" s="4">
        <f ca="1"/>
        <v>4.4696254327982743E-3</v>
      </c>
      <c r="G294" s="4">
        <f ca="1"/>
        <v>-2.5619128949616599E-3</v>
      </c>
      <c r="H294" s="4">
        <f ca="1"/>
        <v>3.2561613144137302E-2</v>
      </c>
      <c r="I294" s="4">
        <f ca="1"/>
        <v>3.9236201935655135E-3</v>
      </c>
      <c r="J294" s="4">
        <f ca="1"/>
        <v>7.5500188750488029E-4</v>
      </c>
      <c r="K294" s="4">
        <f ca="1"/>
        <v>-8.1823611387616957E-3</v>
      </c>
      <c r="L294" s="4">
        <f ca="1"/>
        <v>1.0170617294200657E-2</v>
      </c>
      <c r="M294" s="4">
        <f ca="1"/>
        <v>-7.8799999999999981E-3</v>
      </c>
      <c r="N294" s="4">
        <f ca="1"/>
        <v>1.2849974206256221E-2</v>
      </c>
      <c r="O294" s="4">
        <f ca="1"/>
        <v>-2.7635992416508603E-2</v>
      </c>
      <c r="P294" s="4">
        <f ca="1"/>
        <v>-1.395908543922908E-3</v>
      </c>
    </row>
    <row r="295" spans="1:16" x14ac:dyDescent="0.25">
      <c r="A295" vm="4333">
        <f ca="1"/>
        <v>45356</v>
      </c>
      <c r="B295" s="4">
        <f ca="1"/>
        <v>-1.4024014490859216E-2</v>
      </c>
      <c r="C295" s="4">
        <f ca="1"/>
        <v>8.454140542994093E-3</v>
      </c>
      <c r="D295" s="4">
        <f ca="1"/>
        <v>-4.8486875104497562E-3</v>
      </c>
      <c r="E295" s="4">
        <f ca="1"/>
        <v>-2.0962832768894435E-2</v>
      </c>
      <c r="F295" s="4">
        <f ca="1"/>
        <v>-1.5041363750314396E-3</v>
      </c>
      <c r="G295" s="4">
        <f ca="1"/>
        <v>2.5684931506850806E-3</v>
      </c>
      <c r="H295" s="4">
        <f ca="1"/>
        <v>-2.3795747143063761E-2</v>
      </c>
      <c r="I295" s="4">
        <f ca="1"/>
        <v>-3.387180823345548E-3</v>
      </c>
      <c r="J295" s="4">
        <f ca="1"/>
        <v>-2.451904941531502E-2</v>
      </c>
      <c r="K295" s="4">
        <f ca="1"/>
        <v>-1.5997912443043716E-2</v>
      </c>
      <c r="L295" s="4">
        <f ca="1"/>
        <v>-1.4917399523300734E-2</v>
      </c>
      <c r="M295" s="4">
        <f ca="1"/>
        <v>4.4349473853966259E-4</v>
      </c>
      <c r="N295" s="4">
        <f ca="1"/>
        <v>9.2605454461214265E-5</v>
      </c>
      <c r="O295" s="4">
        <f ca="1"/>
        <v>-5.0993625796775799E-3</v>
      </c>
      <c r="P295" s="4">
        <f ca="1"/>
        <v>-2.9571965680131207E-2</v>
      </c>
    </row>
    <row r="296" spans="1:16" x14ac:dyDescent="0.25">
      <c r="A296" vm="4346">
        <f ca="1"/>
        <v>45357</v>
      </c>
      <c r="B296" s="4">
        <f ca="1"/>
        <v>6.1174242424242298E-3</v>
      </c>
      <c r="C296" s="4">
        <f ca="1"/>
        <v>1.4544124680001103E-2</v>
      </c>
      <c r="D296" s="4">
        <f ca="1"/>
        <v>5.040322580645018E-4</v>
      </c>
      <c r="E296" s="4">
        <f ca="1"/>
        <v>3.0650669936072017E-3</v>
      </c>
      <c r="F296" s="4">
        <f ca="1"/>
        <v>1.5691689681145427E-3</v>
      </c>
      <c r="G296" s="4">
        <f ca="1"/>
        <v>6.2624537432394156E-3</v>
      </c>
      <c r="H296" s="4">
        <f ca="1"/>
        <v>4.8899755501222497E-2</v>
      </c>
      <c r="I296" s="4">
        <f ca="1"/>
        <v>-4.1830065359476087E-3</v>
      </c>
      <c r="J296" s="4">
        <f ca="1"/>
        <v>-6.9218870843000713E-2</v>
      </c>
      <c r="K296" s="4">
        <f ca="1"/>
        <v>1.1974215658275833E-2</v>
      </c>
      <c r="L296" s="4">
        <f ca="1"/>
        <v>8.7188686329313647E-3</v>
      </c>
      <c r="M296" s="4">
        <f ca="1"/>
        <v>1.0477955992584942E-3</v>
      </c>
      <c r="N296" s="4">
        <f ca="1"/>
        <v>3.4723829806935225E-3</v>
      </c>
      <c r="O296" s="4">
        <f ca="1"/>
        <v>-9.5726238034219424E-3</v>
      </c>
      <c r="P296" s="4">
        <f ca="1"/>
        <v>-1.3907860424686724E-3</v>
      </c>
    </row>
    <row r="297" spans="1:16" x14ac:dyDescent="0.25">
      <c r="A297" vm="4360">
        <f ca="1"/>
        <v>45358</v>
      </c>
      <c r="B297" s="4">
        <f ca="1"/>
        <v>1.552999642339481E-2</v>
      </c>
      <c r="C297" s="4">
        <f ca="1"/>
        <v>1.3143300798580393E-2</v>
      </c>
      <c r="D297" s="4">
        <f ca="1"/>
        <v>-1.8471872376154552E-3</v>
      </c>
      <c r="E297" s="4">
        <f ca="1"/>
        <v>1.7199231709446483E-2</v>
      </c>
      <c r="F297" s="4">
        <f ca="1"/>
        <v>6.5801842451589376E-3</v>
      </c>
      <c r="G297" s="4">
        <f ca="1"/>
        <v>-2.4045261669024098E-2</v>
      </c>
      <c r="H297" s="4">
        <f ca="1"/>
        <v>5.3895599350144874E-2</v>
      </c>
      <c r="I297" s="4">
        <f ca="1"/>
        <v>-4.4631136781307923E-3</v>
      </c>
      <c r="J297" s="4">
        <f ca="1"/>
        <v>-2.1188201080182822E-2</v>
      </c>
      <c r="K297" s="4">
        <f ca="1"/>
        <v>3.2453788627063718E-2</v>
      </c>
      <c r="L297" s="4">
        <f ca="1"/>
        <v>1.042183622828774E-2</v>
      </c>
      <c r="M297" s="4">
        <f ca="1"/>
        <v>2.7777777777777901E-2</v>
      </c>
      <c r="N297" s="4">
        <f ca="1"/>
        <v>-8.0511211589923137E-3</v>
      </c>
      <c r="O297" s="4">
        <f ca="1"/>
        <v>2.267884322678837E-2</v>
      </c>
      <c r="P297" s="4">
        <f ca="1"/>
        <v>1.7533388047452192E-2</v>
      </c>
    </row>
    <row r="298" spans="1:16" x14ac:dyDescent="0.25">
      <c r="A298" vm="4372">
        <f ca="1"/>
        <v>45359</v>
      </c>
      <c r="B298" s="4">
        <f ca="1"/>
        <v>-3.948246459553606E-3</v>
      </c>
      <c r="C298" s="4">
        <f ca="1"/>
        <v>-2.892878646888164E-2</v>
      </c>
      <c r="D298" s="4">
        <f ca="1"/>
        <v>1.3458950201885589E-3</v>
      </c>
      <c r="E298" s="4">
        <f ca="1"/>
        <v>2.9182044459701295E-3</v>
      </c>
      <c r="F298" s="4">
        <f ca="1"/>
        <v>-1.6809861785581637E-3</v>
      </c>
      <c r="G298" s="4">
        <f ca="1"/>
        <v>9.8550724637682663E-3</v>
      </c>
      <c r="H298" s="4">
        <f ca="1"/>
        <v>-1.8967828418230415E-2</v>
      </c>
      <c r="I298" s="4">
        <f ca="1"/>
        <v>7.1202531645568889E-3</v>
      </c>
      <c r="J298" s="4">
        <f ca="1"/>
        <v>5.9422750424449333E-3</v>
      </c>
      <c r="K298" s="4">
        <f ca="1"/>
        <v>-1.2182978972646974E-2</v>
      </c>
      <c r="L298" s="4">
        <f ca="1"/>
        <v>-9.2501637197117681E-3</v>
      </c>
      <c r="M298" s="4">
        <f ca="1"/>
        <v>9.3615354484919422E-3</v>
      </c>
      <c r="N298" s="4">
        <f ca="1"/>
        <v>6.7675992464939494E-3</v>
      </c>
      <c r="O298" s="4">
        <f ca="1"/>
        <v>7.6648310760529803E-3</v>
      </c>
      <c r="P298" s="4">
        <f ca="1"/>
        <v>-7.1369213472159965E-3</v>
      </c>
    </row>
    <row r="299" spans="1:16" x14ac:dyDescent="0.25">
      <c r="A299" vm="4386">
        <f ca="1"/>
        <v>45362</v>
      </c>
      <c r="B299" s="4">
        <f ca="1"/>
        <v>-2.4378896436215713E-3</v>
      </c>
      <c r="C299" s="4">
        <f ca="1"/>
        <v>6.1723175784222928E-3</v>
      </c>
      <c r="D299" s="4">
        <f ca="1"/>
        <v>1.2096774193548265E-2</v>
      </c>
      <c r="E299" s="4">
        <f ca="1"/>
        <v>5.9905862216513839E-4</v>
      </c>
      <c r="F299" s="4">
        <f ca="1"/>
        <v>7.4836295603368796E-3</v>
      </c>
      <c r="G299" s="4">
        <f ca="1"/>
        <v>4.0183696900113475E-3</v>
      </c>
      <c r="H299" s="4">
        <f ca="1"/>
        <v>-5.0215208034433245E-2</v>
      </c>
      <c r="I299" s="4">
        <f ca="1"/>
        <v>-3.9277297721916904E-3</v>
      </c>
      <c r="J299" s="4">
        <f ca="1"/>
        <v>2.1940928270042237E-2</v>
      </c>
      <c r="K299" s="4">
        <f ca="1"/>
        <v>-4.4194090325130997E-2</v>
      </c>
      <c r="L299" s="4">
        <f ca="1"/>
        <v>-1.2063124845079765E-2</v>
      </c>
      <c r="M299" s="4">
        <f ca="1"/>
        <v>1.6647910279793621E-2</v>
      </c>
      <c r="N299" s="4">
        <f ca="1"/>
        <v>4.2735042735042583E-3</v>
      </c>
      <c r="O299" s="4">
        <f ca="1"/>
        <v>1.6690052433350422E-2</v>
      </c>
      <c r="P299" s="4">
        <f ca="1"/>
        <v>-4.1849244251884743E-3</v>
      </c>
    </row>
    <row r="300" spans="1:16" x14ac:dyDescent="0.25">
      <c r="A300" vm="4401">
        <f ca="1"/>
        <v>45363</v>
      </c>
      <c r="B300" s="4">
        <f ca="1"/>
        <v>4.1787926274159393E-3</v>
      </c>
      <c r="C300" s="4">
        <f ca="1"/>
        <v>1.2773109243697567E-2</v>
      </c>
      <c r="D300" s="4">
        <f ca="1"/>
        <v>4.3160690571049098E-3</v>
      </c>
      <c r="E300" s="4">
        <f ca="1"/>
        <v>-1.2829284981186184E-4</v>
      </c>
      <c r="F300" s="4">
        <f ca="1"/>
        <v>2.3522129371711387E-3</v>
      </c>
      <c r="G300" s="4">
        <f ca="1"/>
        <v>-1.0863350485991852E-2</v>
      </c>
      <c r="H300" s="4">
        <f ca="1"/>
        <v>3.8699467702488777E-2</v>
      </c>
      <c r="I300" s="4">
        <f ca="1"/>
        <v>-5.7833859095688389E-3</v>
      </c>
      <c r="J300" s="4">
        <f ca="1"/>
        <v>-4.1288191577204536E-4</v>
      </c>
      <c r="K300" s="4">
        <f ca="1"/>
        <v>3.3416737318803236E-2</v>
      </c>
      <c r="L300" s="4">
        <f ca="1"/>
        <v>1.0997741908505665E-2</v>
      </c>
      <c r="M300" s="4">
        <f ca="1"/>
        <v>-4.5805023284217761E-4</v>
      </c>
      <c r="N300" s="4">
        <f ca="1"/>
        <v>3.6802760207010898E-4</v>
      </c>
      <c r="O300" s="4">
        <f ca="1"/>
        <v>6.0289097116292822E-3</v>
      </c>
      <c r="P300" s="4">
        <f ca="1"/>
        <v>2.6599426480767407E-2</v>
      </c>
    </row>
    <row r="301" spans="1:16" x14ac:dyDescent="0.25">
      <c r="A301" vm="4414">
        <f ca="1"/>
        <v>45364</v>
      </c>
      <c r="B301" s="4">
        <f ca="1"/>
        <v>2.3779445641674002E-3</v>
      </c>
      <c r="C301" s="4">
        <f ca="1"/>
        <v>3.6785042593205919E-3</v>
      </c>
      <c r="D301" s="4">
        <f ca="1"/>
        <v>1.0247933884297566E-2</v>
      </c>
      <c r="E301" s="4">
        <f ca="1"/>
        <v>-8.5539540652712631E-5</v>
      </c>
      <c r="F301" s="4">
        <f ca="1"/>
        <v>2.2849379361453703E-3</v>
      </c>
      <c r="G301" s="4">
        <f ca="1"/>
        <v>-2.0231213872832221E-3</v>
      </c>
      <c r="H301" s="4">
        <f ca="1"/>
        <v>-1.5650969529085956E-2</v>
      </c>
      <c r="I301" s="4">
        <f ca="1"/>
        <v>-1.0576414595452333E-3</v>
      </c>
      <c r="J301" s="4">
        <f ca="1"/>
        <v>3.3044196612969978E-2</v>
      </c>
      <c r="K301" s="4">
        <f ca="1"/>
        <v>-8.3641820910455023E-3</v>
      </c>
      <c r="L301" s="4">
        <f ca="1"/>
        <v>2.4816974810781822E-4</v>
      </c>
      <c r="M301" s="4">
        <f ca="1"/>
        <v>7.0266554647520074E-3</v>
      </c>
      <c r="N301" s="4">
        <f ca="1"/>
        <v>-7.1279115219236022E-4</v>
      </c>
      <c r="O301" s="4">
        <f ca="1"/>
        <v>9.314079422382715E-3</v>
      </c>
      <c r="P301" s="4">
        <f ca="1"/>
        <v>-4.3344249662868872E-4</v>
      </c>
    </row>
    <row r="302" spans="1:16" x14ac:dyDescent="0.25">
      <c r="A302" vm="4429">
        <f ca="1"/>
        <v>45365</v>
      </c>
      <c r="B302" s="4">
        <f ca="1"/>
        <v>-6.1346282155829712E-3</v>
      </c>
      <c r="C302" s="4">
        <f ca="1"/>
        <v>1.4329411116318358E-3</v>
      </c>
      <c r="D302" s="4">
        <f ca="1"/>
        <v>-1.0143979057591568E-2</v>
      </c>
      <c r="E302" s="4">
        <f ca="1"/>
        <v>-9.5384746995166303E-3</v>
      </c>
      <c r="F302" s="4">
        <f ca="1"/>
        <v>-4.9291435613062484E-3</v>
      </c>
      <c r="G302" s="4">
        <f ca="1"/>
        <v>-6.0816681146829144E-3</v>
      </c>
      <c r="H302" s="4">
        <f ca="1"/>
        <v>-1.7728999577880877E-2</v>
      </c>
      <c r="I302" s="4">
        <f ca="1"/>
        <v>-1.9851773425092589E-2</v>
      </c>
      <c r="J302" s="4">
        <f ca="1"/>
        <v>-1.2395041983206845E-2</v>
      </c>
      <c r="K302" s="4">
        <f ca="1"/>
        <v>-7.5468652259015334E-3</v>
      </c>
      <c r="L302" s="4">
        <f ca="1"/>
        <v>2.1916222139519714E-3</v>
      </c>
      <c r="M302" s="4">
        <f ca="1"/>
        <v>-1.088357982555932E-2</v>
      </c>
      <c r="N302" s="4">
        <f ca="1"/>
        <v>2.6921306948917145E-3</v>
      </c>
      <c r="O302" s="4">
        <f ca="1"/>
        <v>2.3678374704914518E-2</v>
      </c>
      <c r="P302" s="4">
        <f ca="1"/>
        <v>2.4379667549987882E-2</v>
      </c>
    </row>
    <row r="303" spans="1:16" x14ac:dyDescent="0.25">
      <c r="A303" vm="4443">
        <f ca="1"/>
        <v>45366</v>
      </c>
      <c r="B303" s="4">
        <f ca="1"/>
        <v>-1.5477855477856739E-3</v>
      </c>
      <c r="C303" s="4">
        <f ca="1"/>
        <v>2.2206323436338993E-2</v>
      </c>
      <c r="D303" s="4">
        <f ca="1"/>
        <v>-1.0247933884297455E-2</v>
      </c>
      <c r="E303" s="4">
        <f ca="1"/>
        <v>-6.5209880808428933E-3</v>
      </c>
      <c r="F303" s="4">
        <f ca="1"/>
        <v>-7.4303405572762049E-4</v>
      </c>
      <c r="G303" s="4">
        <f ca="1"/>
        <v>1.4568764568763104E-3</v>
      </c>
      <c r="H303" s="4">
        <f ca="1"/>
        <v>-1.8908465835840271E-2</v>
      </c>
      <c r="I303" s="4">
        <f ca="1"/>
        <v>-1.6203078584932085E-3</v>
      </c>
      <c r="J303" s="4">
        <f ca="1"/>
        <v>5.3441295546558631E-2</v>
      </c>
      <c r="K303" s="4">
        <f ca="1"/>
        <v>-1.5716812719842155E-2</v>
      </c>
      <c r="L303" s="4">
        <f ca="1"/>
        <v>1.6091764317542889E-3</v>
      </c>
      <c r="M303" s="4">
        <f ca="1"/>
        <v>2.6108959858911929E-2</v>
      </c>
      <c r="N303" s="4">
        <f ca="1"/>
        <v>1.147394267617674E-4</v>
      </c>
      <c r="O303" s="4">
        <f ca="1"/>
        <v>-1.3417190775681265E-2</v>
      </c>
      <c r="P303" s="4">
        <f ca="1"/>
        <v>-2.0695169559286963E-2</v>
      </c>
    </row>
    <row r="304" spans="1:16" x14ac:dyDescent="0.25">
      <c r="A304" vm="4458">
        <f ca="1"/>
        <v>45369</v>
      </c>
      <c r="B304" s="4">
        <f ca="1"/>
        <v>1.5688618280975675E-3</v>
      </c>
      <c r="C304" s="4">
        <f ca="1"/>
        <v>-1.1682997738774681E-2</v>
      </c>
      <c r="D304" s="4">
        <f ca="1"/>
        <v>4.1750167000667027E-3</v>
      </c>
      <c r="E304" s="4">
        <f ca="1"/>
        <v>-2.1734405564011183E-4</v>
      </c>
      <c r="F304" s="4">
        <f ca="1"/>
        <v>-1.0534143016481812E-3</v>
      </c>
      <c r="G304" s="4">
        <f ca="1"/>
        <v>1.6002327611289058E-2</v>
      </c>
      <c r="H304" s="4">
        <f ca="1"/>
        <v>-2.4821141772521926E-3</v>
      </c>
      <c r="I304" s="4">
        <f ca="1"/>
        <v>9.1966459291317193E-3</v>
      </c>
      <c r="J304" s="4">
        <f ca="1"/>
        <v>3.8431975403541152E-4</v>
      </c>
      <c r="K304" s="4">
        <f ca="1"/>
        <v>2.6606073125387208E-2</v>
      </c>
      <c r="L304" s="4">
        <f ca="1"/>
        <v>4.3666323377959948E-3</v>
      </c>
      <c r="M304" s="4">
        <f ca="1"/>
        <v>-4.8199073382153568E-3</v>
      </c>
      <c r="N304" s="4">
        <f ca="1"/>
        <v>-6.0116561883346575E-3</v>
      </c>
      <c r="O304" s="4">
        <f ca="1"/>
        <v>4.6040515653775316E-2</v>
      </c>
      <c r="P304" s="4">
        <f ca="1"/>
        <v>2.161279477450595E-3</v>
      </c>
    </row>
    <row r="305" spans="1:16" x14ac:dyDescent="0.25">
      <c r="A305" vm="4473">
        <f ca="1"/>
        <v>45370</v>
      </c>
      <c r="B305" s="4">
        <f ca="1"/>
        <v>4.8110990937233478E-3</v>
      </c>
      <c r="C305" s="4">
        <f ca="1"/>
        <v>1.4218009478673022E-2</v>
      </c>
      <c r="D305" s="4">
        <f ca="1"/>
        <v>1.6630633627139346E-3</v>
      </c>
      <c r="E305" s="4">
        <f ca="1"/>
        <v>6.0869565217380739E-4</v>
      </c>
      <c r="F305" s="4">
        <f ca="1"/>
        <v>3.8459152658023577E-3</v>
      </c>
      <c r="G305" s="4">
        <f ca="1"/>
        <v>1.0022909507445554E-2</v>
      </c>
      <c r="H305" s="4">
        <f ca="1"/>
        <v>-1.2953747072599442E-2</v>
      </c>
      <c r="I305" s="4">
        <f ca="1"/>
        <v>-8.84481372286261E-3</v>
      </c>
      <c r="J305" s="4">
        <f ca="1"/>
        <v>7.6834421820974885E-3</v>
      </c>
      <c r="K305" s="4">
        <f ca="1"/>
        <v>-1.4889935208660665E-3</v>
      </c>
      <c r="L305" s="4">
        <f ca="1"/>
        <v>1.058201058201047E-2</v>
      </c>
      <c r="M305" s="4">
        <f ca="1"/>
        <v>9.0107002064951924E-3</v>
      </c>
      <c r="N305" s="4">
        <f ca="1"/>
        <v>9.2105263157895578E-3</v>
      </c>
      <c r="O305" s="4">
        <f ca="1"/>
        <v>-4.4014084507042472E-3</v>
      </c>
      <c r="P305" s="4">
        <f ca="1"/>
        <v>9.8006326080706252E-3</v>
      </c>
    </row>
    <row r="306" spans="1:16" x14ac:dyDescent="0.25">
      <c r="A306" vm="4486">
        <f ca="1"/>
        <v>45371</v>
      </c>
      <c r="B306" s="4">
        <f ca="1"/>
        <v>1.4141489124786633E-2</v>
      </c>
      <c r="C306" s="4">
        <f ca="1"/>
        <v>1.8503598667955812E-2</v>
      </c>
      <c r="D306" s="4">
        <f ca="1"/>
        <v>8.6335713099785494E-3</v>
      </c>
      <c r="E306" s="4">
        <f ca="1"/>
        <v>1.3600417137394682E-2</v>
      </c>
      <c r="F306" s="4">
        <f ca="1"/>
        <v>9.8869183711292052E-4</v>
      </c>
      <c r="G306" s="4">
        <f ca="1"/>
        <v>2.268216614686569E-3</v>
      </c>
      <c r="H306" s="4">
        <f ca="1"/>
        <v>1.3939349002743295E-2</v>
      </c>
      <c r="I306" s="4">
        <f ca="1"/>
        <v>1.7036235803136845E-2</v>
      </c>
      <c r="J306" s="4">
        <f ca="1"/>
        <v>2.8593213877239787E-2</v>
      </c>
      <c r="K306" s="4">
        <f ca="1"/>
        <v>1.8700628728034685E-2</v>
      </c>
      <c r="L306" s="4">
        <f ca="1"/>
        <v>1.2662851576768608E-2</v>
      </c>
      <c r="M306" s="4">
        <f ca="1"/>
        <v>-9.3023255813950989E-4</v>
      </c>
      <c r="N306" s="4">
        <f ca="1"/>
        <v>7.3652187835953065E-3</v>
      </c>
      <c r="O306" s="4">
        <f ca="1"/>
        <v>1.1630279534788901E-2</v>
      </c>
      <c r="P306" s="4">
        <f ca="1"/>
        <v>9.064806245699053E-3</v>
      </c>
    </row>
    <row r="307" spans="1:16" x14ac:dyDescent="0.25">
      <c r="A307" vm="4496">
        <f ca="1"/>
        <v>45372</v>
      </c>
      <c r="B307" s="4">
        <f ca="1"/>
        <v>2.5948834315411728E-2</v>
      </c>
      <c r="C307" s="4">
        <f ca="1"/>
        <v>2.4785761371127091E-2</v>
      </c>
      <c r="D307" s="4">
        <f ca="1"/>
        <v>-4.6090534979423836E-3</v>
      </c>
      <c r="E307" s="4">
        <f ca="1"/>
        <v>-2.6492905217130436E-2</v>
      </c>
      <c r="F307" s="4">
        <f ca="1"/>
        <v>-8.025186739921697E-4</v>
      </c>
      <c r="G307" s="4">
        <f ca="1"/>
        <v>7.0721357850069833E-3</v>
      </c>
      <c r="H307" s="4">
        <f ca="1"/>
        <v>1.9744058500914097E-2</v>
      </c>
      <c r="I307" s="4">
        <f ca="1"/>
        <v>6.9130550385534395E-3</v>
      </c>
      <c r="J307" s="4">
        <f ca="1"/>
        <v>2.5203854707190443E-2</v>
      </c>
      <c r="K307" s="4">
        <f ca="1"/>
        <v>4.4310808672258784E-3</v>
      </c>
      <c r="L307" s="4">
        <f ca="1"/>
        <v>2.7213338142759946E-2</v>
      </c>
      <c r="M307" s="4">
        <f ca="1"/>
        <v>3.1657355679703958E-3</v>
      </c>
      <c r="N307" s="4">
        <f ca="1"/>
        <v>6.2441815580935867E-3</v>
      </c>
      <c r="O307" s="4">
        <f ca="1"/>
        <v>-7.6643807987092361E-3</v>
      </c>
      <c r="P307" s="4">
        <f ca="1"/>
        <v>9.7359076264609268E-3</v>
      </c>
    </row>
    <row r="308" spans="1:16" x14ac:dyDescent="0.25">
      <c r="A308" vm="4511">
        <f ca="1"/>
        <v>45373</v>
      </c>
      <c r="B308" s="4">
        <f ca="1"/>
        <v>-1.0256135844748826E-2</v>
      </c>
      <c r="C308" s="4">
        <f ca="1"/>
        <v>-4.1940048887173509E-3</v>
      </c>
      <c r="D308" s="4">
        <f ca="1"/>
        <v>3.3074251695053292E-4</v>
      </c>
      <c r="E308" s="4">
        <f ca="1"/>
        <v>8.4107622528513115E-3</v>
      </c>
      <c r="F308" s="4">
        <f ca="1"/>
        <v>-1.2356357345855162E-3</v>
      </c>
      <c r="G308" s="4">
        <f ca="1"/>
        <v>7.0224719101124045E-3</v>
      </c>
      <c r="H308" s="4">
        <f ca="1"/>
        <v>7.8164216565077549E-3</v>
      </c>
      <c r="I308" s="4">
        <f ca="1"/>
        <v>-1.3731185635067256E-2</v>
      </c>
      <c r="J308" s="4">
        <f ca="1"/>
        <v>-7.2306579898770762E-2</v>
      </c>
      <c r="K308" s="4">
        <f ca="1"/>
        <v>3.584370568772588E-3</v>
      </c>
      <c r="L308" s="4">
        <f ca="1"/>
        <v>-1.4826375341397968E-3</v>
      </c>
      <c r="M308" s="4">
        <f ca="1"/>
        <v>-4.1210321143494433E-3</v>
      </c>
      <c r="N308" s="4">
        <f ca="1"/>
        <v>6.1377380630021072E-3</v>
      </c>
      <c r="O308" s="4">
        <f ca="1"/>
        <v>2.1476964769647777E-2</v>
      </c>
      <c r="P308" s="4">
        <f ca="1"/>
        <v>-1.4672659943638644E-3</v>
      </c>
    </row>
    <row r="309" spans="1:16" x14ac:dyDescent="0.25">
      <c r="A309" vm="4523">
        <f ca="1"/>
        <v>45376</v>
      </c>
      <c r="B309" s="4">
        <f ca="1"/>
        <v>-7.8574131809908687E-3</v>
      </c>
      <c r="C309" s="4">
        <f ca="1"/>
        <v>7.4931528086419341E-4</v>
      </c>
      <c r="D309" s="4">
        <f ca="1"/>
        <v>-1.4878492312779823E-3</v>
      </c>
      <c r="E309" s="4">
        <f ca="1"/>
        <v>-3.6375545851528468E-2</v>
      </c>
      <c r="F309" s="4">
        <f ca="1"/>
        <v>-9.0931584807620869E-3</v>
      </c>
      <c r="G309" s="4">
        <f ca="1"/>
        <v>9.2050209205021272E-3</v>
      </c>
      <c r="H309" s="4">
        <f ca="1"/>
        <v>-2.2057777145296775E-3</v>
      </c>
      <c r="I309" s="4">
        <f ca="1"/>
        <v>-1.3654618473895486E-2</v>
      </c>
      <c r="J309" s="4">
        <f ca="1"/>
        <v>2.1044427123928289E-2</v>
      </c>
      <c r="K309" s="4">
        <f ca="1"/>
        <v>-1.2873346677656161E-2</v>
      </c>
      <c r="L309" s="4">
        <f ca="1"/>
        <v>-1.4848390121913191E-3</v>
      </c>
      <c r="M309" s="4">
        <f ca="1"/>
        <v>8.2016104980613402E-3</v>
      </c>
      <c r="N309" s="4">
        <f ca="1"/>
        <v>9.6438503633256012E-4</v>
      </c>
      <c r="O309" s="4">
        <f ca="1"/>
        <v>-4.6428334549314387E-3</v>
      </c>
      <c r="P309" s="4">
        <f ca="1"/>
        <v>-1.3714605588468487E-2</v>
      </c>
    </row>
    <row r="310" spans="1:16" x14ac:dyDescent="0.25">
      <c r="A310" vm="4534">
        <f ca="1"/>
        <v>45377</v>
      </c>
      <c r="B310" s="4">
        <f ca="1"/>
        <v>-2.4885110711496683E-3</v>
      </c>
      <c r="C310" s="4">
        <f ca="1"/>
        <v>3.0724742454364407E-3</v>
      </c>
      <c r="D310" s="4">
        <f ca="1"/>
        <v>2.3178807947019653E-3</v>
      </c>
      <c r="E310" s="4">
        <f ca="1"/>
        <v>3.8519055603389862E-3</v>
      </c>
      <c r="F310" s="4">
        <f ca="1"/>
        <v>2.2473312940882728E-3</v>
      </c>
      <c r="G310" s="4">
        <f ca="1"/>
        <v>5.2515201768932318E-3</v>
      </c>
      <c r="H310" s="4">
        <f ca="1"/>
        <v>-9.9122869571417471E-3</v>
      </c>
      <c r="I310" s="4">
        <f ca="1"/>
        <v>-1.9272529858849086E-2</v>
      </c>
      <c r="J310" s="4">
        <f ca="1"/>
        <v>-1.5076335877862612E-2</v>
      </c>
      <c r="K310" s="4">
        <f ca="1"/>
        <v>-1.417438670430593E-2</v>
      </c>
      <c r="L310" s="4">
        <f ca="1"/>
        <v>1.4244345307975248E-2</v>
      </c>
      <c r="M310" s="4">
        <f ca="1"/>
        <v>-4.2523295370506808E-3</v>
      </c>
      <c r="N310" s="4">
        <f ca="1"/>
        <v>-7.1699043265893714E-4</v>
      </c>
      <c r="O310" s="4">
        <f ca="1"/>
        <v>3.9981342040380508E-3</v>
      </c>
      <c r="P310" s="4">
        <f ca="1"/>
        <v>-2.8614671522491086E-3</v>
      </c>
    </row>
    <row r="311" spans="1:16" x14ac:dyDescent="0.25">
      <c r="A311" vm="4546">
        <f ca="1"/>
        <v>45378</v>
      </c>
      <c r="B311" s="4">
        <f ca="1"/>
        <v>1.6188360404982172E-2</v>
      </c>
      <c r="C311" s="4">
        <f ca="1"/>
        <v>3.0888030888021056E-4</v>
      </c>
      <c r="D311" s="4">
        <f ca="1"/>
        <v>8.0938222662703119E-3</v>
      </c>
      <c r="E311" s="4">
        <f ca="1"/>
        <v>1.8057060310581408E-2</v>
      </c>
      <c r="F311" s="4">
        <f ca="1"/>
        <v>1.2830893802553645E-2</v>
      </c>
      <c r="G311" s="4">
        <f ca="1"/>
        <v>4.3992301347264284E-3</v>
      </c>
      <c r="H311" s="4">
        <f ca="1"/>
        <v>-1.5485450878709339E-2</v>
      </c>
      <c r="I311" s="4">
        <f ca="1"/>
        <v>1.9651259341267657E-2</v>
      </c>
      <c r="J311" s="4">
        <f ca="1"/>
        <v>2.577019957372606E-2</v>
      </c>
      <c r="K311" s="4">
        <f ca="1"/>
        <v>-4.0936498013671718E-3</v>
      </c>
      <c r="L311" s="4">
        <f ca="1"/>
        <v>2.1992437688092004E-3</v>
      </c>
      <c r="M311" s="4">
        <f ca="1"/>
        <v>1.0212039065691236E-2</v>
      </c>
      <c r="N311" s="4">
        <f ca="1"/>
        <v>2.4193367564295132E-2</v>
      </c>
      <c r="O311" s="4">
        <f ca="1"/>
        <v>1.3274042609678904E-3</v>
      </c>
      <c r="P311" s="4">
        <f ca="1"/>
        <v>-5.21759753349893E-4</v>
      </c>
    </row>
    <row r="312" spans="1:16" x14ac:dyDescent="0.25">
      <c r="A312" vm="4557">
        <f ca="1"/>
        <v>45379</v>
      </c>
      <c r="B312" s="4">
        <f ca="1"/>
        <v>-4.0498163247020269E-3</v>
      </c>
      <c r="C312" s="4">
        <f ca="1"/>
        <v>8.3114610673666878E-3</v>
      </c>
      <c r="D312" s="4">
        <f ca="1"/>
        <v>2.4578076355890044E-3</v>
      </c>
      <c r="E312" s="4">
        <f ca="1"/>
        <v>-3.1039375665130597E-3</v>
      </c>
      <c r="F312" s="4">
        <f ca="1"/>
        <v>-2.2138859848718218E-3</v>
      </c>
      <c r="G312" s="4">
        <f ca="1"/>
        <v>1.0128661374212866E-2</v>
      </c>
      <c r="H312" s="4">
        <f ca="1"/>
        <v>-4.682127441656192E-3</v>
      </c>
      <c r="I312" s="4">
        <f ca="1"/>
        <v>6.2432138979369167E-3</v>
      </c>
      <c r="J312" s="4">
        <f ca="1"/>
        <v>7.933509633547553E-3</v>
      </c>
      <c r="K312" s="4">
        <f ca="1"/>
        <v>-1.6765885068642961E-2</v>
      </c>
      <c r="L312" s="4">
        <f ca="1"/>
        <v>1.9249278152067006E-4</v>
      </c>
      <c r="M312" s="4">
        <f ca="1"/>
        <v>-1.0292604028820929E-3</v>
      </c>
      <c r="N312" s="4">
        <f ca="1"/>
        <v>-4.1814440211918047E-3</v>
      </c>
      <c r="O312" s="4">
        <f ca="1"/>
        <v>3.9769337840533936E-4</v>
      </c>
      <c r="P312" s="4">
        <f ca="1"/>
        <v>-1.6847400517285838E-3</v>
      </c>
    </row>
    <row r="313" spans="1:16" x14ac:dyDescent="0.25">
      <c r="A313" vm="4572">
        <f ca="1"/>
        <v>45383</v>
      </c>
      <c r="B313" s="4">
        <f ca="1"/>
        <v>-8.6003706435883176E-3</v>
      </c>
      <c r="C313" s="4">
        <f ca="1"/>
        <v>5.257113691463644E-3</v>
      </c>
      <c r="D313" s="4">
        <f ca="1"/>
        <v>-8.1726054266100245E-3</v>
      </c>
      <c r="E313" s="4">
        <f ca="1"/>
        <v>-1.6857930789075715E-2</v>
      </c>
      <c r="F313" s="4">
        <f ca="1"/>
        <v>-1.0292758089368137E-2</v>
      </c>
      <c r="G313" s="4">
        <f ca="1"/>
        <v>4.3360433604338056E-3</v>
      </c>
      <c r="H313" s="4">
        <f ca="1"/>
        <v>3.9985299522234508E-2</v>
      </c>
      <c r="I313" s="4">
        <f ca="1"/>
        <v>-7.8230374966279381E-3</v>
      </c>
      <c r="J313" s="4">
        <f ca="1"/>
        <v>-7.8710644677661978E-3</v>
      </c>
      <c r="K313" s="4">
        <f ca="1"/>
        <v>1.188269698093003E-2</v>
      </c>
      <c r="L313" s="4">
        <f ca="1"/>
        <v>-2.0785219399538368E-3</v>
      </c>
      <c r="M313" s="4">
        <f ca="1"/>
        <v>-2.119517221077416E-2</v>
      </c>
      <c r="N313" s="4">
        <f ca="1"/>
        <v>-4.5727350671620481E-3</v>
      </c>
      <c r="O313" s="4">
        <f ca="1"/>
        <v>3.0212681375472172E-2</v>
      </c>
      <c r="P313" s="4">
        <f ca="1"/>
        <v>9.1509792736261808E-3</v>
      </c>
    </row>
    <row r="314" spans="1:16" x14ac:dyDescent="0.25">
      <c r="A314" vm="4584">
        <f ca="1"/>
        <v>45384</v>
      </c>
      <c r="B314" s="4">
        <f ca="1"/>
        <v>-6.4790112702127756E-3</v>
      </c>
      <c r="C314" s="4">
        <f ca="1"/>
        <v>-6.9051306135919921E-3</v>
      </c>
      <c r="D314" s="4">
        <f ca="1"/>
        <v>-8.7343441001977995E-3</v>
      </c>
      <c r="E314" s="4">
        <f ca="1"/>
        <v>-2.1535538162240409E-2</v>
      </c>
      <c r="F314" s="4">
        <f ca="1"/>
        <v>-6.2274255822725166E-5</v>
      </c>
      <c r="G314" s="4">
        <f ca="1"/>
        <v>8.9044792228818448E-3</v>
      </c>
      <c r="H314" s="4">
        <f ca="1"/>
        <v>-8.9758993568450629E-3</v>
      </c>
      <c r="I314" s="4">
        <f ca="1"/>
        <v>-7.3409461663949127E-3</v>
      </c>
      <c r="J314" s="4">
        <f ca="1"/>
        <v>-2.3044956554590046E-2</v>
      </c>
      <c r="K314" s="4">
        <f ca="1"/>
        <v>1.2251958888775727E-2</v>
      </c>
      <c r="L314" s="4">
        <f ca="1"/>
        <v>-1.2188536604180955E-2</v>
      </c>
      <c r="M314" s="4">
        <f ca="1"/>
        <v>5.3007518796992503E-3</v>
      </c>
      <c r="N314" s="4">
        <f ca="1"/>
        <v>9.9383820314047355E-4</v>
      </c>
      <c r="O314" s="4">
        <f ca="1"/>
        <v>-5.981092031641988E-3</v>
      </c>
      <c r="P314" s="4">
        <f ca="1"/>
        <v>-7.3721647784817934E-3</v>
      </c>
    </row>
    <row r="315" spans="1:16" x14ac:dyDescent="0.25">
      <c r="A315" vm="4598">
        <f ca="1"/>
        <v>45385</v>
      </c>
      <c r="B315" s="4">
        <f ca="1"/>
        <v>2.0330995177553657E-2</v>
      </c>
      <c r="C315" s="4">
        <f ca="1"/>
        <v>1.211687415322471E-2</v>
      </c>
      <c r="D315" s="4">
        <f ca="1"/>
        <v>-5.3200332502078007E-3</v>
      </c>
      <c r="E315" s="4">
        <f ca="1"/>
        <v>1.7570629305960761E-3</v>
      </c>
      <c r="F315" s="4">
        <f ca="1"/>
        <v>-2.7526935293018528E-2</v>
      </c>
      <c r="G315" s="4">
        <f ca="1"/>
        <v>-5.3490238031572712E-4</v>
      </c>
      <c r="H315" s="4">
        <f ca="1"/>
        <v>1.2694337469690398E-2</v>
      </c>
      <c r="I315" s="4">
        <f ca="1"/>
        <v>-2.4650780608052036E-3</v>
      </c>
      <c r="J315" s="4">
        <f ca="1"/>
        <v>5.8004640371229765E-3</v>
      </c>
      <c r="K315" s="4">
        <f ca="1"/>
        <v>1.8839093632506909E-2</v>
      </c>
      <c r="L315" s="4">
        <f ca="1"/>
        <v>2.4170245997657158E-2</v>
      </c>
      <c r="M315" s="4">
        <f ca="1"/>
        <v>-1.7202049287612375E-3</v>
      </c>
      <c r="N315" s="4">
        <f ca="1"/>
        <v>-1.1781837437119469E-2</v>
      </c>
      <c r="O315" s="4">
        <f ca="1"/>
        <v>2.3291925465838137E-3</v>
      </c>
      <c r="P315" s="4">
        <f ca="1"/>
        <v>-2.3490888382687869E-3</v>
      </c>
    </row>
    <row r="316" spans="1:16" x14ac:dyDescent="0.25">
      <c r="A316" vm="4613">
        <f ca="1"/>
        <v>45386</v>
      </c>
      <c r="B316" s="4">
        <f ca="1"/>
        <v>-5.227634853286145E-3</v>
      </c>
      <c r="C316" s="4">
        <f ca="1"/>
        <v>-1.3941858409314722E-2</v>
      </c>
      <c r="D316" s="4">
        <f ca="1"/>
        <v>-8.8584322246364477E-3</v>
      </c>
      <c r="E316" s="4">
        <f ca="1"/>
        <v>-1.5001153934918077E-2</v>
      </c>
      <c r="F316" s="4">
        <f ca="1"/>
        <v>-4.4828690361832235E-3</v>
      </c>
      <c r="G316" s="4">
        <f ca="1"/>
        <v>-3.21113192400313E-3</v>
      </c>
      <c r="H316" s="4">
        <f ca="1"/>
        <v>-1.6478873239436642E-2</v>
      </c>
      <c r="I316" s="4">
        <f ca="1"/>
        <v>-8.2372322899506578E-3</v>
      </c>
      <c r="J316" s="4">
        <f ca="1"/>
        <v>-7.6893502499053579E-4</v>
      </c>
      <c r="K316" s="4">
        <f ca="1"/>
        <v>8.2488060938548102E-3</v>
      </c>
      <c r="L316" s="4">
        <f ca="1"/>
        <v>-1.5250295474474762E-2</v>
      </c>
      <c r="M316" s="4">
        <f ca="1"/>
        <v>-9.8894924143096974E-3</v>
      </c>
      <c r="N316" s="4">
        <f ca="1"/>
        <v>1.3708417057378908E-2</v>
      </c>
      <c r="O316" s="4">
        <f ca="1"/>
        <v>-2.8337206300025786E-2</v>
      </c>
      <c r="P316" s="4">
        <f ca="1"/>
        <v>-6.1124985134973775E-3</v>
      </c>
    </row>
    <row r="317" spans="1:16" x14ac:dyDescent="0.25">
      <c r="A317" vm="4629">
        <f ca="1"/>
        <v>45387</v>
      </c>
      <c r="B317" s="4">
        <f ca="1"/>
        <v>1.9832628453162915E-2</v>
      </c>
      <c r="C317" s="4">
        <f ca="1"/>
        <v>2.2002510181603929E-2</v>
      </c>
      <c r="D317" s="4">
        <f ca="1"/>
        <v>3.5413153456997915E-3</v>
      </c>
      <c r="E317" s="4">
        <f ca="1"/>
        <v>3.7488284910947023E-4</v>
      </c>
      <c r="F317" s="4">
        <f ca="1"/>
        <v>4.181408813123122E-3</v>
      </c>
      <c r="G317" s="4">
        <f ca="1"/>
        <v>-5.1006711409394834E-3</v>
      </c>
      <c r="H317" s="4">
        <f ca="1"/>
        <v>1.2172418731204449E-2</v>
      </c>
      <c r="I317" s="4">
        <f ca="1"/>
        <v>4.983388704318914E-3</v>
      </c>
      <c r="J317" s="4">
        <f ca="1"/>
        <v>-5.3866871873796685E-3</v>
      </c>
      <c r="K317" s="4">
        <f ca="1"/>
        <v>3.2138103812729968E-2</v>
      </c>
      <c r="L317" s="4">
        <f ca="1"/>
        <v>1.9009640326764332E-2</v>
      </c>
      <c r="M317" s="4">
        <f ca="1"/>
        <v>4.9941356740190734E-3</v>
      </c>
      <c r="N317" s="4">
        <f ca="1"/>
        <v>2.9512818253898399E-3</v>
      </c>
      <c r="O317" s="4">
        <f ca="1"/>
        <v>1.3087092273965206E-2</v>
      </c>
      <c r="P317" s="4">
        <f ca="1"/>
        <v>1.8282760601129544E-2</v>
      </c>
    </row>
    <row r="318" spans="1:16" x14ac:dyDescent="0.25">
      <c r="A318" vm="4641">
        <f ca="1"/>
        <v>45390</v>
      </c>
      <c r="B318" s="4">
        <f ca="1"/>
        <v>-1.3058746713254799E-3</v>
      </c>
      <c r="C318" s="4">
        <f ca="1"/>
        <v>3.759398496240518E-3</v>
      </c>
      <c r="D318" s="4">
        <f ca="1"/>
        <v>-4.0329356410686579E-3</v>
      </c>
      <c r="E318" s="4">
        <f ca="1"/>
        <v>-3.8879520329772044E-3</v>
      </c>
      <c r="F318" s="4">
        <f ca="1"/>
        <v>-3.8436899423444082E-4</v>
      </c>
      <c r="G318" s="4">
        <f ca="1"/>
        <v>-2.6983270372382684E-4</v>
      </c>
      <c r="H318" s="4">
        <f ca="1"/>
        <v>1.0116015846066695E-2</v>
      </c>
      <c r="I318" s="4">
        <f ca="1"/>
        <v>-6.8870523415978102E-3</v>
      </c>
      <c r="J318" s="4">
        <f ca="1"/>
        <v>1.2765957446808418E-2</v>
      </c>
      <c r="K318" s="4">
        <f ca="1"/>
        <v>-1.5341146129631777E-2</v>
      </c>
      <c r="L318" s="4">
        <f ca="1"/>
        <v>-3.5714285714285587E-3</v>
      </c>
      <c r="M318" s="4">
        <f ca="1"/>
        <v>1.392914956894975E-3</v>
      </c>
      <c r="N318" s="4">
        <f ca="1"/>
        <v>-6.587904607141315E-3</v>
      </c>
      <c r="O318" s="4">
        <f ca="1"/>
        <v>1.5409836065573668E-2</v>
      </c>
      <c r="P318" s="4">
        <f ca="1"/>
        <v>-2.185561195713448E-3</v>
      </c>
    </row>
    <row r="319" spans="1:16" x14ac:dyDescent="0.25">
      <c r="A319" vm="4654">
        <f ca="1"/>
        <v>45391</v>
      </c>
      <c r="B319" s="4">
        <f ca="1"/>
        <v>-8.0928736769564358E-3</v>
      </c>
      <c r="C319" s="4">
        <f ca="1"/>
        <v>-2.0848938826466989E-2</v>
      </c>
      <c r="D319" s="4">
        <f ca="1"/>
        <v>7.5923738822338827E-3</v>
      </c>
      <c r="E319" s="4">
        <f ca="1"/>
        <v>9.7343051963318938E-3</v>
      </c>
      <c r="F319" s="4">
        <f ca="1"/>
        <v>3.9733401691874892E-3</v>
      </c>
      <c r="G319" s="4">
        <f ca="1"/>
        <v>2.9689608636978004E-3</v>
      </c>
      <c r="H319" s="4">
        <f ca="1"/>
        <v>1.8278590937740757E-2</v>
      </c>
      <c r="I319" s="4">
        <f ca="1"/>
        <v>-2.7739251040220791E-3</v>
      </c>
      <c r="J319" s="4">
        <f ca="1"/>
        <v>-2.2918258212375919E-2</v>
      </c>
      <c r="K319" s="4">
        <f ca="1"/>
        <v>-4.5257583052480399E-3</v>
      </c>
      <c r="L319" s="4">
        <f ca="1"/>
        <v>-2.2344238541905037E-2</v>
      </c>
      <c r="M319" s="4">
        <f ca="1"/>
        <v>-1.1390977443608952E-2</v>
      </c>
      <c r="N319" s="4">
        <f ca="1"/>
        <v>-1.0632653963482008E-2</v>
      </c>
      <c r="O319" s="4">
        <f ca="1"/>
        <v>1.1301259283177378E-2</v>
      </c>
      <c r="P319" s="4">
        <f ca="1"/>
        <v>3.9803104171083348E-3</v>
      </c>
    </row>
    <row r="320" spans="1:16" x14ac:dyDescent="0.25">
      <c r="A320" vm="4667">
        <f ca="1"/>
        <v>45392</v>
      </c>
      <c r="B320" s="4">
        <f ca="1"/>
        <v>-1.0652890353611832E-2</v>
      </c>
      <c r="C320" s="4">
        <f ca="1"/>
        <v>-2.358791278847383E-2</v>
      </c>
      <c r="D320" s="4">
        <f ca="1"/>
        <v>-1.339584728734089E-2</v>
      </c>
      <c r="E320" s="4">
        <f ca="1"/>
        <v>-2.5661326378539462E-2</v>
      </c>
      <c r="F320" s="4">
        <f ca="1"/>
        <v>3.7022852036256992E-3</v>
      </c>
      <c r="G320" s="4">
        <f ca="1"/>
        <v>-9.1496232508072595E-3</v>
      </c>
      <c r="H320" s="4">
        <f ca="1"/>
        <v>5.6396148555708514E-3</v>
      </c>
      <c r="I320" s="4">
        <f ca="1"/>
        <v>-1.5020862308762317E-2</v>
      </c>
      <c r="J320" s="4">
        <f ca="1"/>
        <v>7.8186082877262919E-4</v>
      </c>
      <c r="K320" s="4">
        <f ca="1"/>
        <v>5.6684078158253381E-3</v>
      </c>
      <c r="L320" s="4">
        <f ca="1"/>
        <v>-8.1903276131043423E-3</v>
      </c>
      <c r="M320" s="4">
        <f ca="1"/>
        <v>7.415294520287441E-3</v>
      </c>
      <c r="N320" s="4">
        <f ca="1"/>
        <v>9.2499497285341015E-3</v>
      </c>
      <c r="O320" s="4">
        <f ca="1"/>
        <v>-2.9374201787994991E-3</v>
      </c>
      <c r="P320" s="4">
        <f ca="1"/>
        <v>-7.0845453692408578E-3</v>
      </c>
    </row>
    <row r="321" spans="1:16" x14ac:dyDescent="0.25">
      <c r="A321" vm="4681">
        <f ca="1"/>
        <v>45393</v>
      </c>
      <c r="B321" s="4">
        <f ca="1"/>
        <v>7.5625258836442555E-4</v>
      </c>
      <c r="C321" s="4">
        <f ca="1"/>
        <v>-1.3737268216244436E-2</v>
      </c>
      <c r="D321" s="4">
        <f ca="1"/>
        <v>2.2063815342836524E-3</v>
      </c>
      <c r="E321" s="4">
        <f ca="1"/>
        <v>-1.4005066679413036E-2</v>
      </c>
      <c r="F321" s="4">
        <f ca="1"/>
        <v>-8.9035868735690693E-3</v>
      </c>
      <c r="G321" s="4">
        <f ca="1"/>
        <v>-6.5181966322651608E-3</v>
      </c>
      <c r="H321" s="4">
        <f ca="1"/>
        <v>6.7022295171659252E-3</v>
      </c>
      <c r="I321" s="4">
        <f ca="1"/>
        <v>5.6481219994353182E-4</v>
      </c>
      <c r="J321" s="4">
        <f ca="1"/>
        <v>-2.3437500000000888E-3</v>
      </c>
      <c r="K321" s="4">
        <f ca="1"/>
        <v>6.4059404035934353E-3</v>
      </c>
      <c r="L321" s="4">
        <f ca="1"/>
        <v>1.4549744396382236E-2</v>
      </c>
      <c r="M321" s="4">
        <f ca="1"/>
        <v>1.2909557602294841E-2</v>
      </c>
      <c r="N321" s="4">
        <f ca="1"/>
        <v>1.3504239445663035E-3</v>
      </c>
      <c r="O321" s="4">
        <f ca="1"/>
        <v>2.0942743691559018E-2</v>
      </c>
      <c r="P321" s="4">
        <f ca="1"/>
        <v>1.1033407361905168E-2</v>
      </c>
    </row>
    <row r="322" spans="1:16" x14ac:dyDescent="0.25">
      <c r="A322" vm="4694">
        <f ca="1"/>
        <v>45394</v>
      </c>
      <c r="B322" s="4">
        <f ca="1"/>
        <v>-9.8418467406752308E-3</v>
      </c>
      <c r="C322" s="4">
        <f ca="1"/>
        <v>-1.1916110581506212E-2</v>
      </c>
      <c r="D322" s="4">
        <f ca="1"/>
        <v>-1.3039796782387758E-2</v>
      </c>
      <c r="E322" s="4">
        <f ca="1"/>
        <v>-1.1052937754508441E-2</v>
      </c>
      <c r="F322" s="4">
        <f ca="1"/>
        <v>-3.2725872689938207E-3</v>
      </c>
      <c r="G322" s="4">
        <f ca="1"/>
        <v>-1.7495899398578429E-2</v>
      </c>
      <c r="H322" s="4">
        <f ca="1"/>
        <v>-3.1793478260869423E-2</v>
      </c>
      <c r="I322" s="4">
        <f ca="1"/>
        <v>-2.5402201524130641E-3</v>
      </c>
      <c r="J322" s="4">
        <f ca="1"/>
        <v>-1.057165231010182E-2</v>
      </c>
      <c r="K322" s="4">
        <f ca="1"/>
        <v>-2.1523052221117833E-2</v>
      </c>
      <c r="L322" s="4">
        <f ca="1"/>
        <v>-1.2829457364341046E-2</v>
      </c>
      <c r="M322" s="4">
        <f ca="1"/>
        <v>-2.2732354475665129E-2</v>
      </c>
      <c r="N322" s="4">
        <f ca="1"/>
        <v>-4.2447824548992319E-3</v>
      </c>
      <c r="O322" s="4">
        <f ca="1"/>
        <v>-1.0538862053823483E-2</v>
      </c>
      <c r="P322" s="4">
        <f ca="1"/>
        <v>-1.4091089664197476E-2</v>
      </c>
    </row>
    <row r="323" spans="1:16" x14ac:dyDescent="0.25">
      <c r="A323" vm="4708">
        <f ca="1"/>
        <v>45397</v>
      </c>
      <c r="B323" s="4">
        <f ca="1"/>
        <v>-1.2629015845326386E-2</v>
      </c>
      <c r="C323" s="4">
        <f ca="1"/>
        <v>-5.3599185292352303E-5</v>
      </c>
      <c r="D323" s="4">
        <f ca="1"/>
        <v>-2.4021962937542662E-3</v>
      </c>
      <c r="E323" s="4">
        <f ca="1"/>
        <v>-1.367647058823529E-2</v>
      </c>
      <c r="F323" s="4">
        <f ca="1"/>
        <v>7.7254876714083487E-4</v>
      </c>
      <c r="G323" s="4">
        <f ca="1"/>
        <v>1.0294936004451971E-2</v>
      </c>
      <c r="H323" s="4">
        <f ca="1"/>
        <v>-1.6699410609037457E-2</v>
      </c>
      <c r="I323" s="4">
        <f ca="1"/>
        <v>-5.659309564233217E-3</v>
      </c>
      <c r="J323" s="4">
        <f ca="1"/>
        <v>-3.6011080332409962E-2</v>
      </c>
      <c r="K323" s="4">
        <f ca="1"/>
        <v>-2.2797421371361537E-2</v>
      </c>
      <c r="L323" s="4">
        <f ca="1"/>
        <v>-2.2772782598453056E-2</v>
      </c>
      <c r="M323" s="4">
        <f ca="1"/>
        <v>-1.4185478950579755E-2</v>
      </c>
      <c r="N323" s="4">
        <f ca="1"/>
        <v>5.9502664298400898E-3</v>
      </c>
      <c r="O323" s="4">
        <f ca="1"/>
        <v>-1.8195650795663321E-2</v>
      </c>
      <c r="P323" s="4">
        <f ca="1"/>
        <v>-1.9578099075610367E-2</v>
      </c>
    </row>
    <row r="324" spans="1:16" x14ac:dyDescent="0.25">
      <c r="A324" vm="4721">
        <f ca="1"/>
        <v>45398</v>
      </c>
      <c r="B324" s="4">
        <f ca="1"/>
        <v>1.4170822827908047E-3</v>
      </c>
      <c r="C324" s="4">
        <f ca="1"/>
        <v>3.0017152658661228E-3</v>
      </c>
      <c r="D324" s="4">
        <f ca="1"/>
        <v>-1.3759889920880175E-3</v>
      </c>
      <c r="E324" s="4">
        <f ca="1"/>
        <v>-1.093385020625226E-2</v>
      </c>
      <c r="F324" s="4">
        <f ca="1"/>
        <v>3.2164683177871023E-3</v>
      </c>
      <c r="G324" s="4">
        <f ca="1"/>
        <v>7.7113742770587024E-3</v>
      </c>
      <c r="H324" s="4">
        <f ca="1"/>
        <v>-2.4261452832879948E-3</v>
      </c>
      <c r="I324" s="4">
        <f ca="1"/>
        <v>-8.5372794536140439E-3</v>
      </c>
      <c r="J324" s="4">
        <f ca="1"/>
        <v>-9.0311986863710336E-3</v>
      </c>
      <c r="K324" s="4">
        <f ca="1"/>
        <v>-9.3956779881254615E-4</v>
      </c>
      <c r="L324" s="4">
        <f ca="1"/>
        <v>-8.0356784121493607E-4</v>
      </c>
      <c r="M324" s="4">
        <f ca="1"/>
        <v>-2.8624477796689307E-3</v>
      </c>
      <c r="N324" s="4">
        <f ca="1"/>
        <v>2.7147523616137814E-3</v>
      </c>
      <c r="O324" s="4">
        <f ca="1"/>
        <v>-2.9704248999096183E-3</v>
      </c>
      <c r="P324" s="4">
        <f ca="1"/>
        <v>2.2725074944396351E-3</v>
      </c>
    </row>
    <row r="325" spans="1:16" x14ac:dyDescent="0.25">
      <c r="A325" vm="4735">
        <f ca="1"/>
        <v>45399</v>
      </c>
      <c r="B325" s="4">
        <f ca="1"/>
        <v>-6.5608115558495328E-3</v>
      </c>
      <c r="C325" s="4">
        <f ca="1"/>
        <v>-1.4429243266353198E-2</v>
      </c>
      <c r="D325" s="4">
        <f ca="1"/>
        <v>7.7506028246641101E-3</v>
      </c>
      <c r="E325" s="4">
        <f ca="1"/>
        <v>6.1805939400030319E-3</v>
      </c>
      <c r="F325" s="4">
        <f ca="1"/>
        <v>6.4764347547292545E-3</v>
      </c>
      <c r="G325" s="4">
        <f ca="1"/>
        <v>8.4722601803770559E-3</v>
      </c>
      <c r="H325" s="4">
        <f ca="1"/>
        <v>-5.5078683834048903E-3</v>
      </c>
      <c r="I325" s="4">
        <f ca="1"/>
        <v>-1.9517795637198798E-2</v>
      </c>
      <c r="J325" s="4">
        <f ca="1"/>
        <v>-3.4382767191383667E-2</v>
      </c>
      <c r="K325" s="4">
        <f ca="1"/>
        <v>-1.1185368977108978E-2</v>
      </c>
      <c r="L325" s="4">
        <f ca="1"/>
        <v>-1.0977522216414015E-2</v>
      </c>
      <c r="M325" s="4">
        <f ca="1"/>
        <v>-1.8232601443090024E-3</v>
      </c>
      <c r="N325" s="4">
        <f ca="1"/>
        <v>3.8299839316766615E-3</v>
      </c>
      <c r="O325" s="4">
        <f ca="1"/>
        <v>6.930051813471394E-3</v>
      </c>
      <c r="P325" s="4">
        <f ca="1"/>
        <v>-6.6090983646099888E-3</v>
      </c>
    </row>
    <row r="326" spans="1:16" x14ac:dyDescent="0.25">
      <c r="A326" vm="4747">
        <f ca="1"/>
        <v>45400</v>
      </c>
      <c r="B326" s="4">
        <f ca="1"/>
        <v>-4.5877499676267863E-3</v>
      </c>
      <c r="C326" s="4">
        <f ca="1"/>
        <v>-3.8770198460035266E-3</v>
      </c>
      <c r="D326" s="4">
        <f ca="1"/>
        <v>6.8364382156895775E-3</v>
      </c>
      <c r="E326" s="4">
        <f ca="1"/>
        <v>2.8465840990810065E-3</v>
      </c>
      <c r="F326" s="4">
        <f ca="1"/>
        <v>2.1024464831802536E-3</v>
      </c>
      <c r="G326" s="4">
        <f ca="1"/>
        <v>5.6910569105690367E-3</v>
      </c>
      <c r="H326" s="4">
        <f ca="1"/>
        <v>-4.862259943896996E-2</v>
      </c>
      <c r="I326" s="4">
        <f ca="1"/>
        <v>6.7330210772835741E-3</v>
      </c>
      <c r="J326" s="4">
        <f ca="1"/>
        <v>-9.867009867009835E-3</v>
      </c>
      <c r="K326" s="4">
        <f ca="1"/>
        <v>1.5440030758645751E-2</v>
      </c>
      <c r="L326" s="4">
        <f ca="1"/>
        <v>-1.1383964872336838E-3</v>
      </c>
      <c r="M326" s="4">
        <f ca="1"/>
        <v>5.3243169717460681E-3</v>
      </c>
      <c r="N326" s="4">
        <f ca="1"/>
        <v>8.7709680955949665E-5</v>
      </c>
      <c r="O326" s="4">
        <f ca="1"/>
        <v>3.4733389078278609E-3</v>
      </c>
      <c r="P326" s="4">
        <f ca="1"/>
        <v>-1.8380924630924667E-2</v>
      </c>
    </row>
    <row r="327" spans="1:16" x14ac:dyDescent="0.25">
      <c r="A327" vm="4759">
        <f ca="1"/>
        <v>45401</v>
      </c>
      <c r="B327" s="4">
        <f ca="1"/>
        <v>-6.392982586556295E-3</v>
      </c>
      <c r="C327" s="4">
        <f ca="1"/>
        <v>0</v>
      </c>
      <c r="D327" s="4">
        <f ca="1"/>
        <v>2.138855881853674E-2</v>
      </c>
      <c r="E327" s="4">
        <f ca="1"/>
        <v>-6.4737811861960148E-3</v>
      </c>
      <c r="F327" s="4">
        <f ca="1"/>
        <v>5.4040307711868962E-3</v>
      </c>
      <c r="G327" s="4">
        <f ca="1"/>
        <v>1.8054432767448114E-2</v>
      </c>
      <c r="H327" s="4">
        <f ca="1"/>
        <v>-3.4550540560973841E-2</v>
      </c>
      <c r="I327" s="4">
        <f ca="1"/>
        <v>-1.4539110206454042E-3</v>
      </c>
      <c r="J327" s="4">
        <f ca="1"/>
        <v>3.5528596187174966E-2</v>
      </c>
      <c r="K327" s="4">
        <f ca="1"/>
        <v>-4.1311279394181E-2</v>
      </c>
      <c r="L327" s="4">
        <f ca="1"/>
        <v>-9.8502116574405996E-3</v>
      </c>
      <c r="M327" s="4">
        <f ca="1"/>
        <v>7.8088758311427586E-3</v>
      </c>
      <c r="N327" s="4">
        <f ca="1"/>
        <v>1.7058036790984277E-2</v>
      </c>
      <c r="O327" s="4">
        <f ca="1"/>
        <v>-1.2306903403627945E-2</v>
      </c>
      <c r="P327" s="4">
        <f ca="1"/>
        <v>-1.2739011056966842E-2</v>
      </c>
    </row>
    <row r="328" spans="1:16" x14ac:dyDescent="0.25">
      <c r="A328" vm="4771">
        <f ca="1"/>
        <v>45404</v>
      </c>
      <c r="B328" s="4">
        <f ca="1"/>
        <v>9.482839240624763E-3</v>
      </c>
      <c r="C328" s="4">
        <f ca="1"/>
        <v>7.8386543643340634E-3</v>
      </c>
      <c r="D328" s="4">
        <f ca="1"/>
        <v>6.315439587834426E-3</v>
      </c>
      <c r="E328" s="4">
        <f ca="1"/>
        <v>6.9670693198335965E-3</v>
      </c>
      <c r="F328" s="4">
        <f ca="1"/>
        <v>1.5176425951688444E-2</v>
      </c>
      <c r="G328" s="4">
        <f ca="1"/>
        <v>9.7935415563790151E-3</v>
      </c>
      <c r="H328" s="4">
        <f ca="1"/>
        <v>1.6053249804228731E-2</v>
      </c>
      <c r="I328" s="4">
        <f ca="1"/>
        <v>8.1537565521256905E-3</v>
      </c>
      <c r="J328" s="4">
        <f ca="1"/>
        <v>-1.4644351464435101E-2</v>
      </c>
      <c r="K328" s="4">
        <f ca="1"/>
        <v>1.3719417132642686E-3</v>
      </c>
      <c r="L328" s="4">
        <f ca="1"/>
        <v>9.4549042177094478E-3</v>
      </c>
      <c r="M328" s="4">
        <f ca="1"/>
        <v>-3.6823935558112364E-3</v>
      </c>
      <c r="N328" s="4">
        <f ca="1"/>
        <v>-5.4756720632936906E-3</v>
      </c>
      <c r="O328" s="4">
        <f ca="1"/>
        <v>1.4212473229930467E-2</v>
      </c>
      <c r="P328" s="4">
        <f ca="1"/>
        <v>4.6101423130886499E-3</v>
      </c>
    </row>
    <row r="329" spans="1:16" x14ac:dyDescent="0.25">
      <c r="A329" vm="4785">
        <f ca="1"/>
        <v>45405</v>
      </c>
      <c r="B329" s="4">
        <f ca="1"/>
        <v>1.9788038242051442E-2</v>
      </c>
      <c r="C329" s="4">
        <f ca="1"/>
        <v>2.4413297685597746E-2</v>
      </c>
      <c r="D329" s="4">
        <f ca="1"/>
        <v>1.4863748967794965E-3</v>
      </c>
      <c r="E329" s="4">
        <f ca="1"/>
        <v>2.533598805375803E-2</v>
      </c>
      <c r="F329" s="4">
        <f ca="1"/>
        <v>5.9798181138657203E-3</v>
      </c>
      <c r="G329" s="4">
        <f ca="1"/>
        <v>-2.0969855832240203E-3</v>
      </c>
      <c r="H329" s="4">
        <f ca="1"/>
        <v>2.8362235067437513E-2</v>
      </c>
      <c r="I329" s="4">
        <f ca="1"/>
        <v>2.8885037550550052E-3</v>
      </c>
      <c r="J329" s="4">
        <f ca="1"/>
        <v>1.5286624203821653E-2</v>
      </c>
      <c r="K329" s="4">
        <f ca="1"/>
        <v>2.9829987752475473E-2</v>
      </c>
      <c r="L329" s="4">
        <f ca="1"/>
        <v>2.6022153445186547E-2</v>
      </c>
      <c r="M329" s="4">
        <f ca="1"/>
        <v>7.3920073920075158E-3</v>
      </c>
      <c r="N329" s="4">
        <f ca="1"/>
        <v>-2.7095571499794469E-3</v>
      </c>
      <c r="O329" s="4">
        <f ca="1"/>
        <v>1.2669567443050811E-2</v>
      </c>
      <c r="P329" s="4">
        <f ca="1"/>
        <v>1.6485434956105438E-2</v>
      </c>
    </row>
    <row r="330" spans="1:16" x14ac:dyDescent="0.25">
      <c r="A330" vm="4798">
        <f ca="1"/>
        <v>45406</v>
      </c>
      <c r="B330" s="4">
        <f ca="1"/>
        <v>-7.3582848837208115E-3</v>
      </c>
      <c r="C330" s="4">
        <f ca="1"/>
        <v>-1.0623994938444015E-2</v>
      </c>
      <c r="D330" s="4">
        <f ca="1"/>
        <v>1.5006596306068598E-2</v>
      </c>
      <c r="E330" s="4">
        <f ca="1"/>
        <v>-1.5486188649934451E-2</v>
      </c>
      <c r="F330" s="4">
        <f ca="1"/>
        <v>6.8111455108359475E-3</v>
      </c>
      <c r="G330" s="4">
        <f ca="1"/>
        <v>1.3133701076963433E-2</v>
      </c>
      <c r="H330" s="4">
        <f ca="1"/>
        <v>-3.4475005620925314E-3</v>
      </c>
      <c r="I330" s="4">
        <f ca="1"/>
        <v>-3.0241935483870885E-2</v>
      </c>
      <c r="J330" s="4">
        <f ca="1"/>
        <v>2.091175240485077E-3</v>
      </c>
      <c r="K330" s="4">
        <f ca="1"/>
        <v>-5.2408788550696306E-3</v>
      </c>
      <c r="L330" s="4">
        <f ca="1"/>
        <v>4.8819210160746529E-3</v>
      </c>
      <c r="M330" s="4">
        <f ca="1"/>
        <v>-4.203928762517295E-4</v>
      </c>
      <c r="N330" s="4">
        <f ca="1"/>
        <v>-2.0431229351417501E-3</v>
      </c>
      <c r="O330" s="4">
        <f ca="1"/>
        <v>5.4972829521040545E-3</v>
      </c>
      <c r="P330" s="4">
        <f ca="1"/>
        <v>3.6558137252495904E-3</v>
      </c>
    </row>
    <row r="331" spans="1:16" x14ac:dyDescent="0.25">
      <c r="A331" vm="4812">
        <f ca="1"/>
        <v>45407</v>
      </c>
      <c r="B331" s="4">
        <f ca="1"/>
        <v>5.5458954882401379E-3</v>
      </c>
      <c r="C331" s="4">
        <f ca="1"/>
        <v>1.7932320810018609E-2</v>
      </c>
      <c r="D331" s="4">
        <f ca="1"/>
        <v>3.0869212022746062E-3</v>
      </c>
      <c r="E331" s="4">
        <f ca="1"/>
        <v>-6.2130177514794216E-3</v>
      </c>
      <c r="F331" s="4">
        <f ca="1"/>
        <v>-3.0750307503069063E-4</v>
      </c>
      <c r="G331" s="4">
        <f ca="1"/>
        <v>-5.1853772361940553E-3</v>
      </c>
      <c r="H331" s="4">
        <f ca="1"/>
        <v>2.7148980973151993E-2</v>
      </c>
      <c r="I331" s="4">
        <f ca="1"/>
        <v>1.0692010692010756E-2</v>
      </c>
      <c r="J331" s="4">
        <f ca="1"/>
        <v>-2.3789649415692837E-2</v>
      </c>
      <c r="K331" s="4">
        <f ca="1"/>
        <v>-0.105612968591692</v>
      </c>
      <c r="L331" s="4">
        <f ca="1"/>
        <v>7.939015720040965E-3</v>
      </c>
      <c r="M331" s="4">
        <f ca="1"/>
        <v>6.117377174534866E-4</v>
      </c>
      <c r="N331" s="4">
        <f ca="1"/>
        <v>1.2283834995861831E-2</v>
      </c>
      <c r="O331" s="4">
        <f ca="1"/>
        <v>-1.966945264877773E-2</v>
      </c>
      <c r="P331" s="4">
        <f ca="1"/>
        <v>-2.4495184080574939E-2</v>
      </c>
    </row>
    <row r="332" spans="1:16" x14ac:dyDescent="0.25">
      <c r="A332" vm="4826">
        <f ca="1"/>
        <v>45408</v>
      </c>
      <c r="B332" s="4">
        <f ca="1"/>
        <v>7.7541956387199296E-3</v>
      </c>
      <c r="C332" s="4">
        <f ca="1"/>
        <v>4.8504044185011752E-2</v>
      </c>
      <c r="D332" s="4">
        <f ca="1"/>
        <v>0</v>
      </c>
      <c r="E332" s="4">
        <f ca="1"/>
        <v>1.1709834276074194E-2</v>
      </c>
      <c r="F332" s="4">
        <f ca="1"/>
        <v>-7.7514610888957947E-3</v>
      </c>
      <c r="G332" s="4">
        <f ca="1"/>
        <v>-5.4730258014074051E-3</v>
      </c>
      <c r="H332" s="4">
        <f ca="1"/>
        <v>1.2593351881680981E-2</v>
      </c>
      <c r="I332" s="4">
        <f ca="1"/>
        <v>-1.1754334410813971E-3</v>
      </c>
      <c r="J332" s="4">
        <f ca="1"/>
        <v>2.9927319367250904E-2</v>
      </c>
      <c r="K332" s="4">
        <f ca="1"/>
        <v>4.3273369885359347E-3</v>
      </c>
      <c r="L332" s="4">
        <f ca="1"/>
        <v>2.5353658058701489E-2</v>
      </c>
      <c r="M332" s="4">
        <f ca="1"/>
        <v>-6.3811088609527777E-3</v>
      </c>
      <c r="N332" s="4">
        <f ca="1"/>
        <v>-7.5089289556348193E-3</v>
      </c>
      <c r="O332" s="4">
        <f ca="1"/>
        <v>0.1022435897435896</v>
      </c>
      <c r="P332" s="4">
        <f ca="1"/>
        <v>1.8243785084202102E-2</v>
      </c>
    </row>
    <row r="333" spans="1:16" x14ac:dyDescent="0.25">
      <c r="A333" vm="4839">
        <f ca="1"/>
        <v>45411</v>
      </c>
      <c r="B333" s="4">
        <f ca="1"/>
        <v>1.4449822989670569E-3</v>
      </c>
      <c r="C333" s="4">
        <f ca="1"/>
        <v>-8.8875574196125573E-3</v>
      </c>
      <c r="D333" s="4">
        <f ca="1"/>
        <v>4.8590864917394949E-3</v>
      </c>
      <c r="E333" s="4">
        <f ca="1"/>
        <v>7.4546346248161033E-3</v>
      </c>
      <c r="F333" s="4">
        <f ca="1"/>
        <v>2.294004588009102E-3</v>
      </c>
      <c r="G333" s="4">
        <f ca="1"/>
        <v>1.2840670859538772E-2</v>
      </c>
      <c r="H333" s="4">
        <f ca="1"/>
        <v>1.446131597975242E-3</v>
      </c>
      <c r="I333" s="4">
        <f ca="1"/>
        <v>-1.1768167107972793E-3</v>
      </c>
      <c r="J333" s="4">
        <f ca="1"/>
        <v>1.9510170195101706E-2</v>
      </c>
      <c r="K333" s="4">
        <f ca="1"/>
        <v>-2.4070021881838155E-2</v>
      </c>
      <c r="L333" s="4">
        <f ca="1"/>
        <v>2.5987923259189749E-3</v>
      </c>
      <c r="M333" s="4">
        <f ca="1"/>
        <v>4.4223965543761512E-3</v>
      </c>
      <c r="N333" s="4">
        <f ca="1"/>
        <v>1.3570638860586515E-2</v>
      </c>
      <c r="O333" s="4">
        <f ca="1"/>
        <v>-3.3730735678976331E-2</v>
      </c>
      <c r="P333" s="4">
        <f ca="1"/>
        <v>-1.001673557786964E-2</v>
      </c>
    </row>
    <row r="334" spans="1:16" x14ac:dyDescent="0.25">
      <c r="A334" vm="4853">
        <f ca="1"/>
        <v>45412</v>
      </c>
      <c r="B334" s="4">
        <f ca="1"/>
        <v>-1.7188514537190835E-2</v>
      </c>
      <c r="C334" s="4">
        <f ca="1"/>
        <v>-2.2040302267002487E-2</v>
      </c>
      <c r="D334" s="4">
        <f ca="1"/>
        <v>-4.352030947775587E-3</v>
      </c>
      <c r="E334" s="4">
        <f ca="1"/>
        <v>-4.1865446402491457E-3</v>
      </c>
      <c r="F334" s="4">
        <f ca="1"/>
        <v>9.5261660274650328E-3</v>
      </c>
      <c r="G334" s="4">
        <f ca="1"/>
        <v>-1.0349288486416475E-3</v>
      </c>
      <c r="H334" s="4">
        <f ca="1"/>
        <v>-8.3754512635378919E-3</v>
      </c>
      <c r="I334" s="4">
        <f ca="1"/>
        <v>-2.1502209131075256E-2</v>
      </c>
      <c r="J334" s="4">
        <f ca="1"/>
        <v>3.9495114006514731E-2</v>
      </c>
      <c r="K334" s="4">
        <f ca="1"/>
        <v>-5.6631686006194393E-3</v>
      </c>
      <c r="L334" s="4">
        <f ca="1"/>
        <v>-1.4408782495997419E-2</v>
      </c>
      <c r="M334" s="4">
        <f ca="1"/>
        <v>-2.9595313756269337E-2</v>
      </c>
      <c r="N334" s="4">
        <f ca="1"/>
        <v>-5.6036787509357033E-3</v>
      </c>
      <c r="O334" s="4">
        <f ca="1"/>
        <v>-2.0282876918447212E-2</v>
      </c>
      <c r="P334" s="4">
        <f ca="1"/>
        <v>-3.2119328775637057E-2</v>
      </c>
    </row>
    <row r="335" spans="1:16" x14ac:dyDescent="0.25">
      <c r="A335" vm="4866">
        <f ca="1"/>
        <v>45413</v>
      </c>
      <c r="B335" s="4">
        <f ca="1"/>
        <v>-3.5785726083205072E-3</v>
      </c>
      <c r="C335" s="4">
        <f ca="1"/>
        <v>-7.9072762395363538E-3</v>
      </c>
      <c r="D335" s="4">
        <f ca="1"/>
        <v>2.590254168690187E-3</v>
      </c>
      <c r="E335" s="4">
        <f ca="1"/>
        <v>2.3464998044582241E-3</v>
      </c>
      <c r="F335" s="4">
        <f ca="1"/>
        <v>1.225490196078427E-3</v>
      </c>
      <c r="G335" s="4">
        <f ca="1"/>
        <v>-6.0347060347060277E-2</v>
      </c>
      <c r="H335" s="4">
        <f ca="1"/>
        <v>-1.747487986020102E-2</v>
      </c>
      <c r="I335" s="4">
        <f ca="1"/>
        <v>-6.0204695966270538E-4</v>
      </c>
      <c r="J335" s="4">
        <f ca="1"/>
        <v>1.4492753623188248E-2</v>
      </c>
      <c r="K335" s="4">
        <f ca="1"/>
        <v>2.0968454332008335E-2</v>
      </c>
      <c r="L335" s="4">
        <f ca="1"/>
        <v>-9.8623143564356974E-3</v>
      </c>
      <c r="M335" s="4">
        <f ca="1"/>
        <v>1.9332439043635574E-3</v>
      </c>
      <c r="N335" s="4">
        <f ca="1"/>
        <v>-6.8827565439958382E-3</v>
      </c>
      <c r="O335" s="4">
        <f ca="1"/>
        <v>6.6347217102837863E-3</v>
      </c>
      <c r="P335" s="4">
        <f ca="1"/>
        <v>1.4409369943235939E-2</v>
      </c>
    </row>
    <row r="336" spans="1:16" x14ac:dyDescent="0.25">
      <c r="A336" vm="4877">
        <f ca="1"/>
        <v>45414</v>
      </c>
      <c r="B336" s="4">
        <f ca="1"/>
        <v>-2.261676734934448E-2</v>
      </c>
      <c r="C336" s="4">
        <f ca="1"/>
        <v>2.5676307181058178E-2</v>
      </c>
      <c r="D336" s="4">
        <f ca="1"/>
        <v>9.688357823349758E-4</v>
      </c>
      <c r="E336" s="4">
        <f ca="1"/>
        <v>5.8525165821303737E-3</v>
      </c>
      <c r="F336" s="4">
        <f ca="1"/>
        <v>2.6927784577723823E-3</v>
      </c>
      <c r="G336" s="4">
        <f ca="1"/>
        <v>1.2127894156560126E-2</v>
      </c>
      <c r="H336" s="4">
        <f ca="1"/>
        <v>9.5598043574922631E-3</v>
      </c>
      <c r="I336" s="4">
        <f ca="1"/>
        <v>1.1144578313252884E-2</v>
      </c>
      <c r="J336" s="4">
        <f ca="1"/>
        <v>2.432432432432452E-2</v>
      </c>
      <c r="K336" s="4">
        <f ca="1"/>
        <v>5.6695279947176491E-3</v>
      </c>
      <c r="L336" s="4">
        <f ca="1"/>
        <v>-3.945158392250292E-3</v>
      </c>
      <c r="M336" s="4">
        <f ca="1"/>
        <v>5.1191179366028017E-4</v>
      </c>
      <c r="N336" s="4">
        <f ca="1"/>
        <v>3.183678773309051E-3</v>
      </c>
      <c r="O336" s="4">
        <f ca="1"/>
        <v>1.6843647015745145E-2</v>
      </c>
      <c r="P336" s="4">
        <f ca="1"/>
        <v>7.3428875272192329E-3</v>
      </c>
    </row>
    <row r="337" spans="1:16" x14ac:dyDescent="0.25">
      <c r="A337" vm="4892">
        <f ca="1"/>
        <v>45415</v>
      </c>
      <c r="B337" s="4">
        <f ca="1"/>
        <v>1.0364061204492403E-2</v>
      </c>
      <c r="C337" s="4">
        <f ca="1"/>
        <v>8.6060698104133415E-3</v>
      </c>
      <c r="D337" s="4">
        <f ca="1"/>
        <v>2.9036941442168729E-3</v>
      </c>
      <c r="E337" s="4">
        <f ca="1"/>
        <v>7.6609775019393922E-3</v>
      </c>
      <c r="F337" s="4">
        <f ca="1"/>
        <v>3.7841796875E-3</v>
      </c>
      <c r="G337" s="4">
        <f ca="1"/>
        <v>-1.0076252723311474E-2</v>
      </c>
      <c r="H337" s="4">
        <f ca="1"/>
        <v>3.9125009175658976E-2</v>
      </c>
      <c r="I337" s="4">
        <f ca="1"/>
        <v>8.3407804587429801E-3</v>
      </c>
      <c r="J337" s="4">
        <f ca="1"/>
        <v>-1.7338861666038485E-2</v>
      </c>
      <c r="K337" s="4">
        <f ca="1"/>
        <v>2.3274769063575285E-2</v>
      </c>
      <c r="L337" s="4">
        <f ca="1"/>
        <v>5.2156862745096344E-3</v>
      </c>
      <c r="M337" s="4">
        <f ca="1"/>
        <v>7.8715365239294677E-3</v>
      </c>
      <c r="N337" s="4">
        <f ca="1"/>
        <v>-2.7849740932641698E-3</v>
      </c>
      <c r="O337" s="4">
        <f ca="1"/>
        <v>3.7210418917297261E-3</v>
      </c>
      <c r="P337" s="4">
        <f ca="1"/>
        <v>2.2169716468932288E-2</v>
      </c>
    </row>
    <row r="338" spans="1:16" x14ac:dyDescent="0.25">
      <c r="A338" vm="4906">
        <f ca="1"/>
        <v>45418</v>
      </c>
      <c r="B338" s="4">
        <f ca="1"/>
        <v>2.724831213398482E-2</v>
      </c>
      <c r="C338" s="4">
        <f ca="1"/>
        <v>1.7567194519035212E-2</v>
      </c>
      <c r="D338" s="4">
        <f ca="1"/>
        <v>2.8952871159724225E-3</v>
      </c>
      <c r="E338" s="4">
        <f ca="1"/>
        <v>8.18015590414789E-3</v>
      </c>
      <c r="F338" s="4">
        <f ca="1"/>
        <v>-1.2161011796185672E-4</v>
      </c>
      <c r="G338" s="4">
        <f ca="1"/>
        <v>-1.67812929848693E-2</v>
      </c>
      <c r="H338" s="4">
        <f ca="1"/>
        <v>8.9714608646511707E-3</v>
      </c>
      <c r="I338" s="4">
        <f ca="1"/>
        <v>-5.0221565731167761E-3</v>
      </c>
      <c r="J338" s="4">
        <f ca="1"/>
        <v>-1.8028385116992673E-2</v>
      </c>
      <c r="K338" s="4">
        <f ca="1"/>
        <v>3.035666873174625E-2</v>
      </c>
      <c r="L338" s="4">
        <f ca="1"/>
        <v>5.1379081652557224E-2</v>
      </c>
      <c r="M338" s="4">
        <f ca="1"/>
        <v>4.8031865042175159E-3</v>
      </c>
      <c r="N338" s="4">
        <f ca="1"/>
        <v>1.8834837955443717E-3</v>
      </c>
      <c r="O338" s="4">
        <f ca="1"/>
        <v>5.1423104520449403E-3</v>
      </c>
      <c r="P338" s="4">
        <f ca="1"/>
        <v>1.6918310136231796E-2</v>
      </c>
    </row>
    <row r="339" spans="1:16" x14ac:dyDescent="0.25">
      <c r="A339" vm="4919">
        <f ca="1"/>
        <v>45419</v>
      </c>
      <c r="B339" s="4">
        <f ca="1"/>
        <v>-1.1075001361681158E-3</v>
      </c>
      <c r="C339" s="4">
        <f ca="1"/>
        <v>1.9730189656441688E-4</v>
      </c>
      <c r="D339" s="4">
        <f ca="1"/>
        <v>4.3303929430633659E-3</v>
      </c>
      <c r="E339" s="4">
        <f ca="1"/>
        <v>1.5988927071401315E-2</v>
      </c>
      <c r="F339" s="4">
        <f ca="1"/>
        <v>8.0272439795670003E-3</v>
      </c>
      <c r="G339" s="4">
        <f ca="1"/>
        <v>1.9585898153329229E-3</v>
      </c>
      <c r="H339" s="4">
        <f ca="1"/>
        <v>-1.2042288034726623E-2</v>
      </c>
      <c r="I339" s="4">
        <f ca="1"/>
        <v>8.3135391923991886E-3</v>
      </c>
      <c r="J339" s="4">
        <f ca="1"/>
        <v>9.765625E-3</v>
      </c>
      <c r="K339" s="4">
        <f ca="1"/>
        <v>5.4973372272806298E-3</v>
      </c>
      <c r="L339" s="4">
        <f ca="1"/>
        <v>-9.7217068645639726E-3</v>
      </c>
      <c r="M339" s="4">
        <f ca="1"/>
        <v>4.5859080486572168E-3</v>
      </c>
      <c r="N339" s="4">
        <f ca="1"/>
        <v>8.427330481006079E-3</v>
      </c>
      <c r="O339" s="4">
        <f ca="1"/>
        <v>1.87388459250446E-2</v>
      </c>
      <c r="P339" s="4">
        <f ca="1"/>
        <v>-1.015621221647256E-2</v>
      </c>
    </row>
    <row r="340" spans="1:16" x14ac:dyDescent="0.25">
      <c r="A340" vm="4933">
        <f ca="1"/>
        <v>45420</v>
      </c>
      <c r="B340" s="4">
        <f ca="1"/>
        <v>8.5971863753679933E-3</v>
      </c>
      <c r="C340" s="4">
        <f ca="1"/>
        <v>7.2494143755392759E-3</v>
      </c>
      <c r="D340" s="4">
        <f ca="1"/>
        <v>3.6729479399553178E-3</v>
      </c>
      <c r="E340" s="4">
        <f ca="1"/>
        <v>-1.3059613848827922E-2</v>
      </c>
      <c r="F340" s="4">
        <f ca="1"/>
        <v>-4.1626447876447203E-3</v>
      </c>
      <c r="G340" s="4">
        <f ca="1"/>
        <v>2.2340128455737851E-3</v>
      </c>
      <c r="H340" s="4">
        <f ca="1"/>
        <v>1.7645808234710403E-2</v>
      </c>
      <c r="I340" s="4">
        <f ca="1"/>
        <v>7.6560659599527181E-3</v>
      </c>
      <c r="J340" s="4">
        <f ca="1"/>
        <v>4.6421663442939298E-3</v>
      </c>
      <c r="K340" s="4">
        <f ca="1"/>
        <v>9.3114642063898412E-3</v>
      </c>
      <c r="L340" s="4">
        <f ca="1"/>
        <v>-7.1193045563547885E-3</v>
      </c>
      <c r="M340" s="4">
        <f ca="1"/>
        <v>-5.0292080931557681E-4</v>
      </c>
      <c r="N340" s="4">
        <f ca="1"/>
        <v>-1.114253878460536E-3</v>
      </c>
      <c r="O340" s="4">
        <f ca="1"/>
        <v>-1.0919708029197062E-2</v>
      </c>
      <c r="P340" s="4">
        <f ca="1"/>
        <v>2.9315483461183067E-3</v>
      </c>
    </row>
    <row r="341" spans="1:16" x14ac:dyDescent="0.25">
      <c r="A341" vm="4949">
        <f ca="1"/>
        <v>45421</v>
      </c>
      <c r="B341" s="4">
        <f ca="1"/>
        <v>1.0416103512281394E-2</v>
      </c>
      <c r="C341" s="4">
        <f ca="1"/>
        <v>2.2326127934588325E-2</v>
      </c>
      <c r="D341" s="4">
        <f ca="1"/>
        <v>4.7732696897373472E-4</v>
      </c>
      <c r="E341" s="4">
        <f ca="1"/>
        <v>7.5681850635441972E-2</v>
      </c>
      <c r="F341" s="4">
        <f ca="1"/>
        <v>5.8762949051918145E-3</v>
      </c>
      <c r="G341" s="4">
        <f ca="1"/>
        <v>-5.0153246029535081E-3</v>
      </c>
      <c r="H341" s="4">
        <f ca="1"/>
        <v>-5.6406685236769505E-3</v>
      </c>
      <c r="I341" s="4">
        <f ca="1"/>
        <v>8.1823495032145033E-3</v>
      </c>
      <c r="J341" s="4">
        <f ca="1"/>
        <v>7.3161340007701359E-3</v>
      </c>
      <c r="K341" s="4">
        <f ca="1"/>
        <v>5.9669911129920372E-3</v>
      </c>
      <c r="L341" s="4">
        <f ca="1"/>
        <v>1.9586383878028579E-2</v>
      </c>
      <c r="M341" s="4">
        <f ca="1"/>
        <v>9.0571295866233026E-3</v>
      </c>
      <c r="N341" s="4">
        <f ca="1"/>
        <v>4.7837652308220235E-3</v>
      </c>
      <c r="O341" s="4">
        <f ca="1"/>
        <v>3.4242531585784164E-3</v>
      </c>
      <c r="P341" s="4">
        <f ca="1"/>
        <v>4.3357529108003501E-3</v>
      </c>
    </row>
    <row r="342" spans="1:16" x14ac:dyDescent="0.25">
      <c r="A342" vm="4962">
        <f ca="1"/>
        <v>45422</v>
      </c>
      <c r="B342" s="4">
        <f ca="1"/>
        <v>7.847473648538994E-4</v>
      </c>
      <c r="C342" s="4">
        <f ca="1"/>
        <v>-2.346687100404754E-3</v>
      </c>
      <c r="D342" s="4">
        <f ca="1"/>
        <v>6.0432569974553374E-3</v>
      </c>
      <c r="E342" s="4">
        <f ca="1"/>
        <v>2.3629364131156239E-2</v>
      </c>
      <c r="F342" s="4">
        <f ca="1"/>
        <v>4.8783425680558601E-3</v>
      </c>
      <c r="G342" s="4">
        <f ca="1"/>
        <v>1.4841781013721578E-2</v>
      </c>
      <c r="H342" s="4">
        <f ca="1"/>
        <v>4.5311296309265447E-2</v>
      </c>
      <c r="I342" s="4">
        <f ca="1"/>
        <v>-3.4782608695651529E-3</v>
      </c>
      <c r="J342" s="4">
        <f ca="1"/>
        <v>3.6314984709480136E-2</v>
      </c>
      <c r="K342" s="4">
        <f ca="1"/>
        <v>1.6406545791090021E-3</v>
      </c>
      <c r="L342" s="4">
        <f ca="1"/>
        <v>4.848798904393492E-3</v>
      </c>
      <c r="M342" s="4">
        <f ca="1"/>
        <v>4.7947832757959663E-3</v>
      </c>
      <c r="N342" s="4">
        <f ca="1"/>
        <v>1.0461367663698873E-3</v>
      </c>
      <c r="O342" s="4">
        <f ca="1"/>
        <v>-7.7076959284537727E-3</v>
      </c>
      <c r="P342" s="4">
        <f ca="1"/>
        <v>5.8692277842453677E-3</v>
      </c>
    </row>
    <row r="343" spans="1:16" x14ac:dyDescent="0.25">
      <c r="A343" vm="4976">
        <f ca="1"/>
        <v>45425</v>
      </c>
      <c r="B343" s="4">
        <f ca="1"/>
        <v>-1.7999394079803333E-2</v>
      </c>
      <c r="C343" s="4">
        <f ca="1"/>
        <v>-4.6564097640592328E-3</v>
      </c>
      <c r="D343" s="4">
        <f ca="1"/>
        <v>5.0584887764779651E-3</v>
      </c>
      <c r="E343" s="4">
        <f ca="1"/>
        <v>5.3170794968226964E-3</v>
      </c>
      <c r="F343" s="4">
        <f ca="1"/>
        <v>-5.8735391069822951E-3</v>
      </c>
      <c r="G343" s="4">
        <f ca="1"/>
        <v>6.8984547461368173E-3</v>
      </c>
      <c r="H343" s="4">
        <f ca="1"/>
        <v>-1.9094198043682176E-2</v>
      </c>
      <c r="I343" s="4">
        <f ca="1"/>
        <v>4.0721349621872793E-3</v>
      </c>
      <c r="J343" s="4">
        <f ca="1"/>
        <v>-2.8033935817041611E-2</v>
      </c>
      <c r="K343" s="4">
        <f ca="1"/>
        <v>-1.7198656026879422E-2</v>
      </c>
      <c r="L343" s="4">
        <f ca="1"/>
        <v>-2.2285251215559243E-2</v>
      </c>
      <c r="M343" s="4">
        <f ca="1"/>
        <v>-1.2139721320862829E-2</v>
      </c>
      <c r="N343" s="4">
        <f ca="1"/>
        <v>3.5830063129158596E-3</v>
      </c>
      <c r="O343" s="4">
        <f ca="1"/>
        <v>2.9054254372959942E-3</v>
      </c>
      <c r="P343" s="4">
        <f ca="1"/>
        <v>-2.459372136760285E-3</v>
      </c>
    </row>
    <row r="344" spans="1:16" x14ac:dyDescent="0.25">
      <c r="A344" vm="4988">
        <f ca="1"/>
        <v>45426</v>
      </c>
      <c r="B344" s="4">
        <f ca="1"/>
        <v>-2.958096655354514E-3</v>
      </c>
      <c r="C344" s="4">
        <f ca="1"/>
        <v>1.0200390653259062E-2</v>
      </c>
      <c r="D344" s="4">
        <f ca="1"/>
        <v>-7.549543881723797E-3</v>
      </c>
      <c r="E344" s="4">
        <f ca="1"/>
        <v>1.4791881664946605E-2</v>
      </c>
      <c r="F344" s="4">
        <f ca="1"/>
        <v>-6.6316995237236664E-4</v>
      </c>
      <c r="G344" s="4">
        <f ca="1"/>
        <v>-8.2214305289121103E-3</v>
      </c>
      <c r="H344" s="4">
        <f ca="1"/>
        <v>3.7838945427224768E-2</v>
      </c>
      <c r="I344" s="4">
        <f ca="1"/>
        <v>-1.7091541135573651E-2</v>
      </c>
      <c r="J344" s="4">
        <f ca="1"/>
        <v>-1.4041745730550281E-2</v>
      </c>
      <c r="K344" s="4">
        <f ca="1"/>
        <v>8.2049528856220633E-3</v>
      </c>
      <c r="L344" s="4">
        <f ca="1"/>
        <v>-7.7986663150360069E-3</v>
      </c>
      <c r="M344" s="4">
        <f ca="1"/>
        <v>-1.8472002164083845E-2</v>
      </c>
      <c r="N344" s="4">
        <f ca="1"/>
        <v>-7.1829309758585369E-3</v>
      </c>
      <c r="O344" s="4">
        <f ca="1"/>
        <v>7.0947144377440097E-3</v>
      </c>
      <c r="P344" s="4">
        <f ca="1"/>
        <v>6.8645460698055771E-3</v>
      </c>
    </row>
    <row r="345" spans="1:16" x14ac:dyDescent="0.25">
      <c r="A345" vm="5003">
        <f ca="1"/>
        <v>45427</v>
      </c>
      <c r="B345" s="4">
        <f ca="1"/>
        <v>7.0440480524207594E-3</v>
      </c>
      <c r="C345" s="4">
        <f ca="1"/>
        <v>5.8006301919220071E-3</v>
      </c>
      <c r="D345" s="4">
        <f ca="1"/>
        <v>4.7543581616493746E-4</v>
      </c>
      <c r="E345" s="4">
        <f ca="1"/>
        <v>-2.2881355932202752E-3</v>
      </c>
      <c r="F345" s="4">
        <f ca="1"/>
        <v>4.5246138996140051E-3</v>
      </c>
      <c r="G345" s="4">
        <f ca="1"/>
        <v>-9.3948604586900908E-3</v>
      </c>
      <c r="H345" s="4">
        <f ca="1"/>
        <v>2.3889437314906337E-2</v>
      </c>
      <c r="I345" s="4">
        <f ca="1"/>
        <v>-2.6525198938991412E-3</v>
      </c>
      <c r="J345" s="4">
        <f ca="1"/>
        <v>1.6936104695919996E-2</v>
      </c>
      <c r="K345" s="4">
        <f ca="1"/>
        <v>2.0536187347674151E-2</v>
      </c>
      <c r="L345" s="4">
        <f ca="1"/>
        <v>2.8212332928311046E-2</v>
      </c>
      <c r="M345" s="4">
        <f ca="1"/>
        <v>-6.6931768967283256E-3</v>
      </c>
      <c r="N345" s="4">
        <f ca="1"/>
        <v>-6.635558029025268E-3</v>
      </c>
      <c r="O345" s="4">
        <f ca="1"/>
        <v>1.2739227427497779E-2</v>
      </c>
      <c r="P345" s="4">
        <f ca="1"/>
        <v>1.5652006913769778E-2</v>
      </c>
    </row>
    <row r="346" spans="1:16" x14ac:dyDescent="0.25">
      <c r="A346" vm="5016">
        <f ca="1"/>
        <v>45428</v>
      </c>
      <c r="B346" s="4">
        <f ca="1"/>
        <v>-2.4906465197823802E-2</v>
      </c>
      <c r="C346" s="4">
        <f ca="1"/>
        <v>-1.4951940192239221E-2</v>
      </c>
      <c r="D346" s="4">
        <f ca="1"/>
        <v>3.0096626009821215E-3</v>
      </c>
      <c r="E346" s="4">
        <f ca="1"/>
        <v>-2.0088337721906102E-2</v>
      </c>
      <c r="F346" s="4">
        <f ca="1"/>
        <v>8.1076211638941853E-3</v>
      </c>
      <c r="G346" s="4">
        <f ca="1"/>
        <v>6.1366806136680108E-3</v>
      </c>
      <c r="H346" s="4">
        <f ca="1"/>
        <v>-2.1532330633757701E-2</v>
      </c>
      <c r="I346" s="4">
        <f ca="1"/>
        <v>2.6595744680850686E-3</v>
      </c>
      <c r="J346" s="4">
        <f ca="1"/>
        <v>2.9523088569265665E-2</v>
      </c>
      <c r="K346" s="4">
        <f ca="1"/>
        <v>-1.7257133363791199E-2</v>
      </c>
      <c r="L346" s="4">
        <f ca="1"/>
        <v>-2.5739502935854475E-2</v>
      </c>
      <c r="M346" s="4">
        <f ca="1"/>
        <v>1.2287446985611794E-2</v>
      </c>
      <c r="N346" s="4">
        <f ca="1"/>
        <v>1.6161006722978932E-3</v>
      </c>
      <c r="O346" s="4">
        <f ca="1"/>
        <v>9.6805982261898293E-3</v>
      </c>
      <c r="P346" s="4">
        <f ca="1"/>
        <v>-4.9399640729884675E-3</v>
      </c>
    </row>
    <row r="347" spans="1:16" x14ac:dyDescent="0.25">
      <c r="A347" vm="5028">
        <f ca="1"/>
        <v>45429</v>
      </c>
      <c r="B347" s="4">
        <f ca="1"/>
        <v>1.0417245917440532E-2</v>
      </c>
      <c r="C347" s="4">
        <f ca="1"/>
        <v>6.2161185399349783E-3</v>
      </c>
      <c r="D347" s="4">
        <f ca="1"/>
        <v>-4.5799115603284424E-3</v>
      </c>
      <c r="E347" s="4">
        <f ca="1"/>
        <v>8.494777445499091E-3</v>
      </c>
      <c r="F347" s="4">
        <f ca="1"/>
        <v>-1.310615989515207E-3</v>
      </c>
      <c r="G347" s="4">
        <f ca="1"/>
        <v>-1.9406709176601478E-3</v>
      </c>
      <c r="H347" s="4">
        <f ca="1"/>
        <v>-3.6129540826379536E-3</v>
      </c>
      <c r="I347" s="4">
        <f ca="1"/>
        <v>-1.2083701738874075E-2</v>
      </c>
      <c r="J347" s="4">
        <f ca="1"/>
        <v>-8.4558823529411464E-3</v>
      </c>
      <c r="K347" s="4">
        <f ca="1"/>
        <v>-2.789341335080131E-3</v>
      </c>
      <c r="L347" s="4">
        <f ca="1"/>
        <v>2.1984686528693231E-3</v>
      </c>
      <c r="M347" s="4">
        <f ca="1"/>
        <v>1.5662320372777927E-4</v>
      </c>
      <c r="N347" s="4">
        <f ca="1"/>
        <v>2.9473140718112578E-3</v>
      </c>
      <c r="O347" s="4">
        <f ca="1"/>
        <v>1.0793432081754428E-2</v>
      </c>
      <c r="P347" s="4">
        <f ca="1"/>
        <v>-1.8527756003706708E-3</v>
      </c>
    </row>
    <row r="348" spans="1:16" x14ac:dyDescent="0.25">
      <c r="A348" vm="5042">
        <f ca="1"/>
        <v>45432</v>
      </c>
      <c r="B348" s="4">
        <f ca="1"/>
        <v>5.3016822292748511E-3</v>
      </c>
      <c r="C348" s="4">
        <f ca="1"/>
        <v>5.2438761583220028E-3</v>
      </c>
      <c r="D348" s="4">
        <f ca="1"/>
        <v>-7.2981120101539565E-3</v>
      </c>
      <c r="E348" s="4">
        <f ca="1"/>
        <v>2.5785379689713395E-4</v>
      </c>
      <c r="F348" s="4">
        <f ca="1"/>
        <v>-1.9685039370077595E-3</v>
      </c>
      <c r="G348" s="4">
        <f ca="1"/>
        <v>-6.1111111111110672E-3</v>
      </c>
      <c r="H348" s="4">
        <f ca="1"/>
        <v>1.232858649789037E-2</v>
      </c>
      <c r="I348" s="4">
        <f ca="1"/>
        <v>-3.2816229116947593E-3</v>
      </c>
      <c r="J348" s="4">
        <f ca="1"/>
        <v>-2.8921023359288034E-2</v>
      </c>
      <c r="K348" s="4">
        <f ca="1"/>
        <v>-6.5054777393995789E-3</v>
      </c>
      <c r="L348" s="4">
        <f ca="1"/>
        <v>1.2329803328290589E-2</v>
      </c>
      <c r="M348" s="4">
        <f ca="1"/>
        <v>-1.9065888893238903E-2</v>
      </c>
      <c r="N348" s="4">
        <f ca="1"/>
        <v>1.8876018876019529E-3</v>
      </c>
      <c r="O348" s="4">
        <f ca="1"/>
        <v>4.8846983982733239E-3</v>
      </c>
      <c r="P348" s="4">
        <f ca="1"/>
        <v>1.2208181623474035E-2</v>
      </c>
    </row>
    <row r="349" spans="1:16" x14ac:dyDescent="0.25">
      <c r="A349" vm="5058">
        <f ca="1"/>
        <v>45433</v>
      </c>
      <c r="B349" s="4">
        <f ca="1"/>
        <v>-2.0620437956204718E-3</v>
      </c>
      <c r="C349" s="4">
        <f ca="1"/>
        <v>1.6626173121814247E-2</v>
      </c>
      <c r="D349" s="4">
        <f ca="1"/>
        <v>5.4339140163017774E-3</v>
      </c>
      <c r="E349" s="4">
        <f ca="1"/>
        <v>-9.2373791621912504E-3</v>
      </c>
      <c r="F349" s="4">
        <f ca="1"/>
        <v>6.2160062160061536E-3</v>
      </c>
      <c r="G349" s="4">
        <f ca="1"/>
        <v>3.9128004471771227E-3</v>
      </c>
      <c r="H349" s="4">
        <f ca="1"/>
        <v>7.8150439596202936E-4</v>
      </c>
      <c r="I349" s="4">
        <f ca="1"/>
        <v>-1.0176593834181236E-2</v>
      </c>
      <c r="J349" s="4">
        <f ca="1"/>
        <v>1.7563955708285395E-2</v>
      </c>
      <c r="K349" s="4">
        <f ca="1"/>
        <v>-8.9796092483576118E-3</v>
      </c>
      <c r="L349" s="4">
        <f ca="1"/>
        <v>1.6401404767242056E-2</v>
      </c>
      <c r="M349" s="4">
        <f ca="1"/>
        <v>1.6762452107279557E-3</v>
      </c>
      <c r="N349" s="4">
        <f ca="1"/>
        <v>2.6333818617796378E-3</v>
      </c>
      <c r="O349" s="4">
        <f ca="1"/>
        <v>5.2566131584896869E-3</v>
      </c>
      <c r="P349" s="4">
        <f ca="1"/>
        <v>8.6989232143697137E-3</v>
      </c>
    </row>
    <row r="350" spans="1:16" x14ac:dyDescent="0.25">
      <c r="A350" vm="5073">
        <f ca="1"/>
        <v>45434</v>
      </c>
      <c r="B350" s="4">
        <f ca="1"/>
        <v>-1.4628705176732426E-3</v>
      </c>
      <c r="C350" s="4">
        <f ca="1"/>
        <v>-7.6850984067479144E-3</v>
      </c>
      <c r="D350" s="4">
        <f ca="1"/>
        <v>1.4306151645206988E-3</v>
      </c>
      <c r="E350" s="4">
        <f ca="1"/>
        <v>0</v>
      </c>
      <c r="F350" s="4">
        <f ca="1"/>
        <v>-3.2076032076031602E-3</v>
      </c>
      <c r="G350" s="4">
        <f ca="1"/>
        <v>1.2806236080178168E-2</v>
      </c>
      <c r="H350" s="4">
        <f ca="1"/>
        <v>1.6138478557949032E-2</v>
      </c>
      <c r="I350" s="4">
        <f ca="1"/>
        <v>2.8424553976413636E-2</v>
      </c>
      <c r="J350" s="4">
        <f ca="1"/>
        <v>-9.0056285178236051E-3</v>
      </c>
      <c r="K350" s="4">
        <f ca="1"/>
        <v>6.7795880593159996E-3</v>
      </c>
      <c r="L350" s="4">
        <f ca="1"/>
        <v>-3.4920051461128088E-3</v>
      </c>
      <c r="M350" s="4">
        <f ca="1"/>
        <v>-8.1281377002151434E-3</v>
      </c>
      <c r="N350" s="4">
        <f ca="1"/>
        <v>2.9894727851209613E-3</v>
      </c>
      <c r="O350" s="4">
        <f ca="1"/>
        <v>-8.2653921844251244E-3</v>
      </c>
      <c r="P350" s="4">
        <f ca="1"/>
        <v>3.4495618124184002E-3</v>
      </c>
    </row>
    <row r="351" spans="1:16" x14ac:dyDescent="0.25">
      <c r="A351" vm="5086">
        <f ca="1"/>
        <v>45435</v>
      </c>
      <c r="B351" s="4">
        <f ca="1"/>
        <v>-3.5709707546651481E-2</v>
      </c>
      <c r="C351" s="4">
        <f ca="1"/>
        <v>-7.5557234605216905E-4</v>
      </c>
      <c r="D351" s="4">
        <f ca="1"/>
        <v>-1.4444444444444371E-2</v>
      </c>
      <c r="E351" s="4">
        <f ca="1"/>
        <v>-1.6435385949696402E-2</v>
      </c>
      <c r="F351" s="4">
        <f ca="1"/>
        <v>-1.3825159406471554E-2</v>
      </c>
      <c r="G351" s="4">
        <f ca="1"/>
        <v>-1.5942825728422316E-2</v>
      </c>
      <c r="H351" s="4">
        <f ca="1"/>
        <v>6.0198527057315765E-3</v>
      </c>
      <c r="I351" s="4">
        <f ca="1"/>
        <v>-1.4995589532490361E-2</v>
      </c>
      <c r="J351" s="4">
        <f ca="1"/>
        <v>-1.8932222642938257E-2</v>
      </c>
      <c r="K351" s="4">
        <f ca="1"/>
        <v>-4.2755141305742539E-3</v>
      </c>
      <c r="L351" s="4">
        <f ca="1"/>
        <v>2.0103282921431154E-2</v>
      </c>
      <c r="M351" s="4">
        <f ca="1"/>
        <v>-1.5345063067405795E-2</v>
      </c>
      <c r="N351" s="4">
        <f ca="1"/>
        <v>-5.599199506078234E-3</v>
      </c>
      <c r="O351" s="4">
        <f ca="1"/>
        <v>-1.6044903050232318E-2</v>
      </c>
      <c r="P351" s="4">
        <f ca="1"/>
        <v>-8.1761590634581438E-3</v>
      </c>
    </row>
    <row r="352" spans="1:16" x14ac:dyDescent="0.25">
      <c r="A352" vm="5097">
        <f ca="1"/>
        <v>45436</v>
      </c>
      <c r="B352" s="4">
        <f ca="1"/>
        <v>6.1910097422943622E-3</v>
      </c>
      <c r="C352" s="4">
        <f ca="1"/>
        <v>1.1153119092627728E-2</v>
      </c>
      <c r="D352" s="4">
        <f ca="1"/>
        <v>-1.4495087775809878E-3</v>
      </c>
      <c r="E352" s="4">
        <f ca="1"/>
        <v>1.0405184956571611E-2</v>
      </c>
      <c r="F352" s="4">
        <f ca="1"/>
        <v>-9.6682579007789649E-4</v>
      </c>
      <c r="G352" s="4">
        <f ca="1"/>
        <v>1.3966480446927498E-3</v>
      </c>
      <c r="H352" s="4">
        <f ca="1"/>
        <v>1.8524412757018327E-2</v>
      </c>
      <c r="I352" s="4">
        <f ca="1"/>
        <v>8.3582089552238781E-3</v>
      </c>
      <c r="J352" s="4">
        <f ca="1"/>
        <v>4.245465071401E-3</v>
      </c>
      <c r="K352" s="4">
        <f ca="1"/>
        <v>2.6707887844046763E-2</v>
      </c>
      <c r="L352" s="4">
        <f ca="1"/>
        <v>2.4877960585789172E-2</v>
      </c>
      <c r="M352" s="4">
        <f ca="1"/>
        <v>1.3829960835509025E-2</v>
      </c>
      <c r="N352" s="4">
        <f ca="1"/>
        <v>5.7805943307354113E-4</v>
      </c>
      <c r="O352" s="4">
        <f ca="1"/>
        <v>8.2973206568712765E-3</v>
      </c>
      <c r="P352" s="4">
        <f ca="1"/>
        <v>7.4004683840749319E-3</v>
      </c>
    </row>
    <row r="353" spans="1:16" x14ac:dyDescent="0.25">
      <c r="A353" vm="5111">
        <f ca="1"/>
        <v>45440</v>
      </c>
      <c r="B353" s="4">
        <f ca="1"/>
        <v>-6.2095389087066799E-3</v>
      </c>
      <c r="C353" s="4">
        <f ca="1"/>
        <v>-1.5189755094410118E-2</v>
      </c>
      <c r="D353" s="4">
        <f ca="1"/>
        <v>-2.903225806451637E-3</v>
      </c>
      <c r="E353" s="4">
        <f ca="1"/>
        <v>-2.5221451324344391E-2</v>
      </c>
      <c r="F353" s="4">
        <f ca="1"/>
        <v>-1.3427690074396703E-2</v>
      </c>
      <c r="G353" s="4">
        <f ca="1"/>
        <v>-2.2315202231520392E-2</v>
      </c>
      <c r="H353" s="4">
        <f ca="1"/>
        <v>-3.6875000000000657E-3</v>
      </c>
      <c r="I353" s="4">
        <f ca="1"/>
        <v>-8.8809946714033527E-3</v>
      </c>
      <c r="J353" s="4">
        <f ca="1"/>
        <v>2.305918524212025E-3</v>
      </c>
      <c r="K353" s="4">
        <f ca="1"/>
        <v>3.554849232570767E-3</v>
      </c>
      <c r="L353" s="4">
        <f ca="1"/>
        <v>-1.3371908407719846E-2</v>
      </c>
      <c r="M353" s="4">
        <f ca="1"/>
        <v>-1.2152428473703236E-2</v>
      </c>
      <c r="N353" s="4">
        <f ca="1"/>
        <v>-1.8979351663635402E-2</v>
      </c>
      <c r="O353" s="4">
        <f ca="1"/>
        <v>8.057603291616644E-3</v>
      </c>
      <c r="P353" s="4">
        <f ca="1"/>
        <v>3.7195462153616354E-4</v>
      </c>
    </row>
    <row r="354" spans="1:16" x14ac:dyDescent="0.25">
      <c r="A354" vm="5124">
        <f ca="1"/>
        <v>45441</v>
      </c>
      <c r="B354" s="4">
        <f ca="1"/>
        <v>-6.3622896646027272E-3</v>
      </c>
      <c r="C354" s="4">
        <f ca="1"/>
        <v>-1.6325755778083595E-2</v>
      </c>
      <c r="D354" s="4">
        <f ca="1"/>
        <v>-1.9411193788417824E-3</v>
      </c>
      <c r="E354" s="4">
        <f ca="1"/>
        <v>1.3429428354005957E-4</v>
      </c>
      <c r="F354" s="4">
        <f ca="1"/>
        <v>-8.9510146526884382E-3</v>
      </c>
      <c r="G354" s="4">
        <f ca="1"/>
        <v>-1.1126961483594933E-2</v>
      </c>
      <c r="H354" s="4">
        <f ca="1"/>
        <v>-3.180478012671728E-2</v>
      </c>
      <c r="I354" s="4">
        <f ca="1"/>
        <v>-7.1684587813618528E-3</v>
      </c>
      <c r="J354" s="4">
        <f ca="1"/>
        <v>-2.0705521472392574E-2</v>
      </c>
      <c r="K354" s="4">
        <f ca="1"/>
        <v>-1.1585264210701829E-2</v>
      </c>
      <c r="L354" s="4">
        <f ca="1"/>
        <v>-5.9719639536545133E-3</v>
      </c>
      <c r="M354" s="4">
        <f ca="1"/>
        <v>-6.1916982361807094E-3</v>
      </c>
      <c r="N354" s="4">
        <f ca="1"/>
        <v>-1.256325248647705E-2</v>
      </c>
      <c r="O354" s="4">
        <f ca="1"/>
        <v>-2.8344671201814275E-3</v>
      </c>
      <c r="P354" s="4">
        <f ca="1"/>
        <v>-2.6724298196689755E-3</v>
      </c>
    </row>
    <row r="355" spans="1:16" x14ac:dyDescent="0.25">
      <c r="A355" vm="5135">
        <f ca="1"/>
        <v>45442</v>
      </c>
      <c r="B355" s="4">
        <f ca="1"/>
        <v>2.4274164261548492E-3</v>
      </c>
      <c r="C355" s="4">
        <f ca="1"/>
        <v>6.3443817243209466E-3</v>
      </c>
      <c r="D355" s="4">
        <f ca="1"/>
        <v>4.3760129659642377E-3</v>
      </c>
      <c r="E355" s="4">
        <f ca="1"/>
        <v>-8.9517500671376649E-4</v>
      </c>
      <c r="F355" s="4">
        <f ca="1"/>
        <v>5.7531704299411679E-3</v>
      </c>
      <c r="G355" s="4">
        <f ca="1"/>
        <v>-2.8851702250431988E-4</v>
      </c>
      <c r="H355" s="4">
        <f ca="1"/>
        <v>-8.9412984320331734E-3</v>
      </c>
      <c r="I355" s="4">
        <f ca="1"/>
        <v>1.8050541516243523E-3</v>
      </c>
      <c r="J355" s="4">
        <f ca="1"/>
        <v>1.8402505873140296E-2</v>
      </c>
      <c r="K355" s="4">
        <f ca="1"/>
        <v>-1.5410236950838985E-2</v>
      </c>
      <c r="L355" s="4">
        <f ca="1"/>
        <v>6.4395438356656953E-3</v>
      </c>
      <c r="M355" s="4">
        <f ca="1"/>
        <v>1.0739025289994597E-2</v>
      </c>
      <c r="N355" s="4">
        <f ca="1"/>
        <v>1.8156918183424464E-2</v>
      </c>
      <c r="O355" s="4">
        <f ca="1"/>
        <v>-2.1546333143831697E-2</v>
      </c>
      <c r="P355" s="4">
        <f ca="1"/>
        <v>-3.3786145350327423E-2</v>
      </c>
    </row>
    <row r="356" spans="1:16" x14ac:dyDescent="0.25">
      <c r="A356" vm="5148">
        <f ca="1"/>
        <v>45443</v>
      </c>
      <c r="B356" s="4">
        <f ca="1"/>
        <v>1.34614651260343E-2</v>
      </c>
      <c r="C356" s="4">
        <f ca="1"/>
        <v>2.684756813768896E-3</v>
      </c>
      <c r="D356" s="4">
        <f ca="1"/>
        <v>1.5491366790382433E-2</v>
      </c>
      <c r="E356" s="4">
        <f ca="1"/>
        <v>-1.5231610070782775E-3</v>
      </c>
      <c r="F356" s="4">
        <f ca="1"/>
        <v>1.2055603395251469E-2</v>
      </c>
      <c r="G356" s="4">
        <f ca="1"/>
        <v>2.0779220779220786E-2</v>
      </c>
      <c r="H356" s="4">
        <f ca="1"/>
        <v>-1.2552301255230214E-2</v>
      </c>
      <c r="I356" s="4">
        <f ca="1"/>
        <v>1.3513513513513598E-2</v>
      </c>
      <c r="J356" s="4">
        <f ca="1"/>
        <v>5.3825451749325293E-3</v>
      </c>
      <c r="K356" s="4">
        <f ca="1"/>
        <v>-4.7104164436362339E-4</v>
      </c>
      <c r="L356" s="4">
        <f ca="1"/>
        <v>-1.3654561052330538E-2</v>
      </c>
      <c r="M356" s="4">
        <f ca="1"/>
        <v>1.4761344742284743E-2</v>
      </c>
      <c r="N356" s="4">
        <f ca="1"/>
        <v>2.0393109732286252E-2</v>
      </c>
      <c r="O356" s="4">
        <f ca="1"/>
        <v>2.265992679100437E-3</v>
      </c>
      <c r="P356" s="4">
        <f ca="1"/>
        <v>1.1093158415125259E-3</v>
      </c>
    </row>
    <row r="357" spans="1:16" x14ac:dyDescent="0.25">
      <c r="A357" vm="5163">
        <f ca="1"/>
        <v>45446</v>
      </c>
      <c r="B357" s="4">
        <f ca="1"/>
        <v>-3.4692956050571877E-2</v>
      </c>
      <c r="C357" s="4">
        <f ca="1"/>
        <v>-3.1007195964522283E-2</v>
      </c>
      <c r="D357" s="4">
        <f ca="1"/>
        <v>0</v>
      </c>
      <c r="E357" s="4">
        <f ca="1"/>
        <v>2.463208901651126E-2</v>
      </c>
      <c r="F357" s="4">
        <f ca="1"/>
        <v>6.6853044852321908E-4</v>
      </c>
      <c r="G357" s="4">
        <f ca="1"/>
        <v>-7.6335877862594437E-3</v>
      </c>
      <c r="H357" s="4">
        <f ca="1"/>
        <v>2.5887182203389703E-2</v>
      </c>
      <c r="I357" s="4">
        <f ca="1"/>
        <v>-1.6888888888888842E-2</v>
      </c>
      <c r="J357" s="4">
        <f ca="1"/>
        <v>-2.6386233269598436E-2</v>
      </c>
      <c r="K357" s="4">
        <f ca="1"/>
        <v>2.2834864940128208E-2</v>
      </c>
      <c r="L357" s="4">
        <f ca="1"/>
        <v>-1.4387185620062248E-2</v>
      </c>
      <c r="M357" s="4">
        <f ca="1"/>
        <v>3.5966910442386535E-4</v>
      </c>
      <c r="N357" s="4">
        <f ca="1"/>
        <v>-5.8255729897519481E-3</v>
      </c>
      <c r="O357" s="4">
        <f ca="1"/>
        <v>3.8840579710144318E-3</v>
      </c>
      <c r="P357" s="4">
        <f ca="1"/>
        <v>-3.8783031821357783E-3</v>
      </c>
    </row>
    <row r="358" spans="1:16" x14ac:dyDescent="0.25">
      <c r="A358" vm="5177">
        <f ca="1"/>
        <v>45447</v>
      </c>
      <c r="B358" s="4">
        <f ca="1"/>
        <v>-1.2278786933811459E-3</v>
      </c>
      <c r="C358" s="4">
        <f ca="1"/>
        <v>-6.4887002861936383E-3</v>
      </c>
      <c r="D358" s="4">
        <f ca="1"/>
        <v>1.6049578897187278E-2</v>
      </c>
      <c r="E358" s="4">
        <f ca="1"/>
        <v>5.6925165301913161E-4</v>
      </c>
      <c r="F358" s="4">
        <f ca="1"/>
        <v>1.4333434558153613E-2</v>
      </c>
      <c r="G358" s="4">
        <f ca="1"/>
        <v>1.5099715099715194E-2</v>
      </c>
      <c r="H358" s="4">
        <f ca="1"/>
        <v>-1.6005162955792129E-2</v>
      </c>
      <c r="I358" s="4">
        <f ca="1"/>
        <v>-1.2356841470765434E-2</v>
      </c>
      <c r="J358" s="4">
        <f ca="1"/>
        <v>-2.120974076983495E-2</v>
      </c>
      <c r="K358" s="4">
        <f ca="1"/>
        <v>-1.0471423485308717E-3</v>
      </c>
      <c r="L358" s="4">
        <f ca="1"/>
        <v>-7.1699084457845785E-3</v>
      </c>
      <c r="M358" s="4">
        <f ca="1"/>
        <v>7.989773090444352E-5</v>
      </c>
      <c r="N358" s="4">
        <f ca="1"/>
        <v>2.758768177929749E-3</v>
      </c>
      <c r="O358" s="4">
        <f ca="1"/>
        <v>3.5802968181555261E-3</v>
      </c>
      <c r="P358" s="4">
        <f ca="1"/>
        <v>6.1665699361579396E-3</v>
      </c>
    </row>
    <row r="359" spans="1:16" x14ac:dyDescent="0.25">
      <c r="A359" vm="5190">
        <f ca="1"/>
        <v>45448</v>
      </c>
      <c r="B359" s="4">
        <f ca="1"/>
        <v>2.0977656356717667E-2</v>
      </c>
      <c r="C359" s="4">
        <f ca="1"/>
        <v>1.1249348133800297E-2</v>
      </c>
      <c r="D359" s="4">
        <f ca="1"/>
        <v>-3.1279324366584316E-4</v>
      </c>
      <c r="E359" s="4">
        <f ca="1"/>
        <v>6.170678336980373E-3</v>
      </c>
      <c r="F359" s="4">
        <f ca="1"/>
        <v>-5.7481587928864819E-3</v>
      </c>
      <c r="G359" s="4">
        <f ca="1"/>
        <v>-2.6943586865001423E-2</v>
      </c>
      <c r="H359" s="4">
        <f ca="1"/>
        <v>6.8538073063553417E-2</v>
      </c>
      <c r="I359" s="4">
        <f ca="1"/>
        <v>8.5444003661883094E-3</v>
      </c>
      <c r="J359" s="4">
        <f ca="1"/>
        <v>4.414125200641994E-3</v>
      </c>
      <c r="K359" s="4">
        <f ca="1"/>
        <v>3.7883393781840358E-2</v>
      </c>
      <c r="L359" s="4">
        <f ca="1"/>
        <v>2.1887267609806749E-2</v>
      </c>
      <c r="M359" s="4">
        <f ca="1"/>
        <v>-1.2383158903890301E-3</v>
      </c>
      <c r="N359" s="4">
        <f ca="1"/>
        <v>-7.8056687069461006E-3</v>
      </c>
      <c r="O359" s="4">
        <f ca="1"/>
        <v>9.321595028482621E-3</v>
      </c>
      <c r="P359" s="4">
        <f ca="1"/>
        <v>1.908332732472906E-2</v>
      </c>
    </row>
    <row r="360" spans="1:16" x14ac:dyDescent="0.25">
      <c r="A360" vm="5203">
        <f ca="1"/>
        <v>45449</v>
      </c>
      <c r="B360" s="4">
        <f ca="1"/>
        <v>-1.5252293577981635E-2</v>
      </c>
      <c r="C360" s="4">
        <f ca="1"/>
        <v>6.8758901822096874E-4</v>
      </c>
      <c r="D360" s="4">
        <f ca="1"/>
        <v>3.5982478097622561E-3</v>
      </c>
      <c r="E360" s="4">
        <f ca="1"/>
        <v>2.4792310034360554E-3</v>
      </c>
      <c r="F360" s="4">
        <f ca="1"/>
        <v>1.457392351701281E-2</v>
      </c>
      <c r="G360" s="4">
        <f ca="1"/>
        <v>-2.8843380444188993E-3</v>
      </c>
      <c r="H360" s="4">
        <f ca="1"/>
        <v>-5.2172845568376758E-3</v>
      </c>
      <c r="I360" s="4">
        <f ca="1"/>
        <v>-1.8154311649015709E-3</v>
      </c>
      <c r="J360" s="4">
        <f ca="1"/>
        <v>-5.6731921693967347E-2</v>
      </c>
      <c r="K360" s="4">
        <f ca="1"/>
        <v>-2.625944329980201E-3</v>
      </c>
      <c r="L360" s="4">
        <f ca="1"/>
        <v>-3.1348530424383125E-2</v>
      </c>
      <c r="M360" s="4">
        <f ca="1"/>
        <v>3.1996160460745493E-4</v>
      </c>
      <c r="N360" s="4">
        <f ca="1"/>
        <v>7.2867183973517324E-3</v>
      </c>
      <c r="O360" s="4">
        <f ca="1"/>
        <v>7.5252266119376632E-3</v>
      </c>
      <c r="P360" s="4">
        <f ca="1"/>
        <v>1.2028018207117519E-3</v>
      </c>
    </row>
    <row r="361" spans="1:16" x14ac:dyDescent="0.25">
      <c r="A361" vm="5217">
        <f ca="1"/>
        <v>45450</v>
      </c>
      <c r="B361" s="4">
        <f ca="1"/>
        <v>1.7856449671984631E-3</v>
      </c>
      <c r="C361" s="4">
        <f ca="1"/>
        <v>3.3128834355828918E-3</v>
      </c>
      <c r="D361" s="4">
        <f ca="1"/>
        <v>-3.7412314886985376E-3</v>
      </c>
      <c r="E361" s="4">
        <f ca="1"/>
        <v>-1.5749739673724394E-2</v>
      </c>
      <c r="F361" s="4">
        <f ca="1"/>
        <v>-8.3694426307354686E-3</v>
      </c>
      <c r="G361" s="4">
        <f ca="1"/>
        <v>-5.2068267283772451E-3</v>
      </c>
      <c r="H361" s="4">
        <f ca="1"/>
        <v>1.431480224594317E-2</v>
      </c>
      <c r="I361" s="4">
        <f ca="1"/>
        <v>-7.2749317975144834E-3</v>
      </c>
      <c r="J361" s="4">
        <f ca="1"/>
        <v>1.5247776365946653E-2</v>
      </c>
      <c r="K361" s="4">
        <f ca="1"/>
        <v>-1.6202203499676715E-3</v>
      </c>
      <c r="L361" s="4">
        <f ca="1"/>
        <v>7.63244537563601E-3</v>
      </c>
      <c r="M361" s="4">
        <f ca="1"/>
        <v>3.2785574347287127E-3</v>
      </c>
      <c r="N361" s="4">
        <f ca="1"/>
        <v>3.2222269642780965E-3</v>
      </c>
      <c r="O361" s="4">
        <f ca="1"/>
        <v>-1.2844451988909489E-2</v>
      </c>
      <c r="P361" s="4">
        <f ca="1"/>
        <v>-1.5782530858380328E-3</v>
      </c>
    </row>
    <row r="362" spans="1:16" x14ac:dyDescent="0.25">
      <c r="A362" vm="5230">
        <f ca="1"/>
        <v>45453</v>
      </c>
      <c r="B362" s="4">
        <f ca="1"/>
        <v>1.9103344053938986E-2</v>
      </c>
      <c r="C362" s="4">
        <f ca="1"/>
        <v>3.1796502384739966E-4</v>
      </c>
      <c r="D362" s="4">
        <f ca="1"/>
        <v>-5.0070411516193181E-3</v>
      </c>
      <c r="E362" s="4">
        <f ca="1"/>
        <v>-9.0808904562486026E-3</v>
      </c>
      <c r="F362" s="4">
        <f ca="1"/>
        <v>1.7359032682868758E-3</v>
      </c>
      <c r="G362" s="4">
        <f ca="1"/>
        <v>-2.4425705146845167E-2</v>
      </c>
      <c r="H362" s="4">
        <f ca="1"/>
        <v>2.2933268446985844E-2</v>
      </c>
      <c r="I362" s="4">
        <f ca="1"/>
        <v>5.4961832061068971E-3</v>
      </c>
      <c r="J362" s="4">
        <f ca="1"/>
        <v>7.0921985815604049E-3</v>
      </c>
      <c r="K362" s="4">
        <f ca="1"/>
        <v>1.955533917559249E-2</v>
      </c>
      <c r="L362" s="4">
        <f ca="1"/>
        <v>8.3543739789098126E-3</v>
      </c>
      <c r="M362" s="4">
        <f ca="1"/>
        <v>2.9888813613359044E-3</v>
      </c>
      <c r="N362" s="4">
        <f ca="1"/>
        <v>-5.6792801990939168E-3</v>
      </c>
      <c r="O362" s="4">
        <f ca="1"/>
        <v>3.1525851197982124E-3</v>
      </c>
      <c r="P362" s="4">
        <f ca="1"/>
        <v>9.4844874365931364E-3</v>
      </c>
    </row>
    <row r="363" spans="1:16" x14ac:dyDescent="0.25">
      <c r="A363" vm="5245">
        <f ca="1"/>
        <v>45454</v>
      </c>
      <c r="B363" s="4">
        <f ca="1"/>
        <v>-5.7034220532319324E-3</v>
      </c>
      <c r="C363" s="4">
        <f ca="1"/>
        <v>-9.780429360850551E-5</v>
      </c>
      <c r="D363" s="4">
        <f ca="1"/>
        <v>-6.2902972165446158E-4</v>
      </c>
      <c r="E363" s="4">
        <f ca="1"/>
        <v>2.8915877040793792E-3</v>
      </c>
      <c r="F363" s="4">
        <f ca="1"/>
        <v>7.768150582609934E-4</v>
      </c>
      <c r="G363" s="4">
        <f ca="1"/>
        <v>2.9806259314455463E-3</v>
      </c>
      <c r="H363" s="4">
        <f ca="1"/>
        <v>-1.4569457659372009E-2</v>
      </c>
      <c r="I363" s="4">
        <f ca="1"/>
        <v>-7.8955359854235851E-3</v>
      </c>
      <c r="J363" s="4">
        <f ca="1"/>
        <v>5.9237779618889874E-2</v>
      </c>
      <c r="K363" s="4">
        <f ca="1"/>
        <v>9.6896140071627279E-3</v>
      </c>
      <c r="L363" s="4">
        <f ca="1"/>
        <v>-3.6822918584533681E-5</v>
      </c>
      <c r="M363" s="4">
        <f ca="1"/>
        <v>-2.5826446280992066E-3</v>
      </c>
      <c r="N363" s="4">
        <f ca="1"/>
        <v>-9.9687673811662547E-3</v>
      </c>
      <c r="O363" s="4">
        <f ca="1"/>
        <v>9.1994743157535197E-3</v>
      </c>
      <c r="P363" s="4">
        <f ca="1"/>
        <v>1.1241732301867424E-2</v>
      </c>
    </row>
    <row r="364" spans="1:16" x14ac:dyDescent="0.25">
      <c r="A364" vm="5259">
        <f ca="1"/>
        <v>45455</v>
      </c>
      <c r="B364" s="4">
        <f ca="1"/>
        <v>1.9043977055449357E-2</v>
      </c>
      <c r="C364" s="4">
        <f ca="1"/>
        <v>1.6261554262238853E-2</v>
      </c>
      <c r="D364" s="4">
        <f ca="1"/>
        <v>-1.054287962234457E-2</v>
      </c>
      <c r="E364" s="4">
        <f ca="1"/>
        <v>1.7743080198722172E-3</v>
      </c>
      <c r="F364" s="4">
        <f ca="1"/>
        <v>-1.3732983042751279E-2</v>
      </c>
      <c r="G364" s="4">
        <f ca="1"/>
        <v>-2.1693907875185658E-2</v>
      </c>
      <c r="H364" s="4">
        <f ca="1"/>
        <v>4.3871824271317195E-2</v>
      </c>
      <c r="I364" s="4">
        <f ca="1"/>
        <v>2.7548209366390353E-3</v>
      </c>
      <c r="J364" s="4">
        <f ca="1"/>
        <v>1.2514665623777788E-2</v>
      </c>
      <c r="K364" s="4">
        <f ca="1"/>
        <v>2.6996669753875935E-3</v>
      </c>
      <c r="L364" s="4">
        <f ca="1"/>
        <v>1.9259095595816733E-2</v>
      </c>
      <c r="M364" s="4">
        <f ca="1"/>
        <v>5.8957096761342864E-3</v>
      </c>
      <c r="N364" s="4">
        <f ca="1"/>
        <v>-7.9732065687121434E-3</v>
      </c>
      <c r="O364" s="4">
        <f ca="1"/>
        <v>6.6243913486581096E-3</v>
      </c>
      <c r="P364" s="4">
        <f ca="1"/>
        <v>1.9367662013497267E-2</v>
      </c>
    </row>
    <row r="365" spans="1:16" x14ac:dyDescent="0.25">
      <c r="A365" vm="5272">
        <f ca="1"/>
        <v>45456</v>
      </c>
      <c r="B365" s="4">
        <f ca="1"/>
        <v>-7.6178324827380628E-3</v>
      </c>
      <c r="C365" s="4">
        <f ca="1"/>
        <v>-4.8124353329002112E-3</v>
      </c>
      <c r="D365" s="4">
        <f ca="1"/>
        <v>1.7493638676844281E-3</v>
      </c>
      <c r="E365" s="4">
        <f ca="1"/>
        <v>-2.1209705986539151E-2</v>
      </c>
      <c r="F365" s="4">
        <f ca="1"/>
        <v>7.4464220849981277E-3</v>
      </c>
      <c r="G365" s="4">
        <f ca="1"/>
        <v>-1.1543134872418093E-2</v>
      </c>
      <c r="H365" s="4">
        <f ca="1"/>
        <v>-4.0467106023811539E-4</v>
      </c>
      <c r="I365" s="4">
        <f ca="1"/>
        <v>-7.0207570207568848E-3</v>
      </c>
      <c r="J365" s="4">
        <f ca="1"/>
        <v>5.0212437234453677E-3</v>
      </c>
      <c r="K365" s="4">
        <f ca="1"/>
        <v>-9.3153054005187252E-3</v>
      </c>
      <c r="L365" s="4">
        <f ca="1"/>
        <v>-3.2515625564522033E-4</v>
      </c>
      <c r="M365" s="4">
        <f ca="1"/>
        <v>8.3561047087243878E-3</v>
      </c>
      <c r="N365" s="4">
        <f ca="1"/>
        <v>-1.1979699854065551E-3</v>
      </c>
      <c r="O365" s="4">
        <f ca="1"/>
        <v>-1.4792732999606262E-2</v>
      </c>
      <c r="P365" s="4">
        <f ca="1"/>
        <v>1.1789779168367431E-3</v>
      </c>
    </row>
    <row r="366" spans="1:16" x14ac:dyDescent="0.25">
      <c r="A366" vm="5287">
        <f ca="1"/>
        <v>45457</v>
      </c>
      <c r="B366" s="4">
        <f ca="1"/>
        <v>-4.8402344488561067E-2</v>
      </c>
      <c r="C366" s="4">
        <f ca="1"/>
        <v>-2.0044004932420867E-2</v>
      </c>
      <c r="D366" s="4">
        <f ca="1"/>
        <v>-6.9852357517067309E-3</v>
      </c>
      <c r="E366" s="4">
        <f ca="1"/>
        <v>-1.248586292693965E-2</v>
      </c>
      <c r="F366" s="4">
        <f ca="1"/>
        <v>2.2835166155878994E-3</v>
      </c>
      <c r="G366" s="4">
        <f ca="1"/>
        <v>-4.9170251997540104E-3</v>
      </c>
      <c r="H366" s="4">
        <f ca="1"/>
        <v>-2.3133422011450966E-3</v>
      </c>
      <c r="I366" s="4">
        <f ca="1"/>
        <v>-1.0759299108515252E-2</v>
      </c>
      <c r="J366" s="4">
        <f ca="1"/>
        <v>-3.1898539584934604E-2</v>
      </c>
      <c r="K366" s="4">
        <f ca="1"/>
        <v>1.1902400317387318E-4</v>
      </c>
      <c r="L366" s="4">
        <f ca="1"/>
        <v>-1.2323816407661559E-2</v>
      </c>
      <c r="M366" s="4">
        <f ca="1"/>
        <v>-4.3987118058282926E-3</v>
      </c>
      <c r="N366" s="4">
        <f ca="1"/>
        <v>-4.7976273551997295E-4</v>
      </c>
      <c r="O366" s="4">
        <f ca="1"/>
        <v>9.3057775747886762E-3</v>
      </c>
      <c r="P366" s="4">
        <f ca="1"/>
        <v>2.2419493636487431E-3</v>
      </c>
    </row>
    <row r="367" spans="1:16" x14ac:dyDescent="0.25">
      <c r="A367" vm="5302">
        <f ca="1"/>
        <v>45460</v>
      </c>
      <c r="B367" s="4">
        <f ca="1"/>
        <v>5.4242002781641485E-3</v>
      </c>
      <c r="C367" s="4">
        <f ca="1"/>
        <v>2.4352331606217525E-2</v>
      </c>
      <c r="D367" s="4">
        <f ca="1"/>
        <v>1.119104716227115E-3</v>
      </c>
      <c r="E367" s="4">
        <f ca="1"/>
        <v>-9.9409043016170928E-3</v>
      </c>
      <c r="F367" s="4">
        <f ca="1"/>
        <v>4.2568499310511321E-3</v>
      </c>
      <c r="G367" s="4">
        <f ca="1"/>
        <v>1.6676961087090714E-2</v>
      </c>
      <c r="H367" s="4">
        <f ca="1"/>
        <v>2.7418700365196225E-2</v>
      </c>
      <c r="I367" s="4">
        <f ca="1"/>
        <v>1.3362336855189616E-2</v>
      </c>
      <c r="J367" s="4">
        <f ca="1"/>
        <v>3.9698292973389115E-4</v>
      </c>
      <c r="K367" s="4">
        <f ca="1"/>
        <v>4.8992383370358716E-3</v>
      </c>
      <c r="L367" s="4">
        <f ca="1"/>
        <v>1.2038493907570613E-2</v>
      </c>
      <c r="M367" s="4">
        <f ca="1"/>
        <v>3.4871794871794703E-2</v>
      </c>
      <c r="N367" s="4">
        <f ca="1"/>
        <v>1.4617969193175817E-3</v>
      </c>
      <c r="O367" s="4">
        <f ca="1"/>
        <v>2.5453928389616021E-3</v>
      </c>
      <c r="P367" s="4">
        <f ca="1"/>
        <v>1.310527148247731E-2</v>
      </c>
    </row>
    <row r="368" spans="1:16" x14ac:dyDescent="0.25">
      <c r="A368" vm="5314">
        <f ca="1"/>
        <v>45461</v>
      </c>
      <c r="B368" s="4">
        <f ca="1"/>
        <v>1.5809339367232056E-3</v>
      </c>
      <c r="C368" s="4">
        <f ca="1"/>
        <v>1.6740130548931642E-2</v>
      </c>
      <c r="D368" s="4">
        <f ca="1"/>
        <v>1.5969338869381566E-4</v>
      </c>
      <c r="E368" s="4">
        <f ca="1"/>
        <v>1.7582824356838778E-3</v>
      </c>
      <c r="F368" s="4">
        <f ca="1"/>
        <v>6.3283582089552759E-3</v>
      </c>
      <c r="G368" s="4">
        <f ca="1"/>
        <v>-7.5941676792223856E-3</v>
      </c>
      <c r="H368" s="4">
        <f ca="1"/>
        <v>1.3823064770932092E-2</v>
      </c>
      <c r="I368" s="4">
        <f ca="1"/>
        <v>1.2879484820607301E-2</v>
      </c>
      <c r="J368" s="4">
        <f ca="1"/>
        <v>1.1904761904761862E-3</v>
      </c>
      <c r="K368" s="4">
        <f ca="1"/>
        <v>-1.4093125160373421E-2</v>
      </c>
      <c r="L368" s="4">
        <f ca="1"/>
        <v>1.6704027767734386E-2</v>
      </c>
      <c r="M368" s="4">
        <f ca="1"/>
        <v>4.9935198597239605E-3</v>
      </c>
      <c r="N368" s="4">
        <f ca="1"/>
        <v>2.1568157556479672E-3</v>
      </c>
      <c r="O368" s="4">
        <f ca="1"/>
        <v>-1.2130444594899648E-2</v>
      </c>
      <c r="P368" s="4">
        <f ca="1"/>
        <v>-4.5275107612017251E-3</v>
      </c>
    </row>
    <row r="369" spans="1:16" x14ac:dyDescent="0.25">
      <c r="A369" vm="5327">
        <f ca="1"/>
        <v>45463</v>
      </c>
      <c r="B369" s="4">
        <f ca="1"/>
        <v>2.2887358680425685E-3</v>
      </c>
      <c r="C369" s="4">
        <f ca="1"/>
        <v>-5.0696484412015019E-3</v>
      </c>
      <c r="D369" s="4">
        <f ca="1"/>
        <v>-7.1850550854223316E-3</v>
      </c>
      <c r="E369" s="4">
        <f ca="1"/>
        <v>1.297921478060049E-2</v>
      </c>
      <c r="F369" s="4">
        <f ca="1"/>
        <v>-5.2800189843380529E-3</v>
      </c>
      <c r="G369" s="4">
        <f ca="1"/>
        <v>-9.182736455464191E-4</v>
      </c>
      <c r="H369" s="4">
        <f ca="1"/>
        <v>-2.3985753241694052E-2</v>
      </c>
      <c r="I369" s="4">
        <f ca="1"/>
        <v>8.4771419921283453E-3</v>
      </c>
      <c r="J369" s="4">
        <f ca="1"/>
        <v>-7.1343638525565023E-3</v>
      </c>
      <c r="K369" s="4">
        <f ca="1"/>
        <v>4.4245130032631863E-3</v>
      </c>
      <c r="L369" s="4">
        <f ca="1"/>
        <v>-2.5711237553342703E-2</v>
      </c>
      <c r="M369" s="4">
        <f ca="1"/>
        <v>-3.1101839560022659E-3</v>
      </c>
      <c r="N369" s="4">
        <f ca="1"/>
        <v>1.3782608695652065E-2</v>
      </c>
      <c r="O369" s="4">
        <f ca="1"/>
        <v>6.9107316237364547E-3</v>
      </c>
      <c r="P369" s="4">
        <f ca="1"/>
        <v>-1.4338844826813357E-3</v>
      </c>
    </row>
    <row r="370" spans="1:16" x14ac:dyDescent="0.25">
      <c r="A370" vm="5340">
        <f ca="1"/>
        <v>45464</v>
      </c>
      <c r="B370" s="4">
        <f ca="1"/>
        <v>-7.5395184944585525E-3</v>
      </c>
      <c r="C370" s="4">
        <f ca="1"/>
        <v>-6.5717415115005284E-3</v>
      </c>
      <c r="D370" s="4">
        <f ca="1"/>
        <v>9.4885815374718963E-3</v>
      </c>
      <c r="E370" s="4">
        <f ca="1"/>
        <v>-5.4261091605489753E-3</v>
      </c>
      <c r="F370" s="4">
        <f ca="1"/>
        <v>3.5188167233255463E-3</v>
      </c>
      <c r="G370" s="4">
        <f ca="1"/>
        <v>9.4975490196078649E-3</v>
      </c>
      <c r="H370" s="4">
        <f ca="1"/>
        <v>-8.0967042992359239E-3</v>
      </c>
      <c r="I370" s="4">
        <f ca="1"/>
        <v>3.002101471029528E-3</v>
      </c>
      <c r="J370" s="4">
        <f ca="1"/>
        <v>1.1976047904189713E-3</v>
      </c>
      <c r="K370" s="4">
        <f ca="1"/>
        <v>-1.379310344827589E-2</v>
      </c>
      <c r="L370" s="4">
        <f ca="1"/>
        <v>1.0950104025986285E-4</v>
      </c>
      <c r="M370" s="4">
        <f ca="1"/>
        <v>2.5491762736369328E-3</v>
      </c>
      <c r="N370" s="4">
        <f ca="1"/>
        <v>2.7018913239269526E-3</v>
      </c>
      <c r="O370" s="4">
        <f ca="1"/>
        <v>1.88882586500283E-2</v>
      </c>
      <c r="P370" s="4">
        <f ca="1"/>
        <v>9.1541395557550587E-3</v>
      </c>
    </row>
    <row r="371" spans="1:16" x14ac:dyDescent="0.25">
      <c r="A371" vm="5351">
        <f ca="1"/>
        <v>45467</v>
      </c>
      <c r="B371" s="4">
        <f ca="1"/>
        <v>1.2158838463979693E-2</v>
      </c>
      <c r="C371" s="4">
        <f ca="1"/>
        <v>2.2074684818560897E-2</v>
      </c>
      <c r="D371" s="4">
        <f ca="1"/>
        <v>1.9117412776804121E-2</v>
      </c>
      <c r="E371" s="4">
        <f ca="1"/>
        <v>-7.1520264074821371E-3</v>
      </c>
      <c r="F371" s="4">
        <f ca="1"/>
        <v>1.1292048020918877E-3</v>
      </c>
      <c r="G371" s="4">
        <f ca="1"/>
        <v>7.8907435508346335E-3</v>
      </c>
      <c r="H371" s="4">
        <f ca="1"/>
        <v>-3.5352954702230432E-2</v>
      </c>
      <c r="I371" s="4">
        <f ca="1"/>
        <v>-5.986231667165387E-3</v>
      </c>
      <c r="J371" s="4">
        <f ca="1"/>
        <v>1.515151515151536E-2</v>
      </c>
      <c r="K371" s="4">
        <f ca="1"/>
        <v>8.347144185294475E-3</v>
      </c>
      <c r="L371" s="4">
        <f ca="1"/>
        <v>8.3941605839421563E-4</v>
      </c>
      <c r="M371" s="4">
        <f ca="1"/>
        <v>6.1859582542693747E-3</v>
      </c>
      <c r="N371" s="4">
        <f ca="1"/>
        <v>8.36184773310511E-3</v>
      </c>
      <c r="O371" s="4">
        <f ca="1"/>
        <v>-2.2824695206813406E-3</v>
      </c>
      <c r="P371" s="4">
        <f ca="1"/>
        <v>-4.6911823558183352E-3</v>
      </c>
    </row>
    <row r="372" spans="1:16" x14ac:dyDescent="0.25">
      <c r="A372" vm="5363">
        <f ca="1"/>
        <v>45468</v>
      </c>
      <c r="B372" s="4">
        <f ca="1"/>
        <v>-9.7787532579514114E-3</v>
      </c>
      <c r="C372" s="4">
        <f ca="1"/>
        <v>-2.5819008981544433E-2</v>
      </c>
      <c r="D372" s="4">
        <f ca="1"/>
        <v>-2.0322025949662814E-3</v>
      </c>
      <c r="E372" s="4">
        <f ca="1"/>
        <v>-5.2179534540081063E-3</v>
      </c>
      <c r="F372" s="4">
        <f ca="1"/>
        <v>-9.4983674680914065E-3</v>
      </c>
      <c r="G372" s="4">
        <f ca="1"/>
        <v>-1.2345679012345845E-2</v>
      </c>
      <c r="H372" s="4">
        <f ca="1"/>
        <v>2.8544186878016742E-2</v>
      </c>
      <c r="I372" s="4">
        <f ca="1"/>
        <v>-1.505570611261664E-2</v>
      </c>
      <c r="J372" s="4">
        <f ca="1"/>
        <v>-2.3566378633150808E-3</v>
      </c>
      <c r="K372" s="4">
        <f ca="1"/>
        <v>2.3431079753863493E-2</v>
      </c>
      <c r="L372" s="4">
        <f ca="1"/>
        <v>-4.5946832950443106E-3</v>
      </c>
      <c r="M372" s="4">
        <f ca="1"/>
        <v>-1.3012484441594641E-2</v>
      </c>
      <c r="N372" s="4">
        <f ca="1"/>
        <v>-7.2957095289601925E-3</v>
      </c>
      <c r="O372" s="4">
        <f ca="1"/>
        <v>2.6838522486329675E-2</v>
      </c>
      <c r="P372" s="4">
        <f ca="1"/>
        <v>7.3268255634730828E-3</v>
      </c>
    </row>
    <row r="373" spans="1:16" x14ac:dyDescent="0.25">
      <c r="A373" vm="5378">
        <f ca="1"/>
        <v>45469</v>
      </c>
      <c r="B373" s="4">
        <f ca="1"/>
        <v>-5.2839897090837251E-3</v>
      </c>
      <c r="C373" s="4">
        <f ca="1"/>
        <v>-7.1975350247942549E-3</v>
      </c>
      <c r="D373" s="4">
        <f ca="1"/>
        <v>3.2894736842103978E-3</v>
      </c>
      <c r="E373" s="4">
        <f ca="1"/>
        <v>3.0636401615373732E-3</v>
      </c>
      <c r="F373" s="4">
        <f ca="1"/>
        <v>3.5960443512135232E-3</v>
      </c>
      <c r="G373" s="4">
        <f ca="1"/>
        <v>-1.4634146341463317E-2</v>
      </c>
      <c r="H373" s="4">
        <f ca="1"/>
        <v>-3.0706836616454236E-3</v>
      </c>
      <c r="I373" s="4">
        <f ca="1"/>
        <v>9.1715071843472273E-3</v>
      </c>
      <c r="J373" s="4">
        <f ca="1"/>
        <v>-2.7559055118110409E-3</v>
      </c>
      <c r="K373" s="4">
        <f ca="1"/>
        <v>4.9353701527614646E-3</v>
      </c>
      <c r="L373" s="4">
        <f ca="1"/>
        <v>-2.3445799904751596E-2</v>
      </c>
      <c r="M373" s="4">
        <f ca="1"/>
        <v>-2.3310914093549462E-3</v>
      </c>
      <c r="N373" s="4">
        <f ca="1"/>
        <v>-2.3073471916593702E-3</v>
      </c>
      <c r="O373" s="4">
        <f ca="1"/>
        <v>-8.1508449709288833E-4</v>
      </c>
      <c r="P373" s="4">
        <f ca="1"/>
        <v>2.683224304246723E-3</v>
      </c>
    </row>
    <row r="374" spans="1:16" x14ac:dyDescent="0.25">
      <c r="A374" vm="5391">
        <f ca="1"/>
        <v>45470</v>
      </c>
      <c r="B374" s="4">
        <f ca="1"/>
        <v>3.1633607225991511E-3</v>
      </c>
      <c r="C374" s="4">
        <f ca="1"/>
        <v>-2.9095846567902539E-3</v>
      </c>
      <c r="D374" s="4">
        <f ca="1"/>
        <v>-2.1857923497268228E-3</v>
      </c>
      <c r="E374" s="4">
        <f ca="1"/>
        <v>1.6196954972464983E-3</v>
      </c>
      <c r="F374" s="4">
        <f ca="1"/>
        <v>-4.956703493580128E-3</v>
      </c>
      <c r="G374" s="4">
        <f ca="1"/>
        <v>-1.5470297029701596E-3</v>
      </c>
      <c r="H374" s="4">
        <f ca="1"/>
        <v>-2.5570988551171236E-3</v>
      </c>
      <c r="I374" s="4">
        <f ca="1"/>
        <v>6.058770069676811E-4</v>
      </c>
      <c r="J374" s="4">
        <f ca="1"/>
        <v>-9.869719699960533E-3</v>
      </c>
      <c r="K374" s="4">
        <f ca="1"/>
        <v>1.2550670408481235E-2</v>
      </c>
      <c r="L374" s="4">
        <f ca="1"/>
        <v>1.8381663352966537E-3</v>
      </c>
      <c r="M374" s="4">
        <f ca="1"/>
        <v>-1.9764814034550104E-2</v>
      </c>
      <c r="N374" s="4">
        <f ca="1"/>
        <v>2.997922867726821E-4</v>
      </c>
      <c r="O374" s="4">
        <f ca="1"/>
        <v>8.3206438981944242E-3</v>
      </c>
      <c r="P374" s="4">
        <f ca="1"/>
        <v>1.5260084925690087E-3</v>
      </c>
    </row>
    <row r="375" spans="1:16" x14ac:dyDescent="0.25">
      <c r="A375" vm="5400">
        <f ca="1"/>
        <v>45471</v>
      </c>
      <c r="B375" s="4">
        <f ca="1"/>
        <v>3.1533854269960582E-3</v>
      </c>
      <c r="C375" s="4">
        <f ca="1"/>
        <v>-1.4639009799868763E-2</v>
      </c>
      <c r="D375" s="4">
        <f ca="1"/>
        <v>-4.0682209356908139E-3</v>
      </c>
      <c r="E375" s="4">
        <f ca="1"/>
        <v>1.4322676030308568E-2</v>
      </c>
      <c r="F375" s="4">
        <f ca="1"/>
        <v>-1.020285679990407E-2</v>
      </c>
      <c r="G375" s="4">
        <f ca="1"/>
        <v>-1.5494267121166638E-3</v>
      </c>
      <c r="H375" s="4">
        <f ca="1"/>
        <v>1.2701742119676007E-2</v>
      </c>
      <c r="I375" s="4">
        <f ca="1"/>
        <v>1.2715712988192518E-2</v>
      </c>
      <c r="J375" s="4">
        <f ca="1"/>
        <v>3.2296650717703379E-2</v>
      </c>
      <c r="K375" s="4">
        <f ca="1"/>
        <v>-2.9524982677650136E-2</v>
      </c>
      <c r="L375" s="4">
        <f ca="1"/>
        <v>-4.8565865348610848E-2</v>
      </c>
      <c r="M375" s="4">
        <f ca="1"/>
        <v>5.3534445703566913E-3</v>
      </c>
      <c r="N375" s="4">
        <f ca="1"/>
        <v>-6.422195106281503E-5</v>
      </c>
      <c r="O375" s="4">
        <f ca="1"/>
        <v>-1.7582654657246066E-2</v>
      </c>
      <c r="P375" s="4">
        <f ca="1"/>
        <v>-1.3028596665562664E-2</v>
      </c>
    </row>
    <row r="376" spans="1:16" x14ac:dyDescent="0.25">
      <c r="A376" vm="5411">
        <f ca="1"/>
        <v>45474</v>
      </c>
      <c r="B376" s="4">
        <f ca="1"/>
        <v>-9.4897293450110221E-3</v>
      </c>
      <c r="C376" s="4">
        <f ca="1"/>
        <v>-1.8755706917400805E-2</v>
      </c>
      <c r="D376" s="4">
        <f ca="1"/>
        <v>-5.8130400628436663E-3</v>
      </c>
      <c r="E376" s="4">
        <f ca="1"/>
        <v>-4.5549785916005892E-3</v>
      </c>
      <c r="F376" s="4">
        <f ca="1"/>
        <v>-1.333980111569244E-2</v>
      </c>
      <c r="G376" s="4">
        <f ca="1"/>
        <v>-1.1173184357541888E-2</v>
      </c>
      <c r="H376" s="4">
        <f ca="1"/>
        <v>-8.5150451642597158E-3</v>
      </c>
      <c r="I376" s="4">
        <f ca="1"/>
        <v>4.1853512705529727E-3</v>
      </c>
      <c r="J376" s="4">
        <f ca="1"/>
        <v>-3.5534955581305594E-2</v>
      </c>
      <c r="K376" s="4">
        <f ca="1"/>
        <v>9.1230018642662891E-4</v>
      </c>
      <c r="L376" s="4">
        <f ca="1"/>
        <v>-2.5502774607422563E-2</v>
      </c>
      <c r="M376" s="4">
        <f ca="1"/>
        <v>-3.8479477611937929E-3</v>
      </c>
      <c r="N376" s="4">
        <f ca="1"/>
        <v>-1.4129736673089699E-3</v>
      </c>
      <c r="O376" s="4">
        <f ca="1"/>
        <v>4.6115838594564806E-3</v>
      </c>
      <c r="P376" s="4">
        <f ca="1"/>
        <v>2.188164224186151E-2</v>
      </c>
    </row>
    <row r="377" spans="1:16" x14ac:dyDescent="0.25">
      <c r="A377" vm="5425">
        <f ca="1"/>
        <v>45475</v>
      </c>
      <c r="B377" s="4">
        <f ca="1"/>
        <v>1.8003632662022762E-2</v>
      </c>
      <c r="C377" s="4">
        <f ca="1"/>
        <v>1.9742964211161507E-2</v>
      </c>
      <c r="D377" s="4">
        <f ca="1"/>
        <v>-2.0543615676359428E-3</v>
      </c>
      <c r="E377" s="4">
        <f ca="1"/>
        <v>-9.1516427198679029E-4</v>
      </c>
      <c r="F377" s="4">
        <f ca="1"/>
        <v>7.2517207472959644E-3</v>
      </c>
      <c r="G377" s="4">
        <f ca="1"/>
        <v>4.3942247332078299E-3</v>
      </c>
      <c r="H377" s="4">
        <f ca="1"/>
        <v>1.9555503974931776E-2</v>
      </c>
      <c r="I377" s="4">
        <f ca="1"/>
        <v>5.0610300684725829E-3</v>
      </c>
      <c r="J377" s="4">
        <f ca="1"/>
        <v>1.2014417300760805E-3</v>
      </c>
      <c r="K377" s="4">
        <f ca="1"/>
        <v>9.5506063247998707E-3</v>
      </c>
      <c r="L377" s="4">
        <f ca="1"/>
        <v>6.8656354751417403E-4</v>
      </c>
      <c r="M377" s="4">
        <f ca="1"/>
        <v>1.0339849389363609E-2</v>
      </c>
      <c r="N377" s="4">
        <f ca="1"/>
        <v>-1.5864848640768647E-3</v>
      </c>
      <c r="O377" s="4">
        <f ca="1"/>
        <v>1.2295753866331527E-2</v>
      </c>
      <c r="P377" s="4">
        <f ca="1"/>
        <v>5.5831672979658187E-3</v>
      </c>
    </row>
    <row r="378" spans="1:16" x14ac:dyDescent="0.25">
      <c r="A378" vm="5438">
        <f ca="1"/>
        <v>45476</v>
      </c>
      <c r="B378" s="4">
        <f ca="1"/>
        <v>5.2741995568890143E-3</v>
      </c>
      <c r="C378" s="4">
        <f ca="1"/>
        <v>8.3608740689589123E-3</v>
      </c>
      <c r="D378" s="4">
        <f ca="1"/>
        <v>2.8503562945367822E-3</v>
      </c>
      <c r="E378" s="4">
        <f ca="1"/>
        <v>-4.3968123110744717E-3</v>
      </c>
      <c r="F378" s="4">
        <f ca="1"/>
        <v>-4.270896888346476E-4</v>
      </c>
      <c r="G378" s="4">
        <f ca="1"/>
        <v>2.8125000000001066E-3</v>
      </c>
      <c r="H378" s="4">
        <f ca="1"/>
        <v>3.8645418326693326E-2</v>
      </c>
      <c r="I378" s="4">
        <f ca="1"/>
        <v>-6.2203791469194192E-3</v>
      </c>
      <c r="J378" s="4">
        <f ca="1"/>
        <v>6.0000000000000053E-3</v>
      </c>
      <c r="K378" s="4">
        <f ca="1"/>
        <v>9.0284592737965852E-4</v>
      </c>
      <c r="L378" s="4">
        <f ca="1"/>
        <v>2.7524416821373743E-2</v>
      </c>
      <c r="M378" s="4">
        <f ca="1"/>
        <v>-3.3096470224762475E-2</v>
      </c>
      <c r="N378" s="4">
        <f ca="1"/>
        <v>7.0861069357941453E-4</v>
      </c>
      <c r="O378" s="4">
        <f ca="1"/>
        <v>3.1310732023319687E-3</v>
      </c>
      <c r="P378" s="4">
        <f ca="1"/>
        <v>3.2442083260755261E-3</v>
      </c>
    </row>
    <row r="379" spans="1:16" x14ac:dyDescent="0.25">
      <c r="A379" vm="5452">
        <f ca="1"/>
        <v>45478</v>
      </c>
      <c r="B379" s="4">
        <f ca="1"/>
        <v>-1.4081760024964973E-2</v>
      </c>
      <c r="C379" s="4">
        <f ca="1"/>
        <v>-4.6471811177694056E-3</v>
      </c>
      <c r="D379" s="4">
        <f ca="1"/>
        <v>6.7898310437390919E-3</v>
      </c>
      <c r="E379" s="4">
        <f ca="1"/>
        <v>1.2282638697212356E-2</v>
      </c>
      <c r="F379" s="4">
        <f ca="1"/>
        <v>8.4233656839405313E-3</v>
      </c>
      <c r="G379" s="4">
        <f ca="1"/>
        <v>0</v>
      </c>
      <c r="H379" s="4">
        <f ca="1"/>
        <v>8.2196284727931168E-3</v>
      </c>
      <c r="I379" s="4">
        <f ca="1"/>
        <v>-7.4515648286139768E-3</v>
      </c>
      <c r="J379" s="4">
        <f ca="1"/>
        <v>-2.9423459244532713E-2</v>
      </c>
      <c r="K379" s="4">
        <f ca="1"/>
        <v>5.8730096478155192E-2</v>
      </c>
      <c r="L379" s="4">
        <f ca="1"/>
        <v>-8.1304006284367292E-3</v>
      </c>
      <c r="M379" s="4">
        <f ca="1"/>
        <v>3.5028158325677961E-2</v>
      </c>
      <c r="N379" s="4">
        <f ca="1"/>
        <v>-8.3041864257664688E-3</v>
      </c>
      <c r="O379" s="4">
        <f ca="1"/>
        <v>2.5723818749327387E-2</v>
      </c>
      <c r="P379" s="4">
        <f ca="1"/>
        <v>1.4736202443735635E-2</v>
      </c>
    </row>
    <row r="380" spans="1:16" x14ac:dyDescent="0.25">
      <c r="A380" vm="5466">
        <f ca="1"/>
        <v>45481</v>
      </c>
      <c r="B380" s="4">
        <f ca="1"/>
        <v>6.4688427299703921E-3</v>
      </c>
      <c r="C380" s="4">
        <f ca="1"/>
        <v>7.8142277921120495E-3</v>
      </c>
      <c r="D380" s="4">
        <f ca="1"/>
        <v>-1.2547051442910906E-2</v>
      </c>
      <c r="E380" s="4">
        <f ca="1"/>
        <v>-9.9977277891383221E-4</v>
      </c>
      <c r="F380" s="4">
        <f ca="1"/>
        <v>7.9293021003570274E-3</v>
      </c>
      <c r="G380" s="4">
        <f ca="1"/>
        <v>3.1162355874103653E-4</v>
      </c>
      <c r="H380" s="4">
        <f ca="1"/>
        <v>1.4348605902494649E-2</v>
      </c>
      <c r="I380" s="4">
        <f ca="1"/>
        <v>2.7027027027028971E-3</v>
      </c>
      <c r="J380" s="4">
        <f ca="1"/>
        <v>-1.6386726751330682E-3</v>
      </c>
      <c r="K380" s="4">
        <f ca="1"/>
        <v>-1.9614380174473367E-2</v>
      </c>
      <c r="L380" s="4">
        <f ca="1"/>
        <v>8.4346414287410632E-3</v>
      </c>
      <c r="M380" s="4">
        <f ca="1"/>
        <v>-2.0452265184842111E-2</v>
      </c>
      <c r="N380" s="4">
        <f ca="1"/>
        <v>-8.6550112515149102E-4</v>
      </c>
      <c r="O380" s="4">
        <f ca="1"/>
        <v>-8.2371458551940835E-3</v>
      </c>
      <c r="P380" s="4">
        <f ca="1"/>
        <v>-2.8231670801608377E-3</v>
      </c>
    </row>
    <row r="381" spans="1:16" x14ac:dyDescent="0.25">
      <c r="A381" vm="5481">
        <f ca="1"/>
        <v>45482</v>
      </c>
      <c r="B381" s="4">
        <f ca="1"/>
        <v>-1.7689722271352348E-4</v>
      </c>
      <c r="C381" s="4">
        <f ca="1"/>
        <v>-6.1687757540291877E-3</v>
      </c>
      <c r="D381" s="4">
        <f ca="1"/>
        <v>-4.2884371029225932E-3</v>
      </c>
      <c r="E381" s="4">
        <f ca="1"/>
        <v>-2.8749488240913501E-2</v>
      </c>
      <c r="F381" s="4">
        <f ca="1"/>
        <v>-5.1645447994235205E-3</v>
      </c>
      <c r="G381" s="4">
        <f ca="1"/>
        <v>-5.2959501557633404E-3</v>
      </c>
      <c r="H381" s="4">
        <f ca="1"/>
        <v>-1.1305792209183818E-2</v>
      </c>
      <c r="I381" s="4">
        <f ca="1"/>
        <v>-2.7253668763102867E-2</v>
      </c>
      <c r="J381" s="4">
        <f ca="1"/>
        <v>-6.1551087402544113E-2</v>
      </c>
      <c r="K381" s="4">
        <f ca="1"/>
        <v>1.2846671200785753E-3</v>
      </c>
      <c r="L381" s="4">
        <f ca="1"/>
        <v>5.104845676588976E-4</v>
      </c>
      <c r="M381" s="4">
        <f ca="1"/>
        <v>-6.8941065237945187E-3</v>
      </c>
      <c r="N381" s="4">
        <f ca="1"/>
        <v>-3.1618156618156146E-3</v>
      </c>
      <c r="O381" s="4">
        <f ca="1"/>
        <v>-2.6450827910917685E-4</v>
      </c>
      <c r="P381" s="4">
        <f ca="1"/>
        <v>-1.4370281400137297E-2</v>
      </c>
    </row>
    <row r="382" spans="1:16" x14ac:dyDescent="0.25">
      <c r="A382" vm="5494">
        <f ca="1"/>
        <v>45483</v>
      </c>
      <c r="B382" s="4">
        <f ca="1"/>
        <v>2.8485491861288015E-2</v>
      </c>
      <c r="C382" s="4">
        <f ca="1"/>
        <v>2.2767419038272729E-2</v>
      </c>
      <c r="D382" s="4">
        <f ca="1"/>
        <v>2.2332110384430948E-3</v>
      </c>
      <c r="E382" s="4">
        <f ca="1"/>
        <v>8.8520444007307297E-3</v>
      </c>
      <c r="F382" s="4">
        <f ca="1"/>
        <v>6.8815646504889472E-3</v>
      </c>
      <c r="G382" s="4">
        <f ca="1"/>
        <v>-3.1318509238953407E-4</v>
      </c>
      <c r="H382" s="4">
        <f ca="1"/>
        <v>3.5389117710817208E-2</v>
      </c>
      <c r="I382" s="4">
        <f ca="1"/>
        <v>1.3546798029556717E-2</v>
      </c>
      <c r="J382" s="4">
        <f ca="1"/>
        <v>1.3117621337997321E-2</v>
      </c>
      <c r="K382" s="4">
        <f ca="1"/>
        <v>8.849056603773775E-3</v>
      </c>
      <c r="L382" s="4">
        <f ca="1"/>
        <v>1.2088386514384375E-2</v>
      </c>
      <c r="M382" s="4">
        <f ca="1"/>
        <v>3.9271688682613881E-3</v>
      </c>
      <c r="N382" s="4">
        <f ca="1"/>
        <v>1.542472300673392E-3</v>
      </c>
      <c r="O382" s="4">
        <f ca="1"/>
        <v>1.1641443538998875E-2</v>
      </c>
      <c r="P382" s="4">
        <f ca="1"/>
        <v>1.4601558079818888E-2</v>
      </c>
    </row>
    <row r="383" spans="1:16" x14ac:dyDescent="0.25">
      <c r="A383" vm="5505">
        <f ca="1"/>
        <v>45484</v>
      </c>
      <c r="B383" s="4">
        <f ca="1"/>
        <v>9.5380086778675821E-3</v>
      </c>
      <c r="C383" s="4">
        <f ca="1"/>
        <v>2.1996737670312738E-2</v>
      </c>
      <c r="D383" s="4">
        <f ca="1"/>
        <v>4.2973102021328646E-3</v>
      </c>
      <c r="E383" s="4">
        <f ca="1"/>
        <v>1.1327762302692612E-2</v>
      </c>
      <c r="F383" s="4">
        <f ca="1"/>
        <v>-7.553956834532527E-3</v>
      </c>
      <c r="G383" s="4">
        <f ca="1"/>
        <v>8.1453634085213444E-3</v>
      </c>
      <c r="H383" s="4">
        <f ca="1"/>
        <v>-3.4284218790892496E-2</v>
      </c>
      <c r="I383" s="4">
        <f ca="1"/>
        <v>2.4908869987849247E-2</v>
      </c>
      <c r="J383" s="4">
        <f ca="1"/>
        <v>2.9779887785929882E-2</v>
      </c>
      <c r="K383" s="4">
        <f ca="1"/>
        <v>-4.1126634124445949E-2</v>
      </c>
      <c r="L383" s="4">
        <f ca="1"/>
        <v>2.4314577112498403E-2</v>
      </c>
      <c r="M383" s="4">
        <f ca="1"/>
        <v>2.4853801169590684E-2</v>
      </c>
      <c r="N383" s="4">
        <f ca="1"/>
        <v>-1.3665647166004602E-3</v>
      </c>
      <c r="O383" s="4">
        <f ca="1"/>
        <v>-2.9344073647871172E-2</v>
      </c>
      <c r="P383" s="4">
        <f ca="1"/>
        <v>-2.4772117962466478E-2</v>
      </c>
    </row>
    <row r="384" spans="1:16" x14ac:dyDescent="0.25">
      <c r="A384" vm="5518">
        <f ca="1"/>
        <v>45485</v>
      </c>
      <c r="B384" s="4">
        <f ca="1"/>
        <v>1.8441381399575851E-2</v>
      </c>
      <c r="C384" s="4">
        <f ca="1"/>
        <v>1.053866917028512E-2</v>
      </c>
      <c r="D384" s="4">
        <f ca="1"/>
        <v>9.5087163232963068E-3</v>
      </c>
      <c r="E384" s="4">
        <f ca="1"/>
        <v>1.781123760558212E-2</v>
      </c>
      <c r="F384" s="4">
        <f ca="1"/>
        <v>6.4636945753293595E-3</v>
      </c>
      <c r="G384" s="4">
        <f ca="1"/>
        <v>-3.418272218769447E-3</v>
      </c>
      <c r="H384" s="4">
        <f ca="1"/>
        <v>1.5447154471544655E-2</v>
      </c>
      <c r="I384" s="4">
        <f ca="1"/>
        <v>1.4819205690574933E-3</v>
      </c>
      <c r="J384" s="4">
        <f ca="1"/>
        <v>4.526404023470243E-2</v>
      </c>
      <c r="K384" s="4">
        <f ca="1"/>
        <v>-2.6974839087185565E-2</v>
      </c>
      <c r="L384" s="4">
        <f ca="1"/>
        <v>1.7680018172181455E-2</v>
      </c>
      <c r="M384" s="4">
        <f ca="1"/>
        <v>1.7349732043026034E-3</v>
      </c>
      <c r="N384" s="4">
        <f ca="1"/>
        <v>7.2765975932924665E-3</v>
      </c>
      <c r="O384" s="4">
        <f ca="1"/>
        <v>-2.694401034650018E-3</v>
      </c>
      <c r="P384" s="4">
        <f ca="1"/>
        <v>-2.529140092368598E-3</v>
      </c>
    </row>
    <row r="385" spans="1:16" x14ac:dyDescent="0.25">
      <c r="A385" vm="5531">
        <f ca="1"/>
        <v>45488</v>
      </c>
      <c r="B385" s="4">
        <f ca="1"/>
        <v>1.2716118237590779E-2</v>
      </c>
      <c r="C385" s="4">
        <f ca="1"/>
        <v>8.5938588749012723E-4</v>
      </c>
      <c r="D385" s="4">
        <f ca="1"/>
        <v>-4.5525902668760443E-3</v>
      </c>
      <c r="E385" s="4">
        <f ca="1"/>
        <v>-5.5024355042395667E-3</v>
      </c>
      <c r="F385" s="4">
        <f ca="1"/>
        <v>-1.2184142608486881E-2</v>
      </c>
      <c r="G385" s="4">
        <f ca="1"/>
        <v>6.8599937636419916E-3</v>
      </c>
      <c r="H385" s="4">
        <f ca="1"/>
        <v>-1.1369095276220986E-2</v>
      </c>
      <c r="I385" s="4">
        <f ca="1"/>
        <v>2.3971589227582246E-2</v>
      </c>
      <c r="J385" s="4">
        <f ca="1"/>
        <v>5.2125100240577371E-2</v>
      </c>
      <c r="K385" s="4">
        <f ca="1"/>
        <v>-5.4322769458976516E-3</v>
      </c>
      <c r="L385" s="4">
        <f ca="1"/>
        <v>-4.3041553513634145E-2</v>
      </c>
      <c r="M385" s="4">
        <f ca="1"/>
        <v>-3.9604341467169513E-2</v>
      </c>
      <c r="N385" s="4">
        <f ca="1"/>
        <v>3.2346408470451671E-4</v>
      </c>
      <c r="O385" s="4">
        <f ca="1"/>
        <v>7.8889069000918077E-3</v>
      </c>
      <c r="P385" s="4">
        <f ca="1"/>
        <v>9.0397971557698575E-4</v>
      </c>
    </row>
    <row r="386" spans="1:16" x14ac:dyDescent="0.25">
      <c r="A386" vm="5544">
        <f ca="1"/>
        <v>45489</v>
      </c>
      <c r="B386" s="4">
        <f ca="1"/>
        <v>4.394757131842697E-2</v>
      </c>
      <c r="C386" s="4">
        <f ca="1"/>
        <v>2.128054582163319E-2</v>
      </c>
      <c r="D386" s="4">
        <f ca="1"/>
        <v>1.3562529569468573E-2</v>
      </c>
      <c r="E386" s="4">
        <f ca="1"/>
        <v>3.2380952380952399E-2</v>
      </c>
      <c r="F386" s="4">
        <f ca="1"/>
        <v>1.4400291651476271E-2</v>
      </c>
      <c r="G386" s="4">
        <f ca="1"/>
        <v>1.7033137194177872E-2</v>
      </c>
      <c r="H386" s="4">
        <f ca="1"/>
        <v>4.4271676924738657E-3</v>
      </c>
      <c r="I386" s="4">
        <f ca="1"/>
        <v>2.1098265895953761E-2</v>
      </c>
      <c r="J386" s="4">
        <f ca="1"/>
        <v>6.0975609756097615E-2</v>
      </c>
      <c r="K386" s="4">
        <f ca="1"/>
        <v>-1.283860045146723E-2</v>
      </c>
      <c r="L386" s="4">
        <f ca="1"/>
        <v>8.2802052557922057E-3</v>
      </c>
      <c r="M386" s="4">
        <f ca="1"/>
        <v>-5.7708491964894026E-3</v>
      </c>
      <c r="N386" s="4">
        <f ca="1"/>
        <v>1.0131930671725353E-2</v>
      </c>
      <c r="O386" s="4">
        <f ca="1"/>
        <v>-1.3992387283546903E-2</v>
      </c>
      <c r="P386" s="4">
        <f ca="1"/>
        <v>-9.7805974094633541E-3</v>
      </c>
    </row>
    <row r="387" spans="1:16" x14ac:dyDescent="0.25">
      <c r="A387" vm="5559">
        <f ca="1"/>
        <v>45490</v>
      </c>
      <c r="B387" s="4">
        <f ca="1"/>
        <v>-1.8885840894703354E-2</v>
      </c>
      <c r="C387" s="4">
        <f ca="1"/>
        <v>-3.2244137429558228E-2</v>
      </c>
      <c r="D387" s="4">
        <f ca="1"/>
        <v>1.4625797417146424E-2</v>
      </c>
      <c r="E387" s="4">
        <f ca="1"/>
        <v>4.7004041468987623E-3</v>
      </c>
      <c r="F387" s="4">
        <f ca="1"/>
        <v>1.4914645103324409E-2</v>
      </c>
      <c r="G387" s="4">
        <f ca="1"/>
        <v>3.2277710109622326E-2</v>
      </c>
      <c r="H387" s="4">
        <f ca="1"/>
        <v>-7.9767791872715543E-2</v>
      </c>
      <c r="I387" s="4">
        <f ca="1"/>
        <v>3.3965468440420032E-3</v>
      </c>
      <c r="J387" s="4">
        <f ca="1"/>
        <v>3.6997126436781658E-2</v>
      </c>
      <c r="K387" s="4">
        <f ca="1"/>
        <v>-5.6759019171481628E-2</v>
      </c>
      <c r="L387" s="4">
        <f ca="1"/>
        <v>-5.563480741797433E-2</v>
      </c>
      <c r="M387" s="4">
        <f ca="1"/>
        <v>5.6431133862711036E-4</v>
      </c>
      <c r="N387" s="4">
        <f ca="1"/>
        <v>1.5984463698834883E-2</v>
      </c>
      <c r="O387" s="4">
        <f ca="1"/>
        <v>-1.5767725097868501E-2</v>
      </c>
      <c r="P387" s="4">
        <f ca="1"/>
        <v>-1.3347570742124892E-2</v>
      </c>
    </row>
    <row r="388" spans="1:16" x14ac:dyDescent="0.25">
      <c r="A388" vm="5574">
        <f ca="1"/>
        <v>45491</v>
      </c>
      <c r="B388" s="4">
        <f ca="1"/>
        <v>-1.8406997168154415E-2</v>
      </c>
      <c r="C388" s="4">
        <f ca="1"/>
        <v>-6.7153490337881205E-3</v>
      </c>
      <c r="D388" s="4">
        <f ca="1"/>
        <v>-3.067014261615153E-4</v>
      </c>
      <c r="E388" s="4">
        <f ca="1"/>
        <v>-1.4253858598224922E-2</v>
      </c>
      <c r="F388" s="4">
        <f ca="1"/>
        <v>-5.9017941454202472E-3</v>
      </c>
      <c r="G388" s="4">
        <f ca="1"/>
        <v>-3.8348082595869304E-3</v>
      </c>
      <c r="H388" s="4">
        <f ca="1"/>
        <v>3.9135514018693307E-3</v>
      </c>
      <c r="I388" s="4">
        <f ca="1"/>
        <v>-1.2129760225669917E-2</v>
      </c>
      <c r="J388" s="4">
        <f ca="1"/>
        <v>-8.659508139937655E-3</v>
      </c>
      <c r="K388" s="4">
        <f ca="1"/>
        <v>3.0000649364704923E-2</v>
      </c>
      <c r="L388" s="4">
        <f ca="1"/>
        <v>8.0713644157752951E-2</v>
      </c>
      <c r="M388" s="4">
        <f ca="1"/>
        <v>1.2085565805897147E-4</v>
      </c>
      <c r="N388" s="4">
        <f ca="1"/>
        <v>-1.4703720041164825E-4</v>
      </c>
      <c r="O388" s="4">
        <f ca="1"/>
        <v>-1.8395757374875754E-2</v>
      </c>
      <c r="P388" s="4">
        <f ca="1"/>
        <v>-7.1022727272727071E-3</v>
      </c>
    </row>
    <row r="389" spans="1:16" x14ac:dyDescent="0.25">
      <c r="A389" vm="5586">
        <f ca="1"/>
        <v>45492</v>
      </c>
      <c r="B389" s="4">
        <f ca="1"/>
        <v>-5.5142695418773924E-3</v>
      </c>
      <c r="C389" s="4">
        <f ca="1"/>
        <v>-1.425430820509177E-2</v>
      </c>
      <c r="D389" s="4">
        <f ca="1"/>
        <v>1.5339776039271502E-3</v>
      </c>
      <c r="E389" s="4">
        <f ca="1"/>
        <v>-5.1452650255044974E-3</v>
      </c>
      <c r="F389" s="4">
        <f ca="1"/>
        <v>-2.8496794110661749E-3</v>
      </c>
      <c r="G389" s="4">
        <f ca="1"/>
        <v>-1.9247853124074843E-2</v>
      </c>
      <c r="H389" s="4">
        <f ca="1"/>
        <v>-3.5491941583755127E-2</v>
      </c>
      <c r="I389" s="4">
        <f ca="1"/>
        <v>-9.4231867504285249E-3</v>
      </c>
      <c r="J389" s="4">
        <f ca="1"/>
        <v>-3.4940600978339287E-4</v>
      </c>
      <c r="K389" s="4">
        <f ca="1"/>
        <v>1.9754124198803069E-3</v>
      </c>
      <c r="L389" s="4">
        <f ca="1"/>
        <v>-2.3232971931547608E-2</v>
      </c>
      <c r="M389" s="4">
        <f ca="1"/>
        <v>-1.1318778699750287E-2</v>
      </c>
      <c r="N389" s="4">
        <f ca="1"/>
        <v>-2.2689075630252242E-3</v>
      </c>
      <c r="O389" s="4">
        <f ca="1"/>
        <v>-1.6883336147222039E-4</v>
      </c>
      <c r="P389" s="4">
        <f ca="1"/>
        <v>-7.402865771964473E-3</v>
      </c>
    </row>
    <row r="390" spans="1:16" x14ac:dyDescent="0.25">
      <c r="A390" vm="5600">
        <f ca="1"/>
        <v>45495</v>
      </c>
      <c r="B390" s="4">
        <f ca="1"/>
        <v>1.3715229964197162E-2</v>
      </c>
      <c r="C390" s="4">
        <f ca="1"/>
        <v>2.4868105515587491E-2</v>
      </c>
      <c r="D390" s="4">
        <f ca="1"/>
        <v>-7.9644662276000533E-3</v>
      </c>
      <c r="E390" s="4">
        <f ca="1"/>
        <v>1.9974140621516812E-2</v>
      </c>
      <c r="F390" s="4">
        <f ca="1"/>
        <v>1.7266015718027106E-3</v>
      </c>
      <c r="G390" s="4">
        <f ca="1"/>
        <v>-9.0579710144926828E-3</v>
      </c>
      <c r="H390" s="4">
        <f ca="1"/>
        <v>2.1596187488688967E-2</v>
      </c>
      <c r="I390" s="4">
        <f ca="1"/>
        <v>-5.1888152205246119E-3</v>
      </c>
      <c r="J390" s="4">
        <f ca="1"/>
        <v>2.5166025865082098E-2</v>
      </c>
      <c r="K390" s="4">
        <f ca="1"/>
        <v>2.2252983493781242E-2</v>
      </c>
      <c r="L390" s="4">
        <f ca="1"/>
        <v>3.5388304455445496E-2</v>
      </c>
      <c r="M390" s="4">
        <f ca="1"/>
        <v>-9.1260949276837922E-3</v>
      </c>
      <c r="N390" s="4">
        <f ca="1"/>
        <v>-6.9485387012557798E-4</v>
      </c>
      <c r="O390" s="4">
        <f ca="1"/>
        <v>2.257120342226715E-2</v>
      </c>
      <c r="P390" s="4">
        <f ca="1"/>
        <v>1.3337603806822029E-2</v>
      </c>
    </row>
    <row r="391" spans="1:16" x14ac:dyDescent="0.25">
      <c r="A391" vm="5615">
        <f ca="1"/>
        <v>45496</v>
      </c>
      <c r="B391" s="4">
        <f ca="1"/>
        <v>-8.3315221328705835E-4</v>
      </c>
      <c r="C391" s="4">
        <f ca="1"/>
        <v>4.9371738774364182E-3</v>
      </c>
      <c r="D391" s="4">
        <f ca="1"/>
        <v>2.9334568473058376E-3</v>
      </c>
      <c r="E391" s="4">
        <f ca="1"/>
        <v>1.2807623377190991E-2</v>
      </c>
      <c r="F391" s="4">
        <f ca="1"/>
        <v>-9.6879643387814962E-3</v>
      </c>
      <c r="G391" s="4">
        <f ca="1"/>
        <v>-6.0938452163328272E-4</v>
      </c>
      <c r="H391" s="4">
        <f ca="1"/>
        <v>2.7753173900206818E-3</v>
      </c>
      <c r="I391" s="4">
        <f ca="1"/>
        <v>-2.5210084033613356E-2</v>
      </c>
      <c r="J391" s="4">
        <f ca="1"/>
        <v>3.1708148653256218E-2</v>
      </c>
      <c r="K391" s="4">
        <f ca="1"/>
        <v>2.6466967583094192E-3</v>
      </c>
      <c r="L391" s="4">
        <f ca="1"/>
        <v>-1.2140002241231129E-2</v>
      </c>
      <c r="M391" s="4">
        <f ca="1"/>
        <v>1.1389334320134781E-2</v>
      </c>
      <c r="N391" s="4">
        <f ca="1"/>
        <v>5.6259086790703572E-2</v>
      </c>
      <c r="O391" s="4">
        <f ca="1"/>
        <v>6.6053833874613055E-4</v>
      </c>
      <c r="P391" s="4">
        <f ca="1"/>
        <v>4.3120964464713474E-3</v>
      </c>
    </row>
    <row r="392" spans="1:16" x14ac:dyDescent="0.25">
      <c r="A392" vm="5628">
        <f ca="1"/>
        <v>45497</v>
      </c>
      <c r="B392" s="4">
        <f ca="1"/>
        <v>-4.0604720298734742E-2</v>
      </c>
      <c r="C392" s="4">
        <f ca="1"/>
        <v>-4.0071714631647604E-2</v>
      </c>
      <c r="D392" s="4">
        <f ca="1"/>
        <v>1.3084975369458185E-2</v>
      </c>
      <c r="E392" s="4">
        <f ca="1"/>
        <v>8.6318515321481826E-5</v>
      </c>
      <c r="F392" s="4">
        <f ca="1"/>
        <v>8.2823190493337417E-3</v>
      </c>
      <c r="G392" s="4">
        <f ca="1"/>
        <v>7.6219512195121464E-3</v>
      </c>
      <c r="H392" s="4">
        <f ca="1"/>
        <v>-5.9003650924508211E-2</v>
      </c>
      <c r="I392" s="4">
        <f ca="1"/>
        <v>-1.3079667063020106E-2</v>
      </c>
      <c r="J392" s="4">
        <f ca="1"/>
        <v>-2.742894910773308E-2</v>
      </c>
      <c r="K392" s="4">
        <f ca="1"/>
        <v>-5.6109189874971932E-2</v>
      </c>
      <c r="L392" s="4">
        <f ca="1"/>
        <v>-4.7417378809649802E-2</v>
      </c>
      <c r="M392" s="4">
        <f ca="1"/>
        <v>3.658834051548876E-3</v>
      </c>
      <c r="N392" s="4">
        <f ca="1"/>
        <v>2.7748409104510374E-2</v>
      </c>
      <c r="O392" s="4">
        <f ca="1"/>
        <v>-5.0387810110567144E-2</v>
      </c>
      <c r="P392" s="4">
        <f ca="1"/>
        <v>-3.585478251095886E-2</v>
      </c>
    </row>
    <row r="393" spans="1:16" x14ac:dyDescent="0.25">
      <c r="A393" vm="5642">
        <f ca="1"/>
        <v>45498</v>
      </c>
      <c r="B393" s="4">
        <f ca="1"/>
        <v>2.9985262441899918E-2</v>
      </c>
      <c r="C393" s="4">
        <f ca="1"/>
        <v>-3.880951803429733E-3</v>
      </c>
      <c r="D393" s="4">
        <f ca="1"/>
        <v>3.9507673605834182E-3</v>
      </c>
      <c r="E393" s="4">
        <f ca="1"/>
        <v>-1.795270153633699E-2</v>
      </c>
      <c r="F393" s="4">
        <f ca="1"/>
        <v>-6.5476190476190244E-3</v>
      </c>
      <c r="G393" s="4">
        <f ca="1"/>
        <v>7.2617246596067275E-3</v>
      </c>
      <c r="H393" s="4">
        <f ca="1"/>
        <v>3.003754693366556E-3</v>
      </c>
      <c r="I393" s="4">
        <f ca="1"/>
        <v>1.2048192771084265E-2</v>
      </c>
      <c r="J393" s="4">
        <f ca="1"/>
        <v>4.8929663608562768E-2</v>
      </c>
      <c r="K393" s="4">
        <f ca="1"/>
        <v>-1.7039911548550668E-2</v>
      </c>
      <c r="L393" s="4">
        <f ca="1"/>
        <v>-1.2345188948872599E-2</v>
      </c>
      <c r="M393" s="4">
        <f ca="1"/>
        <v>1.0126377187297475E-2</v>
      </c>
      <c r="N393" s="4">
        <f ca="1"/>
        <v>1.2034161490683148E-2</v>
      </c>
      <c r="O393" s="4">
        <f ca="1"/>
        <v>-3.0991137114058986E-2</v>
      </c>
      <c r="P393" s="4">
        <f ca="1"/>
        <v>-2.4481231056190267E-2</v>
      </c>
    </row>
    <row r="394" spans="1:16" x14ac:dyDescent="0.25">
      <c r="A394" vm="5656">
        <f ca="1"/>
        <v>45499</v>
      </c>
      <c r="B394" s="4">
        <f ca="1"/>
        <v>1.73903472566177E-2</v>
      </c>
      <c r="C394" s="4">
        <f ca="1"/>
        <v>3.4066281929529874E-2</v>
      </c>
      <c r="D394" s="4">
        <f ca="1"/>
        <v>1.4832753140608501E-2</v>
      </c>
      <c r="E394" s="4">
        <f ca="1"/>
        <v>2.2982949551766607E-2</v>
      </c>
      <c r="F394" s="4">
        <f ca="1"/>
        <v>1.3241461953265476E-2</v>
      </c>
      <c r="G394" s="4">
        <f ca="1"/>
        <v>2.1027335536196734E-3</v>
      </c>
      <c r="H394" s="4">
        <f ca="1"/>
        <v>1.035687546793107E-2</v>
      </c>
      <c r="I394" s="4">
        <f ca="1"/>
        <v>2.1428571428571352E-2</v>
      </c>
      <c r="J394" s="4">
        <f ca="1"/>
        <v>-9.3942338840299344E-3</v>
      </c>
      <c r="K394" s="4">
        <f ca="1"/>
        <v>2.7105710063739075E-2</v>
      </c>
      <c r="L394" s="4">
        <f ca="1"/>
        <v>3.1831518025802863E-2</v>
      </c>
      <c r="M394" s="4">
        <f ca="1"/>
        <v>1.6440773117331053E-2</v>
      </c>
      <c r="N394" s="4">
        <f ca="1"/>
        <v>6.5209052550825319E-3</v>
      </c>
      <c r="O394" s="4">
        <f ca="1"/>
        <v>-1.6738402678144748E-3</v>
      </c>
      <c r="P394" s="4">
        <f ca="1"/>
        <v>1.6419694072657753E-2</v>
      </c>
    </row>
    <row r="395" spans="1:16" x14ac:dyDescent="0.25">
      <c r="A395" vm="5670">
        <f ca="1"/>
        <v>45502</v>
      </c>
      <c r="B395" s="4">
        <f ca="1"/>
        <v>-1.0980689132904287E-2</v>
      </c>
      <c r="C395" s="4">
        <f ca="1"/>
        <v>3.5086893043845269E-3</v>
      </c>
      <c r="D395" s="4">
        <f ca="1"/>
        <v>-3.2811334824757177E-3</v>
      </c>
      <c r="E395" s="4">
        <f ca="1"/>
        <v>1.5163881610034791E-2</v>
      </c>
      <c r="F395" s="4">
        <f ca="1"/>
        <v>4.8489149074566473E-3</v>
      </c>
      <c r="G395" s="4">
        <f ca="1"/>
        <v>1.7985611510791255E-3</v>
      </c>
      <c r="H395" s="4">
        <f ca="1"/>
        <v>-1.1917994318883629E-2</v>
      </c>
      <c r="I395" s="4">
        <f ca="1"/>
        <v>2.3310023310023631E-3</v>
      </c>
      <c r="J395" s="4">
        <f ca="1"/>
        <v>-1.4061478090255042E-2</v>
      </c>
      <c r="K395" s="4">
        <f ca="1"/>
        <v>2.1473051320608505E-5</v>
      </c>
      <c r="L395" s="4">
        <f ca="1"/>
        <v>-1.9865228060608198E-3</v>
      </c>
      <c r="M395" s="4">
        <f ca="1"/>
        <v>-2.8838567145336946E-2</v>
      </c>
      <c r="N395" s="4">
        <f ca="1"/>
        <v>5.4115853658536217E-3</v>
      </c>
      <c r="O395" s="4">
        <f ca="1"/>
        <v>1.5149700598802385E-2</v>
      </c>
      <c r="P395" s="4">
        <f ca="1"/>
        <v>3.4331130811016131E-3</v>
      </c>
    </row>
    <row r="396" spans="1:16" x14ac:dyDescent="0.25">
      <c r="A396" vm="5683">
        <f ca="1"/>
        <v>45503</v>
      </c>
      <c r="B396" s="4">
        <f ca="1"/>
        <v>4.9041055932328437E-3</v>
      </c>
      <c r="C396" s="4">
        <f ca="1"/>
        <v>-2.1095858265868683E-2</v>
      </c>
      <c r="D396" s="4">
        <f ca="1"/>
        <v>1.2718838844830271E-2</v>
      </c>
      <c r="E396" s="4">
        <f ca="1"/>
        <v>3.8930264048748775E-3</v>
      </c>
      <c r="F396" s="4">
        <f ca="1"/>
        <v>-4.8431707173542171E-2</v>
      </c>
      <c r="G396" s="4">
        <f ca="1"/>
        <v>1.256732495511681E-2</v>
      </c>
      <c r="H396" s="4">
        <f ca="1"/>
        <v>-3.4185363414786618E-2</v>
      </c>
      <c r="I396" s="4">
        <f ca="1"/>
        <v>1.8023255813953698E-2</v>
      </c>
      <c r="J396" s="4">
        <f ca="1"/>
        <v>1.3930348258706537E-2</v>
      </c>
      <c r="K396" s="4">
        <f ca="1"/>
        <v>-5.411092740117196E-3</v>
      </c>
      <c r="L396" s="4">
        <f ca="1"/>
        <v>-1.8031379283428461E-2</v>
      </c>
      <c r="M396" s="4">
        <f ca="1"/>
        <v>-1.1658609903725026E-2</v>
      </c>
      <c r="N396" s="4">
        <f ca="1"/>
        <v>1.8990220604957919E-2</v>
      </c>
      <c r="O396" s="4">
        <f ca="1"/>
        <v>4.4829823630034848E-3</v>
      </c>
      <c r="P396" s="4">
        <f ca="1"/>
        <v>-8.9283621962364945E-3</v>
      </c>
    </row>
    <row r="397" spans="1:16" x14ac:dyDescent="0.25">
      <c r="A397" vm="5696">
        <f ca="1"/>
        <v>45504</v>
      </c>
      <c r="B397" s="4">
        <f ca="1"/>
        <v>1.8051196458699792E-2</v>
      </c>
      <c r="C397" s="4">
        <f ca="1"/>
        <v>3.403969699875331E-3</v>
      </c>
      <c r="D397" s="4">
        <f ca="1"/>
        <v>-1.3888888888889062E-2</v>
      </c>
      <c r="E397" s="4">
        <f ca="1"/>
        <v>6.4070139942673521E-3</v>
      </c>
      <c r="F397" s="4">
        <f ca="1"/>
        <v>-5.8132343846629686E-3</v>
      </c>
      <c r="G397" s="4">
        <f ca="1"/>
        <v>4.048463356973997E-2</v>
      </c>
      <c r="H397" s="4">
        <f ca="1"/>
        <v>7.2861395108062776E-2</v>
      </c>
      <c r="I397" s="4">
        <f ca="1"/>
        <v>2.2844089091946795E-3</v>
      </c>
      <c r="J397" s="4">
        <f ca="1"/>
        <v>2.1262675825973076E-2</v>
      </c>
      <c r="K397" s="4">
        <f ca="1"/>
        <v>2.5130076210626351E-2</v>
      </c>
      <c r="L397" s="4">
        <f ca="1"/>
        <v>5.4769475357710595E-2</v>
      </c>
      <c r="M397" s="4">
        <f ca="1"/>
        <v>7.6448828606658914E-3</v>
      </c>
      <c r="N397" s="4">
        <f ca="1"/>
        <v>7.9232228545920158E-3</v>
      </c>
      <c r="O397" s="4">
        <f ca="1"/>
        <v>7.3404192847494887E-3</v>
      </c>
      <c r="P397" s="4">
        <f ca="1"/>
        <v>-1.0805826160976029E-2</v>
      </c>
    </row>
    <row r="398" spans="1:16" x14ac:dyDescent="0.25">
      <c r="A398" vm="5710">
        <f ca="1"/>
        <v>45505</v>
      </c>
      <c r="B398" s="4">
        <f ca="1"/>
        <v>-4.7437450994368802E-2</v>
      </c>
      <c r="C398" s="4">
        <f ca="1"/>
        <v>-3.2443021644607883E-2</v>
      </c>
      <c r="D398" s="4">
        <f ca="1"/>
        <v>1.8279892118669538E-2</v>
      </c>
      <c r="E398" s="4">
        <f ca="1"/>
        <v>9.4236890601440138E-3</v>
      </c>
      <c r="F398" s="4">
        <f ca="1"/>
        <v>3.0666832545409362E-2</v>
      </c>
      <c r="G398" s="4">
        <f ca="1"/>
        <v>5.3961942629934256E-3</v>
      </c>
      <c r="H398" s="4">
        <f ca="1"/>
        <v>-4.5958986731001183E-2</v>
      </c>
      <c r="I398" s="4">
        <f ca="1"/>
        <v>-9.4017094017093683E-3</v>
      </c>
      <c r="J398" s="4">
        <f ca="1"/>
        <v>-4.6444586803331189E-2</v>
      </c>
      <c r="K398" s="4">
        <f ca="1"/>
        <v>4.8248846955752711E-2</v>
      </c>
      <c r="L398" s="4">
        <f ca="1"/>
        <v>-3.9565905494008624E-2</v>
      </c>
      <c r="M398" s="4">
        <f ca="1"/>
        <v>8.5658345570238659E-4</v>
      </c>
      <c r="N398" s="4">
        <f ca="1"/>
        <v>1.2806318275760287E-2</v>
      </c>
      <c r="O398" s="4">
        <f ca="1"/>
        <v>-4.5470444211263006E-3</v>
      </c>
      <c r="P398" s="4">
        <f ca="1"/>
        <v>-2.964025337635956E-3</v>
      </c>
    </row>
    <row r="399" spans="1:16" x14ac:dyDescent="0.25">
      <c r="A399" vm="5725">
        <f ca="1"/>
        <v>45506</v>
      </c>
      <c r="B399" s="4">
        <f ca="1"/>
        <v>-2.9988401242189489E-2</v>
      </c>
      <c r="C399" s="4">
        <f ca="1"/>
        <v>-1.9086419753086448E-2</v>
      </c>
      <c r="D399" s="4">
        <f ca="1"/>
        <v>2.015891701000605E-2</v>
      </c>
      <c r="E399" s="4">
        <f ca="1"/>
        <v>6.5972366291855433E-3</v>
      </c>
      <c r="F399" s="4">
        <f ca="1"/>
        <v>2.6495262236707173E-2</v>
      </c>
      <c r="G399" s="4">
        <f ca="1"/>
        <v>1.8644067796610209E-2</v>
      </c>
      <c r="H399" s="4">
        <f ca="1"/>
        <v>-5.2598305727652006E-2</v>
      </c>
      <c r="I399" s="4">
        <f ca="1"/>
        <v>-1.9844693701466909E-2</v>
      </c>
      <c r="J399" s="4">
        <f ca="1"/>
        <v>-5.4417198522001997E-2</v>
      </c>
      <c r="K399" s="4">
        <f ca="1"/>
        <v>-1.9287178044762321E-2</v>
      </c>
      <c r="L399" s="4">
        <f ca="1"/>
        <v>-5.4770872567482809E-2</v>
      </c>
      <c r="M399" s="4">
        <f ca="1"/>
        <v>6.3985002241513378E-3</v>
      </c>
      <c r="N399" s="4">
        <f ca="1"/>
        <v>-1.6397624166464286E-4</v>
      </c>
      <c r="O399" s="4">
        <f ca="1"/>
        <v>-2.4010306863433972E-2</v>
      </c>
      <c r="P399" s="4">
        <f ca="1"/>
        <v>-2.0666011363908776E-2</v>
      </c>
    </row>
    <row r="400" spans="1:16" x14ac:dyDescent="0.25">
      <c r="A400" vm="5740">
        <f ca="1"/>
        <v>45509</v>
      </c>
      <c r="B400" s="4">
        <f ca="1"/>
        <v>-2.3528957975738174E-2</v>
      </c>
      <c r="C400" s="4">
        <f ca="1"/>
        <v>-5.1073577164145179E-2</v>
      </c>
      <c r="D400" s="4">
        <f ca="1"/>
        <v>-1.774123755949808E-2</v>
      </c>
      <c r="E400" s="4">
        <f ca="1"/>
        <v>-1.9373454245671828E-2</v>
      </c>
      <c r="F400" s="4">
        <f ca="1"/>
        <v>-1.1876763875823149E-2</v>
      </c>
      <c r="G400" s="4">
        <f ca="1"/>
        <v>-2.3849140321686058E-2</v>
      </c>
      <c r="H400" s="4">
        <f ca="1"/>
        <v>-1.2745228880288395E-2</v>
      </c>
      <c r="I400" s="4">
        <f ca="1"/>
        <v>-3.169014084507038E-2</v>
      </c>
      <c r="J400" s="4">
        <f ca="1"/>
        <v>-4.0852575488454668E-2</v>
      </c>
      <c r="K400" s="4">
        <f ca="1"/>
        <v>-2.5423034375384068E-2</v>
      </c>
      <c r="L400" s="4">
        <f ca="1"/>
        <v>-5.5620122862359844E-3</v>
      </c>
      <c r="M400" s="4">
        <f ca="1"/>
        <v>-4.2601441645743976E-2</v>
      </c>
      <c r="N400" s="4">
        <f ca="1"/>
        <v>-6.1774513912932205E-3</v>
      </c>
      <c r="O400" s="4">
        <f ca="1"/>
        <v>-4.4461778471138858E-2</v>
      </c>
      <c r="P400" s="4">
        <f ca="1"/>
        <v>-3.2656858185022952E-2</v>
      </c>
    </row>
    <row r="401" spans="1:16" x14ac:dyDescent="0.25">
      <c r="A401" vm="5754">
        <f ca="1"/>
        <v>45510</v>
      </c>
      <c r="B401" s="4">
        <f ca="1"/>
        <v>2.3128123086646468E-2</v>
      </c>
      <c r="C401" s="4">
        <f ca="1"/>
        <v>1.6022070136346711E-2</v>
      </c>
      <c r="D401" s="4">
        <f ca="1"/>
        <v>-7.3421439060206151E-4</v>
      </c>
      <c r="E401" s="4">
        <f ca="1"/>
        <v>5.3804119377889315E-3</v>
      </c>
      <c r="F401" s="4">
        <f ca="1"/>
        <v>1.78507675830053E-4</v>
      </c>
      <c r="G401" s="4">
        <f ca="1"/>
        <v>-1.0795454545454608E-2</v>
      </c>
      <c r="H401" s="4">
        <f ca="1"/>
        <v>5.0287259209192303E-2</v>
      </c>
      <c r="I401" s="4">
        <f ca="1"/>
        <v>2.6060606060606117E-2</v>
      </c>
      <c r="J401" s="4">
        <f ca="1"/>
        <v>2.1481481481481435E-2</v>
      </c>
      <c r="K401" s="4">
        <f ca="1"/>
        <v>3.8593319740188647E-2</v>
      </c>
      <c r="L401" s="4">
        <f ca="1"/>
        <v>3.5270055931212907E-2</v>
      </c>
      <c r="M401" s="4">
        <f ca="1"/>
        <v>8.8824972506558186E-3</v>
      </c>
      <c r="N401" s="4">
        <f ca="1"/>
        <v>-7.0042905863801908E-3</v>
      </c>
      <c r="O401" s="4">
        <f ca="1"/>
        <v>-6.0282574568288894E-3</v>
      </c>
      <c r="P401" s="4">
        <f ca="1"/>
        <v>1.1286853093761984E-2</v>
      </c>
    </row>
    <row r="402" spans="1:16" x14ac:dyDescent="0.25">
      <c r="A402" vm="5769">
        <f ca="1"/>
        <v>45511</v>
      </c>
      <c r="B402" s="4">
        <f ca="1"/>
        <v>-1.0655959229373346E-2</v>
      </c>
      <c r="C402" s="4">
        <f ca="1"/>
        <v>-1.702260978538972E-2</v>
      </c>
      <c r="D402" s="4">
        <f ca="1"/>
        <v>6.0249816311535032E-3</v>
      </c>
      <c r="E402" s="4">
        <f ca="1"/>
        <v>-2.3622376452880678E-2</v>
      </c>
      <c r="F402" s="4">
        <f ca="1"/>
        <v>1.1481944196561455E-2</v>
      </c>
      <c r="G402" s="4">
        <f ca="1"/>
        <v>-4.3078690407810649E-3</v>
      </c>
      <c r="H402" s="4">
        <f ca="1"/>
        <v>-2.2523971941565968E-3</v>
      </c>
      <c r="I402" s="4">
        <f ca="1"/>
        <v>-7.0880094506793334E-3</v>
      </c>
      <c r="J402" s="4">
        <f ca="1"/>
        <v>-4.4234952864394494E-2</v>
      </c>
      <c r="K402" s="4">
        <f ca="1"/>
        <v>-1.0463680705944167E-2</v>
      </c>
      <c r="L402" s="4">
        <f ca="1"/>
        <v>1.8949320646695078E-3</v>
      </c>
      <c r="M402" s="4">
        <f ca="1"/>
        <v>-2.9766895857790132E-3</v>
      </c>
      <c r="N402" s="4">
        <f ca="1"/>
        <v>1.2833296402984029E-2</v>
      </c>
      <c r="O402" s="4">
        <f ca="1"/>
        <v>4.1063870111819334E-3</v>
      </c>
      <c r="P402" s="4">
        <f ca="1"/>
        <v>-2.9528790570806374E-3</v>
      </c>
    </row>
    <row r="403" spans="1:16" x14ac:dyDescent="0.25">
      <c r="A403" vm="5782">
        <f ca="1"/>
        <v>45512</v>
      </c>
      <c r="B403" s="4">
        <f ca="1"/>
        <v>0.10844878048780493</v>
      </c>
      <c r="C403" s="4">
        <f ca="1"/>
        <v>2.4063745019920368E-2</v>
      </c>
      <c r="D403" s="4">
        <f ca="1"/>
        <v>3.9439088518844478E-3</v>
      </c>
      <c r="E403" s="4">
        <f ca="1"/>
        <v>2.6334946259581216E-2</v>
      </c>
      <c r="F403" s="4">
        <f ca="1"/>
        <v>4.9994118339018456E-3</v>
      </c>
      <c r="G403" s="4">
        <f ca="1"/>
        <v>1.5575425439861457E-2</v>
      </c>
      <c r="H403" s="4">
        <f ca="1"/>
        <v>6.1339009287925794E-2</v>
      </c>
      <c r="I403" s="4">
        <f ca="1"/>
        <v>1.87388459250446E-2</v>
      </c>
      <c r="J403" s="4">
        <f ca="1"/>
        <v>5.6145675265553807E-2</v>
      </c>
      <c r="K403" s="4">
        <f ca="1"/>
        <v>4.23586680847583E-2</v>
      </c>
      <c r="L403" s="4">
        <f ca="1"/>
        <v>5.7545271629778627E-2</v>
      </c>
      <c r="M403" s="4">
        <f ca="1"/>
        <v>8.6623775282788085E-3</v>
      </c>
      <c r="N403" s="4">
        <f ca="1"/>
        <v>5.6699057446536472E-3</v>
      </c>
      <c r="O403" s="4">
        <f ca="1"/>
        <v>1.9441298603246615E-2</v>
      </c>
      <c r="P403" s="4">
        <f ca="1"/>
        <v>1.0691965966418193E-2</v>
      </c>
    </row>
    <row r="404" spans="1:16" x14ac:dyDescent="0.25">
      <c r="A404" vm="5795">
        <f ca="1"/>
        <v>45513</v>
      </c>
      <c r="B404" s="4">
        <f ca="1"/>
        <v>3.0453457259538297E-3</v>
      </c>
      <c r="C404" s="4">
        <f ca="1"/>
        <v>6.7175018155409827E-3</v>
      </c>
      <c r="D404" s="4">
        <f ca="1"/>
        <v>-7.2748435908620568E-4</v>
      </c>
      <c r="E404" s="4">
        <f ca="1"/>
        <v>-1.5437249666221731E-2</v>
      </c>
      <c r="F404" s="4">
        <f ca="1"/>
        <v>-1.9312927956927073E-3</v>
      </c>
      <c r="G404" s="4">
        <f ca="1"/>
        <v>1.7040613462084853E-3</v>
      </c>
      <c r="H404" s="4">
        <f ca="1"/>
        <v>1.5618353084168923E-2</v>
      </c>
      <c r="I404" s="4">
        <f ca="1"/>
        <v>-7.2992700729926918E-3</v>
      </c>
      <c r="J404" s="4">
        <f ca="1"/>
        <v>7.5431034482758008E-3</v>
      </c>
      <c r="K404" s="4">
        <f ca="1"/>
        <v>1.5972372113101541E-2</v>
      </c>
      <c r="L404" s="4">
        <f ca="1"/>
        <v>-1.2100456621004563E-2</v>
      </c>
      <c r="M404" s="4">
        <f ca="1"/>
        <v>6.4201442447993085E-3</v>
      </c>
      <c r="N404" s="4">
        <f ca="1"/>
        <v>-7.2513686958375345E-5</v>
      </c>
      <c r="O404" s="4">
        <f ca="1"/>
        <v>1.0121582423008091E-2</v>
      </c>
      <c r="P404" s="4">
        <f ca="1"/>
        <v>8.2693883632569687E-3</v>
      </c>
    </row>
    <row r="405" spans="1:16" x14ac:dyDescent="0.25">
      <c r="A405" vm="5808">
        <f ca="1"/>
        <v>45516</v>
      </c>
      <c r="B405" s="4">
        <f ca="1"/>
        <v>-3.562591039118268E-3</v>
      </c>
      <c r="C405" s="4">
        <f ca="1"/>
        <v>-1.0872085533943032E-2</v>
      </c>
      <c r="D405" s="4">
        <f ca="1"/>
        <v>-7.4257425742575434E-3</v>
      </c>
      <c r="E405" s="4">
        <f ca="1"/>
        <v>-8.644800406814146E-3</v>
      </c>
      <c r="F405" s="4">
        <f ca="1"/>
        <v>-2.1871701653570996E-2</v>
      </c>
      <c r="G405" s="4">
        <f ca="1"/>
        <v>-3.1187978451942211E-2</v>
      </c>
      <c r="H405" s="4">
        <f ca="1"/>
        <v>3.0516993776925627E-3</v>
      </c>
      <c r="I405" s="4">
        <f ca="1"/>
        <v>-1.4705882352941124E-2</v>
      </c>
      <c r="J405" s="4">
        <f ca="1"/>
        <v>-6.4171122994651775E-3</v>
      </c>
      <c r="K405" s="4">
        <f ca="1"/>
        <v>-3.515074260772022E-3</v>
      </c>
      <c r="L405" s="4">
        <f ca="1"/>
        <v>1.6177490177953224E-3</v>
      </c>
      <c r="M405" s="4">
        <f ca="1"/>
        <v>-1.0811482540077022E-2</v>
      </c>
      <c r="N405" s="4">
        <f ca="1"/>
        <v>9.6631494978061117E-3</v>
      </c>
      <c r="O405" s="4">
        <f ca="1"/>
        <v>-8.4316001710759148E-3</v>
      </c>
      <c r="P405" s="4">
        <f ca="1"/>
        <v>1.9457169597556501E-3</v>
      </c>
    </row>
    <row r="406" spans="1:16" x14ac:dyDescent="0.25">
      <c r="A406" vm="5822">
        <f ca="1"/>
        <v>45517</v>
      </c>
      <c r="B406" s="4">
        <f ca="1"/>
        <v>6.6046708232061491E-3</v>
      </c>
      <c r="C406" s="4">
        <f ca="1"/>
        <v>3.023988747948847E-2</v>
      </c>
      <c r="D406" s="4">
        <f ca="1"/>
        <v>4.2540707055889193E-3</v>
      </c>
      <c r="E406" s="4">
        <f ca="1"/>
        <v>-6.4119004873042229E-4</v>
      </c>
      <c r="F406" s="4">
        <f ca="1"/>
        <v>2.8775253282176116E-3</v>
      </c>
      <c r="G406" s="4">
        <f ca="1"/>
        <v>1.1706175007316411E-2</v>
      </c>
      <c r="H406" s="4">
        <f ca="1"/>
        <v>2.8097595895722804E-2</v>
      </c>
      <c r="I406" s="4">
        <f ca="1"/>
        <v>-8.3582089552238781E-3</v>
      </c>
      <c r="J406" s="4">
        <f ca="1"/>
        <v>-1.4352350197345265E-3</v>
      </c>
      <c r="K406" s="4">
        <f ca="1"/>
        <v>2.4401589301288773E-2</v>
      </c>
      <c r="L406" s="4">
        <f ca="1"/>
        <v>7.5373019535456276E-3</v>
      </c>
      <c r="M406" s="4">
        <f ca="1"/>
        <v>5.4438860971524061E-3</v>
      </c>
      <c r="N406" s="4">
        <f ca="1"/>
        <v>4.5070119049757107E-3</v>
      </c>
      <c r="O406" s="4">
        <f ca="1"/>
        <v>1.1522583030377787E-2</v>
      </c>
      <c r="P406" s="4">
        <f ca="1"/>
        <v>1.7698679973451981E-2</v>
      </c>
    </row>
    <row r="407" spans="1:16" x14ac:dyDescent="0.25">
      <c r="A407" vm="5833">
        <f ca="1"/>
        <v>45518</v>
      </c>
      <c r="B407" s="4">
        <f ca="1"/>
        <v>1.2002869490665535E-2</v>
      </c>
      <c r="C407" s="4">
        <f ca="1"/>
        <v>2.3764979521665452E-3</v>
      </c>
      <c r="D407" s="4">
        <f ca="1"/>
        <v>1.7528483786153348E-3</v>
      </c>
      <c r="E407" s="4">
        <f ca="1"/>
        <v>-4.2773429145814834E-3</v>
      </c>
      <c r="F407" s="4">
        <f ca="1"/>
        <v>9.0262418554607482E-3</v>
      </c>
      <c r="G407" s="4">
        <f ca="1"/>
        <v>-2.3141452126120843E-3</v>
      </c>
      <c r="H407" s="4">
        <f ca="1"/>
        <v>-1.3751885807125497E-2</v>
      </c>
      <c r="I407" s="4">
        <f ca="1"/>
        <v>4.2143287176399369E-3</v>
      </c>
      <c r="J407" s="4">
        <f ca="1"/>
        <v>-4.3118936399567653E-3</v>
      </c>
      <c r="K407" s="4">
        <f ca="1"/>
        <v>-3.3677678132212341E-3</v>
      </c>
      <c r="L407" s="4">
        <f ca="1"/>
        <v>5.6106870229009065E-3</v>
      </c>
      <c r="M407" s="4">
        <f ca="1"/>
        <v>4.0816326530612734E-3</v>
      </c>
      <c r="N407" s="4">
        <f ca="1"/>
        <v>6.7927496335491444E-3</v>
      </c>
      <c r="O407" s="4">
        <f ca="1"/>
        <v>-2.3087231968810906E-2</v>
      </c>
      <c r="P407" s="4">
        <f ca="1"/>
        <v>6.883891693437505E-3</v>
      </c>
    </row>
    <row r="408" spans="1:16" x14ac:dyDescent="0.25">
      <c r="A408" vm="5846">
        <f ca="1"/>
        <v>45519</v>
      </c>
      <c r="B408" s="4">
        <f ca="1"/>
        <v>2.1525268417503796E-2</v>
      </c>
      <c r="C408" s="4">
        <f ca="1"/>
        <v>2.5297619047619069E-2</v>
      </c>
      <c r="D408" s="4">
        <f ca="1"/>
        <v>1.0207057451152579E-3</v>
      </c>
      <c r="E408" s="4">
        <f ca="1"/>
        <v>-1.0610421409854354E-2</v>
      </c>
      <c r="F408" s="4">
        <f ca="1"/>
        <v>-5.2132701421802041E-3</v>
      </c>
      <c r="G408" s="4">
        <f ca="1"/>
        <v>-8.6981733835895803E-3</v>
      </c>
      <c r="H408" s="4">
        <f ca="1"/>
        <v>2.3474730834853297E-2</v>
      </c>
      <c r="I408" s="4">
        <f ca="1"/>
        <v>8.0935251798561758E-3</v>
      </c>
      <c r="J408" s="4">
        <f ca="1"/>
        <v>4.1501263081919815E-2</v>
      </c>
      <c r="K408" s="4">
        <f ca="1"/>
        <v>2.0066064241780035E-2</v>
      </c>
      <c r="L408" s="4">
        <f ca="1"/>
        <v>1.6965878468136575E-2</v>
      </c>
      <c r="M408" s="4">
        <f ca="1"/>
        <v>1.7255682760909163E-2</v>
      </c>
      <c r="N408" s="4">
        <f ca="1"/>
        <v>-5.2022300344448658E-3</v>
      </c>
      <c r="O408" s="4">
        <f ca="1"/>
        <v>5.7990896052877439E-3</v>
      </c>
      <c r="P408" s="4">
        <f ca="1"/>
        <v>1.0003358441682986E-2</v>
      </c>
    </row>
    <row r="409" spans="1:16" x14ac:dyDescent="0.25">
      <c r="A409" vm="5860">
        <f ca="1"/>
        <v>45520</v>
      </c>
      <c r="B409" s="4">
        <f ca="1"/>
        <v>-1.2592241554397199E-2</v>
      </c>
      <c r="C409" s="4">
        <f ca="1"/>
        <v>-7.4782908169539475E-3</v>
      </c>
      <c r="D409" s="4">
        <f ca="1"/>
        <v>7.7203204661324687E-3</v>
      </c>
      <c r="E409" s="4">
        <f ca="1"/>
        <v>8.7704063911080432E-3</v>
      </c>
      <c r="F409" s="4">
        <f ca="1"/>
        <v>-1.7865650309667469E-4</v>
      </c>
      <c r="G409" s="4">
        <f ca="1"/>
        <v>1.2576776835331982E-2</v>
      </c>
      <c r="H409" s="4">
        <f ca="1"/>
        <v>3.334099793055767E-3</v>
      </c>
      <c r="I409" s="4">
        <f ca="1"/>
        <v>-6.2444246208742671E-3</v>
      </c>
      <c r="J409" s="4">
        <f ca="1"/>
        <v>1.3513513513513598E-2</v>
      </c>
      <c r="K409" s="4">
        <f ca="1"/>
        <v>-1.8443042450635661E-2</v>
      </c>
      <c r="L409" s="4">
        <f ca="1"/>
        <v>-7.650966634321188E-3</v>
      </c>
      <c r="M409" s="4">
        <f ca="1"/>
        <v>1.8757135866904751E-3</v>
      </c>
      <c r="N409" s="4">
        <f ca="1"/>
        <v>-2.8556640311261372E-4</v>
      </c>
      <c r="O409" s="4">
        <f ca="1"/>
        <v>1.0291382517048975E-2</v>
      </c>
      <c r="P409" s="4">
        <f ca="1"/>
        <v>-6.0803268175663172E-3</v>
      </c>
    </row>
    <row r="410" spans="1:16" x14ac:dyDescent="0.25">
      <c r="A410" vm="5873">
        <f ca="1"/>
        <v>45523</v>
      </c>
      <c r="B410" s="4">
        <f ca="1"/>
        <v>5.3136784367502354E-3</v>
      </c>
      <c r="C410" s="4">
        <f ca="1"/>
        <v>1.1549805437826688E-2</v>
      </c>
      <c r="D410" s="4">
        <f ca="1"/>
        <v>-2.8910089621277946E-3</v>
      </c>
      <c r="E410" s="4">
        <f ca="1"/>
        <v>5.2939657398638484E-3</v>
      </c>
      <c r="F410" s="4">
        <f ca="1"/>
        <v>3.1568288760497332E-3</v>
      </c>
      <c r="G410" s="4">
        <f ca="1"/>
        <v>2.1374927787406239E-2</v>
      </c>
      <c r="H410" s="4">
        <f ca="1"/>
        <v>5.2137045949351979E-3</v>
      </c>
      <c r="I410" s="4">
        <f ca="1"/>
        <v>6.582884500299091E-3</v>
      </c>
      <c r="J410" s="4">
        <f ca="1"/>
        <v>1.6068376068375967E-2</v>
      </c>
      <c r="K410" s="4">
        <f ca="1"/>
        <v>3.5266011907020278E-3</v>
      </c>
      <c r="L410" s="4">
        <f ca="1"/>
        <v>8.3117078491106167E-3</v>
      </c>
      <c r="M410" s="4">
        <f ca="1"/>
        <v>-1.1151811151811075E-2</v>
      </c>
      <c r="N410" s="4">
        <f ca="1"/>
        <v>-3.1064217235284852E-3</v>
      </c>
      <c r="O410" s="4">
        <f ca="1"/>
        <v>2.2766323024054902E-2</v>
      </c>
      <c r="P410" s="4">
        <f ca="1"/>
        <v>7.3123521399383051E-3</v>
      </c>
    </row>
    <row r="411" spans="1:16" x14ac:dyDescent="0.25">
      <c r="A411" vm="5888">
        <f ca="1"/>
        <v>45524</v>
      </c>
      <c r="B411" s="4">
        <f ca="1"/>
        <v>-7.1781756180733236E-3</v>
      </c>
      <c r="C411" s="4">
        <f ca="1"/>
        <v>-1.3329086320535088E-2</v>
      </c>
      <c r="D411" s="4">
        <f ca="1"/>
        <v>5.7987822557261648E-3</v>
      </c>
      <c r="E411" s="4">
        <f ca="1"/>
        <v>-1.2844115254526667E-3</v>
      </c>
      <c r="F411" s="4">
        <f ca="1"/>
        <v>1.181569884811795E-2</v>
      </c>
      <c r="G411" s="4">
        <f ca="1"/>
        <v>-1.9796380090497667E-3</v>
      </c>
      <c r="H411" s="4">
        <f ca="1"/>
        <v>-1.9435736677115956E-2</v>
      </c>
      <c r="I411" s="4">
        <f ca="1"/>
        <v>-1.7835909631391811E-3</v>
      </c>
      <c r="J411" s="4">
        <f ca="1"/>
        <v>-3.432032301480481E-2</v>
      </c>
      <c r="K411" s="4">
        <f ca="1"/>
        <v>-4.8178657799273772E-3</v>
      </c>
      <c r="L411" s="4">
        <f ca="1"/>
        <v>-4.625139873181694E-3</v>
      </c>
      <c r="M411" s="4">
        <f ca="1"/>
        <v>3.7043134672365419E-4</v>
      </c>
      <c r="N411" s="4">
        <f ca="1"/>
        <v>-2.4713909633051756E-3</v>
      </c>
      <c r="O411" s="4">
        <f ca="1"/>
        <v>3.0599388012240158E-3</v>
      </c>
      <c r="P411" s="4">
        <f ca="1"/>
        <v>7.7574549854104724E-3</v>
      </c>
    </row>
    <row r="412" spans="1:16" x14ac:dyDescent="0.25">
      <c r="A412" vm="5899">
        <f ca="1"/>
        <v>45525</v>
      </c>
      <c r="B412" s="4">
        <f ca="1"/>
        <v>6.268354256470321E-3</v>
      </c>
      <c r="C412" s="4">
        <f ca="1"/>
        <v>2.5801485013285719E-2</v>
      </c>
      <c r="D412" s="4">
        <f ca="1"/>
        <v>2.7385413663880698E-3</v>
      </c>
      <c r="E412" s="4">
        <f ca="1"/>
        <v>4.7584344322029182E-3</v>
      </c>
      <c r="F412" s="4">
        <f ca="1"/>
        <v>-1.4670500557478761E-3</v>
      </c>
      <c r="G412" s="4">
        <f ca="1"/>
        <v>4.2504958911873114E-3</v>
      </c>
      <c r="H412" s="4">
        <f ca="1"/>
        <v>-3.487561032318065E-3</v>
      </c>
      <c r="I412" s="4">
        <f ca="1"/>
        <v>6.2537224538417036E-3</v>
      </c>
      <c r="J412" s="4">
        <f ca="1"/>
        <v>1.8815331010452852E-2</v>
      </c>
      <c r="K412" s="4">
        <f ca="1"/>
        <v>1.6004404533631833E-2</v>
      </c>
      <c r="L412" s="4">
        <f ca="1"/>
        <v>9.3682080491643838E-3</v>
      </c>
      <c r="M412" s="4">
        <f ca="1"/>
        <v>6.953301789755173E-3</v>
      </c>
      <c r="N412" s="4">
        <f ca="1"/>
        <v>-5.8347246907596295E-3</v>
      </c>
      <c r="O412" s="4">
        <f ca="1"/>
        <v>-7.9554970690274285E-3</v>
      </c>
      <c r="P412" s="4">
        <f ca="1"/>
        <v>-1.5536723163842581E-3</v>
      </c>
    </row>
    <row r="413" spans="1:16" x14ac:dyDescent="0.25">
      <c r="A413" vm="5913">
        <f ca="1"/>
        <v>45526</v>
      </c>
      <c r="B413" s="4">
        <f ca="1"/>
        <v>2.3210567634910362E-3</v>
      </c>
      <c r="C413" s="4">
        <f ca="1"/>
        <v>-5.3742616442334912E-3</v>
      </c>
      <c r="D413" s="4">
        <f ca="1"/>
        <v>-3.4497628288054916E-3</v>
      </c>
      <c r="E413" s="4">
        <f ca="1"/>
        <v>-1.0239781551327765E-3</v>
      </c>
      <c r="F413" s="4">
        <f ca="1"/>
        <v>-5.8768218147542406E-5</v>
      </c>
      <c r="G413" s="4">
        <f ca="1"/>
        <v>2.2573363431153126E-3</v>
      </c>
      <c r="H413" s="4">
        <f ca="1"/>
        <v>-2.9164722351843198E-2</v>
      </c>
      <c r="I413" s="4">
        <f ca="1"/>
        <v>-1.6572950577093848E-2</v>
      </c>
      <c r="J413" s="4">
        <f ca="1"/>
        <v>-7.1819425444595852E-3</v>
      </c>
      <c r="K413" s="4">
        <f ca="1"/>
        <v>-6.0355781448538925E-3</v>
      </c>
      <c r="L413" s="4">
        <f ca="1"/>
        <v>-5.7915057915057799E-3</v>
      </c>
      <c r="M413" s="4">
        <f ca="1"/>
        <v>-4.249407534526517E-3</v>
      </c>
      <c r="N413" s="4">
        <f ca="1"/>
        <v>5.9050852354809447E-3</v>
      </c>
      <c r="O413" s="4">
        <f ca="1"/>
        <v>-1.2360566777208204E-2</v>
      </c>
      <c r="P413" s="4">
        <f ca="1"/>
        <v>-2.0252746734568672E-2</v>
      </c>
    </row>
    <row r="414" spans="1:16" x14ac:dyDescent="0.25">
      <c r="A414" vm="5927">
        <f ca="1"/>
        <v>45527</v>
      </c>
      <c r="B414" s="4">
        <f ca="1"/>
        <v>1.1101651626085562E-2</v>
      </c>
      <c r="C414" s="4">
        <f ca="1"/>
        <v>2.8963637248697882E-2</v>
      </c>
      <c r="D414" s="4">
        <f ca="1"/>
        <v>6.6349343718448139E-3</v>
      </c>
      <c r="E414" s="4">
        <f ca="1"/>
        <v>7.9866746391048515E-3</v>
      </c>
      <c r="F414" s="4">
        <f ca="1"/>
        <v>-5.7596238612989126E-3</v>
      </c>
      <c r="G414" s="4">
        <f ca="1"/>
        <v>1.0979729729729604E-2</v>
      </c>
      <c r="H414" s="4">
        <f ca="1"/>
        <v>2.9079548185532378E-2</v>
      </c>
      <c r="I414" s="4">
        <f ca="1"/>
        <v>1.384291303039431E-2</v>
      </c>
      <c r="J414" s="4">
        <f ca="1"/>
        <v>5.0637271787805638E-2</v>
      </c>
      <c r="K414" s="4">
        <f ca="1"/>
        <v>-7.3881901753989343E-3</v>
      </c>
      <c r="L414" s="4">
        <f ca="1"/>
        <v>2.0052277819268216E-2</v>
      </c>
      <c r="M414" s="4">
        <f ca="1"/>
        <v>6.0730406237177181E-3</v>
      </c>
      <c r="N414" s="4">
        <f ca="1"/>
        <v>-3.6263755991597924E-3</v>
      </c>
      <c r="O414" s="4">
        <f ca="1"/>
        <v>1.1111111111111072E-2</v>
      </c>
      <c r="P414" s="4">
        <f ca="1"/>
        <v>2.9839971122609388E-3</v>
      </c>
    </row>
    <row r="415" spans="1:16" x14ac:dyDescent="0.25">
      <c r="A415" vm="5940">
        <f ca="1"/>
        <v>45530</v>
      </c>
      <c r="B415" s="4">
        <f ca="1"/>
        <v>-4.3279108147250556E-3</v>
      </c>
      <c r="C415" s="4">
        <f ca="1"/>
        <v>-8.3025830258302014E-3</v>
      </c>
      <c r="D415" s="4">
        <f ca="1"/>
        <v>1.5045135406218657E-2</v>
      </c>
      <c r="E415" s="4">
        <f ca="1"/>
        <v>-3.9828820812677357E-3</v>
      </c>
      <c r="F415" s="4">
        <f ca="1"/>
        <v>6.9752320151328373E-3</v>
      </c>
      <c r="G415" s="4">
        <f ca="1"/>
        <v>5.5694792536908899E-4</v>
      </c>
      <c r="H415" s="4">
        <f ca="1"/>
        <v>-1.2902849135917882E-2</v>
      </c>
      <c r="I415" s="4">
        <f ca="1"/>
        <v>-5.9364796675565046E-4</v>
      </c>
      <c r="J415" s="4">
        <f ca="1"/>
        <v>-8.5245901639344757E-3</v>
      </c>
      <c r="K415" s="4">
        <f ca="1"/>
        <v>-1.3030303030303059E-2</v>
      </c>
      <c r="L415" s="4">
        <f ca="1"/>
        <v>-7.9071640370466101E-3</v>
      </c>
      <c r="M415" s="4">
        <f ca="1"/>
        <v>-8.4427767354596783E-3</v>
      </c>
      <c r="N415" s="4">
        <f ca="1"/>
        <v>5.5674672528422953E-3</v>
      </c>
      <c r="O415" s="4">
        <f ca="1"/>
        <v>3.2604757879481916E-3</v>
      </c>
      <c r="P415" s="4">
        <f ca="1"/>
        <v>-7.9176563737134442E-3</v>
      </c>
    </row>
    <row r="416" spans="1:16" x14ac:dyDescent="0.25">
      <c r="A416" vm="5954">
        <f ca="1"/>
        <v>45531</v>
      </c>
      <c r="B416" s="4">
        <f ca="1"/>
        <v>-1.961945031712431E-3</v>
      </c>
      <c r="C416" s="4">
        <f ca="1"/>
        <v>-6.7740011926057386E-3</v>
      </c>
      <c r="D416" s="4">
        <f ca="1"/>
        <v>9.3167701863352548E-3</v>
      </c>
      <c r="E416" s="4">
        <f ca="1"/>
        <v>5.7855106989408434E-3</v>
      </c>
      <c r="F416" s="4">
        <f ca="1"/>
        <v>-6.457293806868214E-3</v>
      </c>
      <c r="G416" s="4">
        <f ca="1"/>
        <v>-5.2880601168938668E-3</v>
      </c>
      <c r="H416" s="4">
        <f ca="1"/>
        <v>8.7537706275508942E-3</v>
      </c>
      <c r="I416" s="4">
        <f ca="1"/>
        <v>-2.6730026730027445E-3</v>
      </c>
      <c r="J416" s="4">
        <f ca="1"/>
        <v>2.6455026455027841E-3</v>
      </c>
      <c r="K416" s="4">
        <f ca="1"/>
        <v>-3.8762665029167254E-3</v>
      </c>
      <c r="L416" s="4">
        <f ca="1"/>
        <v>-2.3984354820854037E-3</v>
      </c>
      <c r="M416" s="4">
        <f ca="1"/>
        <v>-1.2874830323721831E-2</v>
      </c>
      <c r="N416" s="4">
        <f ca="1"/>
        <v>4.1390431822252438E-3</v>
      </c>
      <c r="O416" s="4">
        <f ca="1"/>
        <v>-8.9070775156474546E-3</v>
      </c>
      <c r="P416" s="4">
        <f ca="1"/>
        <v>8.4645336041977437E-4</v>
      </c>
    </row>
    <row r="417" spans="1:16" x14ac:dyDescent="0.25">
      <c r="A417" vm="5968">
        <f ca="1"/>
        <v>45532</v>
      </c>
      <c r="B417" s="4">
        <f ca="1"/>
        <v>-3.5248860343337629E-3</v>
      </c>
      <c r="C417" s="4">
        <f ca="1"/>
        <v>9.6059172450146946E-5</v>
      </c>
      <c r="D417" s="4">
        <f ca="1"/>
        <v>3.4965034965035446E-3</v>
      </c>
      <c r="E417" s="4">
        <f ca="1"/>
        <v>2.7069322843971122E-3</v>
      </c>
      <c r="F417" s="4">
        <f ca="1"/>
        <v>-1.1225997045790637E-3</v>
      </c>
      <c r="G417" s="4">
        <f ca="1"/>
        <v>-9.7929490766648364E-3</v>
      </c>
      <c r="H417" s="4">
        <f ca="1"/>
        <v>-7.9155672823220113E-3</v>
      </c>
      <c r="I417" s="4">
        <f ca="1"/>
        <v>4.1691483025609877E-3</v>
      </c>
      <c r="J417" s="4">
        <f ca="1"/>
        <v>1.4511873350923521E-2</v>
      </c>
      <c r="K417" s="4">
        <f ca="1"/>
        <v>-4.4692737430168661E-3</v>
      </c>
      <c r="L417" s="4">
        <f ca="1"/>
        <v>-1.0578487942003334E-2</v>
      </c>
      <c r="M417" s="4">
        <f ca="1"/>
        <v>1.6251354279523955E-3</v>
      </c>
      <c r="N417" s="4">
        <f ca="1"/>
        <v>6.3703360039970569E-3</v>
      </c>
      <c r="O417" s="4">
        <f ca="1"/>
        <v>-1.1112460529511869E-2</v>
      </c>
      <c r="P417" s="4">
        <f ca="1"/>
        <v>-7.8291127005605254E-3</v>
      </c>
    </row>
    <row r="418" spans="1:16" x14ac:dyDescent="0.25">
      <c r="A418" vm="5981">
        <f ca="1"/>
        <v>45533</v>
      </c>
      <c r="B418" s="4">
        <f ca="1"/>
        <v>5.4590908317886377E-3</v>
      </c>
      <c r="C418" s="4">
        <f ca="1"/>
        <v>-7.0596710289350106E-3</v>
      </c>
      <c r="D418" s="4">
        <f ca="1"/>
        <v>4.1811846689894239E-3</v>
      </c>
      <c r="E418" s="4">
        <f ca="1"/>
        <v>2.6996245834565169E-3</v>
      </c>
      <c r="F418" s="4">
        <f ca="1"/>
        <v>5.7376079498403509E-3</v>
      </c>
      <c r="G418" s="4">
        <f ca="1"/>
        <v>-3.6733540548178345E-3</v>
      </c>
      <c r="H418" s="4">
        <f ca="1"/>
        <v>-2.9550827423152626E-4</v>
      </c>
      <c r="I418" s="4">
        <f ca="1"/>
        <v>6.5243179122183026E-3</v>
      </c>
      <c r="J418" s="4">
        <f ca="1"/>
        <v>-1.2028608582574818E-2</v>
      </c>
      <c r="K418" s="4">
        <f ca="1"/>
        <v>2.7864855451062986E-3</v>
      </c>
      <c r="L418" s="4">
        <f ca="1"/>
        <v>1.3271028037383115E-2</v>
      </c>
      <c r="M418" s="4">
        <f ca="1"/>
        <v>-9.9846070641095297E-3</v>
      </c>
      <c r="N418" s="4">
        <f ca="1"/>
        <v>5.0888329373381946E-3</v>
      </c>
      <c r="O418" s="4">
        <f ca="1"/>
        <v>-6.5704636168252284E-3</v>
      </c>
      <c r="P418" s="4">
        <f ca="1"/>
        <v>6.1373599610325957E-3</v>
      </c>
    </row>
    <row r="419" spans="1:16" x14ac:dyDescent="0.25">
      <c r="A419" vm="5994">
        <f ca="1"/>
        <v>45534</v>
      </c>
      <c r="B419" s="4">
        <f ca="1"/>
        <v>1.5188931362267954E-2</v>
      </c>
      <c r="C419" s="4">
        <f ca="1"/>
        <v>2.4884525162632176E-2</v>
      </c>
      <c r="D419" s="4">
        <f ca="1"/>
        <v>5.829285218598157E-3</v>
      </c>
      <c r="E419" s="4">
        <f ca="1"/>
        <v>1.4261074418408848E-2</v>
      </c>
      <c r="F419" s="4">
        <f ca="1"/>
        <v>8.8807857436923321E-3</v>
      </c>
      <c r="G419" s="4">
        <f ca="1"/>
        <v>4.8213272830404108E-3</v>
      </c>
      <c r="H419" s="4">
        <f ca="1"/>
        <v>1.5075376884422065E-2</v>
      </c>
      <c r="I419" s="4">
        <f ca="1"/>
        <v>9.7230406599884134E-3</v>
      </c>
      <c r="J419" s="4">
        <f ca="1"/>
        <v>-4.9358341559724295E-3</v>
      </c>
      <c r="K419" s="4">
        <f ca="1"/>
        <v>5.9627185365287438E-3</v>
      </c>
      <c r="L419" s="4">
        <f ca="1"/>
        <v>1.5052573325954555E-2</v>
      </c>
      <c r="M419" s="4">
        <f ca="1"/>
        <v>1.1514056393663097E-2</v>
      </c>
      <c r="N419" s="4">
        <f ca="1"/>
        <v>2.2051689159390264E-3</v>
      </c>
      <c r="O419" s="4">
        <f ca="1"/>
        <v>9.8899740388180835E-3</v>
      </c>
      <c r="P419" s="4">
        <f ca="1"/>
        <v>9.7308288148720834E-3</v>
      </c>
    </row>
    <row r="420" spans="1:16" x14ac:dyDescent="0.25">
      <c r="A420" vm="6007">
        <f ca="1"/>
        <v>45538</v>
      </c>
      <c r="B420" s="4">
        <f ca="1"/>
        <v>-4.1402865711429593E-2</v>
      </c>
      <c r="C420" s="4">
        <f ca="1"/>
        <v>-4.8135913166588051E-2</v>
      </c>
      <c r="D420" s="4">
        <f ca="1"/>
        <v>7.4513591831102399E-3</v>
      </c>
      <c r="E420" s="4">
        <f ca="1"/>
        <v>8.5026959767731114E-3</v>
      </c>
      <c r="F420" s="4">
        <f ca="1"/>
        <v>1.7372041506354297E-2</v>
      </c>
      <c r="G420" s="4">
        <f ca="1"/>
        <v>4.5159469376236938E-3</v>
      </c>
      <c r="H420" s="4">
        <f ca="1"/>
        <v>-6.5288293535235797E-2</v>
      </c>
      <c r="I420" s="4">
        <f ca="1"/>
        <v>9.0458126641375092E-3</v>
      </c>
      <c r="J420" s="4">
        <f ca="1"/>
        <v>-5.3571428571428492E-2</v>
      </c>
      <c r="K420" s="4">
        <f ca="1"/>
        <v>-1.8319234236826354E-2</v>
      </c>
      <c r="L420" s="4">
        <f ca="1"/>
        <v>-6.3715334569112714E-2</v>
      </c>
      <c r="M420" s="4">
        <f ca="1"/>
        <v>2.5217066179219705E-2</v>
      </c>
      <c r="N420" s="4">
        <f ca="1"/>
        <v>-1.5490230593205867E-3</v>
      </c>
      <c r="O420" s="4">
        <f ca="1"/>
        <v>-3.6846615252784765E-2</v>
      </c>
      <c r="P420" s="4">
        <f ca="1"/>
        <v>-1.8459030541305044E-2</v>
      </c>
    </row>
    <row r="421" spans="1:16" x14ac:dyDescent="0.25">
      <c r="A421" vm="6019">
        <f ca="1"/>
        <v>45539</v>
      </c>
      <c r="B421" s="4">
        <f ca="1"/>
        <v>2.7809159641958292E-3</v>
      </c>
      <c r="C421" s="4">
        <f ca="1"/>
        <v>-2.6276648487852938E-3</v>
      </c>
      <c r="D421" s="4">
        <f ca="1"/>
        <v>-6.1635392411998335E-3</v>
      </c>
      <c r="E421" s="4">
        <f ca="1"/>
        <v>-1.1268764137363774E-2</v>
      </c>
      <c r="F421" s="4">
        <f ca="1"/>
        <v>7.9074031629613462E-3</v>
      </c>
      <c r="G421" s="4">
        <f ca="1"/>
        <v>1.3486934532171979E-2</v>
      </c>
      <c r="H421" s="4">
        <f ca="1"/>
        <v>2.3677487693936072E-3</v>
      </c>
      <c r="I421" s="4">
        <f ca="1"/>
        <v>8.0971659919029104E-3</v>
      </c>
      <c r="J421" s="4">
        <f ca="1"/>
        <v>6.2893081761006275E-3</v>
      </c>
      <c r="K421" s="4">
        <f ca="1"/>
        <v>1.9149601375645364E-3</v>
      </c>
      <c r="L421" s="4">
        <f ca="1"/>
        <v>-7.4922360248448339E-3</v>
      </c>
      <c r="M421" s="4">
        <f ca="1"/>
        <v>-6.8887268011985636E-4</v>
      </c>
      <c r="N421" s="4">
        <f ca="1"/>
        <v>1.3328161912485426E-2</v>
      </c>
      <c r="O421" s="4">
        <f ca="1"/>
        <v>-5.7829181494662985E-3</v>
      </c>
      <c r="P421" s="4">
        <f ca="1"/>
        <v>-1.3188745603751606E-3</v>
      </c>
    </row>
    <row r="422" spans="1:16" x14ac:dyDescent="0.25">
      <c r="A422" vm="6032">
        <f ca="1"/>
        <v>45540</v>
      </c>
      <c r="B422" s="4">
        <f ca="1"/>
        <v>-3.0331917843834377E-3</v>
      </c>
      <c r="C422" s="4">
        <f ca="1"/>
        <v>-1.4912760351937226E-4</v>
      </c>
      <c r="D422" s="4">
        <f ca="1"/>
        <v>-1.9156560088202879E-2</v>
      </c>
      <c r="E422" s="4">
        <f ca="1"/>
        <v>-5.657002620523266E-3</v>
      </c>
      <c r="F422" s="4">
        <f ca="1"/>
        <v>-2.4445707788516291E-3</v>
      </c>
      <c r="G422" s="4">
        <f ca="1"/>
        <v>1.6634322151372061E-3</v>
      </c>
      <c r="H422" s="4">
        <f ca="1"/>
        <v>1.7591844346366514E-2</v>
      </c>
      <c r="I422" s="4">
        <f ca="1"/>
        <v>-2.409638554216853E-2</v>
      </c>
      <c r="J422" s="4">
        <f ca="1"/>
        <v>-2.3611111111111138E-2</v>
      </c>
      <c r="K422" s="4">
        <f ca="1"/>
        <v>8.0352615360612667E-3</v>
      </c>
      <c r="L422" s="4">
        <f ca="1"/>
        <v>-1.6740329330777959E-2</v>
      </c>
      <c r="M422" s="4">
        <f ca="1"/>
        <v>6.8123758160658632E-3</v>
      </c>
      <c r="N422" s="4">
        <f ca="1"/>
        <v>-1.0769337833605785E-2</v>
      </c>
      <c r="O422" s="4">
        <f ca="1"/>
        <v>5.0495365931608749E-3</v>
      </c>
      <c r="P422" s="4">
        <f ca="1"/>
        <v>-1.2472487160675172E-3</v>
      </c>
    </row>
    <row r="423" spans="1:16" x14ac:dyDescent="0.25">
      <c r="A423" vm="6045">
        <f ca="1"/>
        <v>45541</v>
      </c>
      <c r="B423" s="4">
        <f ca="1"/>
        <v>-6.7628650904034693E-3</v>
      </c>
      <c r="C423" s="4">
        <f ca="1"/>
        <v>-4.2259122998900001E-4</v>
      </c>
      <c r="D423" s="4">
        <f ca="1"/>
        <v>-4.2152592384436804E-4</v>
      </c>
      <c r="E423" s="4">
        <f ca="1"/>
        <v>3.2210834553438872E-3</v>
      </c>
      <c r="F423" s="4">
        <f ca="1"/>
        <v>6.8387758591215153E-4</v>
      </c>
      <c r="G423" s="4">
        <f ca="1"/>
        <v>-8.0265707168557521E-3</v>
      </c>
      <c r="H423" s="4">
        <f ca="1"/>
        <v>-4.2028100183262085E-2</v>
      </c>
      <c r="I423" s="4">
        <f ca="1"/>
        <v>-1.9106407995297059E-2</v>
      </c>
      <c r="J423" s="4">
        <f ca="1"/>
        <v>-1.5291607396870521E-2</v>
      </c>
      <c r="K423" s="4">
        <f ca="1"/>
        <v>-3.2097666679565151E-2</v>
      </c>
      <c r="L423" s="4">
        <f ca="1"/>
        <v>-1.3803253908269975E-2</v>
      </c>
      <c r="M423" s="4">
        <f ca="1"/>
        <v>2.8998348705142618E-3</v>
      </c>
      <c r="N423" s="4">
        <f ca="1"/>
        <v>-3.4471235864156347E-3</v>
      </c>
      <c r="O423" s="4">
        <f ca="1"/>
        <v>-4.0193335029254817E-2</v>
      </c>
      <c r="P423" s="4">
        <f ca="1"/>
        <v>-1.6381400132226553E-2</v>
      </c>
    </row>
    <row r="424" spans="1:16" x14ac:dyDescent="0.25">
      <c r="A424" vm="6060">
        <f ca="1"/>
        <v>45544</v>
      </c>
      <c r="B424" s="4">
        <f ca="1"/>
        <v>1.5560728851236716E-2</v>
      </c>
      <c r="C424" s="4">
        <f ca="1"/>
        <v>-1.7482778344234284E-2</v>
      </c>
      <c r="D424" s="4">
        <f ca="1"/>
        <v>9.9803204947988E-3</v>
      </c>
      <c r="E424" s="4">
        <f ca="1"/>
        <v>2.368442998915854E-2</v>
      </c>
      <c r="F424" s="4">
        <f ca="1"/>
        <v>2.6766900165158258E-3</v>
      </c>
      <c r="G424" s="4">
        <f ca="1"/>
        <v>5.859374999999778E-3</v>
      </c>
      <c r="H424" s="4">
        <f ca="1"/>
        <v>3.8005356459635209E-2</v>
      </c>
      <c r="I424" s="4">
        <f ca="1"/>
        <v>1.1687144141444339E-2</v>
      </c>
      <c r="J424" s="4">
        <f ca="1"/>
        <v>-7.9451065366559215E-3</v>
      </c>
      <c r="K424" s="4">
        <f ca="1"/>
        <v>9.0351210346413247E-3</v>
      </c>
      <c r="L424" s="4">
        <f ca="1"/>
        <v>8.631816715069407E-3</v>
      </c>
      <c r="M424" s="4">
        <f ca="1"/>
        <v>7.5498975944741087E-3</v>
      </c>
      <c r="N424" s="4">
        <f ca="1"/>
        <v>1.7542311561336454E-2</v>
      </c>
      <c r="O424" s="4">
        <f ca="1"/>
        <v>-1.464351974556044E-2</v>
      </c>
      <c r="P424" s="4">
        <f ca="1"/>
        <v>1.0007468259895624E-2</v>
      </c>
    </row>
    <row r="425" spans="1:16" x14ac:dyDescent="0.25">
      <c r="A425" vm="6072">
        <f ca="1"/>
        <v>45545</v>
      </c>
      <c r="B425" s="4">
        <f ca="1"/>
        <v>1.5511892450879028E-3</v>
      </c>
      <c r="C425" s="4">
        <f ca="1"/>
        <v>4.4547939657790803E-3</v>
      </c>
      <c r="D425" s="4">
        <f ca="1"/>
        <v>-4.1753653444676075E-3</v>
      </c>
      <c r="E425" s="4">
        <f ca="1"/>
        <v>6.8024439918532575E-3</v>
      </c>
      <c r="F425" s="4">
        <f ca="1"/>
        <v>9.8261956151310947E-3</v>
      </c>
      <c r="G425" s="4">
        <f ca="1"/>
        <v>-1.4701803051317408E-2</v>
      </c>
      <c r="H425" s="4">
        <f ca="1"/>
        <v>-2.1501412949993526E-3</v>
      </c>
      <c r="I425" s="4">
        <f ca="1"/>
        <v>-7.405213270142208E-3</v>
      </c>
      <c r="J425" s="4">
        <f ca="1"/>
        <v>2.1113942482708481E-2</v>
      </c>
      <c r="K425" s="4">
        <f ca="1"/>
        <v>0</v>
      </c>
      <c r="L425" s="4">
        <f ca="1"/>
        <v>-1.1997120691031871E-4</v>
      </c>
      <c r="M425" s="4">
        <f ca="1"/>
        <v>-5.5801347203953133E-3</v>
      </c>
      <c r="N425" s="4">
        <f ca="1"/>
        <v>-7.5966491492793775E-3</v>
      </c>
      <c r="O425" s="4">
        <f ca="1"/>
        <v>-3.3622486719120381E-4</v>
      </c>
      <c r="P425" s="4">
        <f ca="1"/>
        <v>2.0901114068815785E-2</v>
      </c>
    </row>
    <row r="426" spans="1:16" x14ac:dyDescent="0.25">
      <c r="A426" vm="6081">
        <f ca="1"/>
        <v>45546</v>
      </c>
      <c r="B426" s="4">
        <f ca="1"/>
        <v>5.6788848735156439E-3</v>
      </c>
      <c r="C426" s="4">
        <f ca="1"/>
        <v>7.5849208749119157E-3</v>
      </c>
      <c r="D426" s="4">
        <f ca="1"/>
        <v>-6.5688329839272974E-3</v>
      </c>
      <c r="E426" s="4">
        <f ca="1"/>
        <v>-2.0674030019824374E-2</v>
      </c>
      <c r="F426" s="4">
        <f ca="1"/>
        <v>-2.1767253501321804E-2</v>
      </c>
      <c r="G426" s="4">
        <f ca="1"/>
        <v>-1.0135135135135309E-2</v>
      </c>
      <c r="H426" s="4">
        <f ca="1"/>
        <v>4.8020685833897625E-2</v>
      </c>
      <c r="I426" s="4">
        <f ca="1"/>
        <v>-6.2667860340197556E-3</v>
      </c>
      <c r="J426" s="4">
        <f ca="1"/>
        <v>-7.1301247771837772E-4</v>
      </c>
      <c r="K426" s="4">
        <f ca="1"/>
        <v>1.394639354979299E-2</v>
      </c>
      <c r="L426" s="4">
        <f ca="1"/>
        <v>5.2233731952165741E-2</v>
      </c>
      <c r="M426" s="4">
        <f ca="1"/>
        <v>-2.8057236762997206E-3</v>
      </c>
      <c r="N426" s="4">
        <f ca="1"/>
        <v>-9.1403205229032558E-3</v>
      </c>
      <c r="O426" s="4">
        <f ca="1"/>
        <v>1.6816897618727289E-2</v>
      </c>
      <c r="P426" s="4">
        <f ca="1"/>
        <v>2.134234669241919E-2</v>
      </c>
    </row>
    <row r="427" spans="1:16" x14ac:dyDescent="0.25">
      <c r="A427" vm="6095">
        <f ca="1"/>
        <v>45547</v>
      </c>
      <c r="B427" s="4">
        <f ca="1"/>
        <v>5.3901437371661753E-3</v>
      </c>
      <c r="C427" s="4">
        <f ca="1"/>
        <v>1.0103788920845291E-2</v>
      </c>
      <c r="D427" s="4">
        <f ca="1"/>
        <v>2.1102982554868088E-3</v>
      </c>
      <c r="E427" s="4">
        <f ca="1"/>
        <v>1.8259935553168516E-2</v>
      </c>
      <c r="F427" s="4">
        <f ca="1"/>
        <v>-2.5873965041397495E-3</v>
      </c>
      <c r="G427" s="4">
        <f ca="1"/>
        <v>1.1376564277589818E-3</v>
      </c>
      <c r="H427" s="4">
        <f ca="1"/>
        <v>7.0492862597661965E-3</v>
      </c>
      <c r="I427" s="4">
        <f ca="1"/>
        <v>4.5045045045046805E-3</v>
      </c>
      <c r="J427" s="4">
        <f ca="1"/>
        <v>1.4270424545130833E-3</v>
      </c>
      <c r="K427" s="4">
        <f ca="1"/>
        <v>2.69034640407948E-2</v>
      </c>
      <c r="L427" s="4">
        <f ca="1"/>
        <v>2.0563305332776061E-2</v>
      </c>
      <c r="M427" s="4">
        <f ca="1"/>
        <v>1.1736806141726008E-2</v>
      </c>
      <c r="N427" s="4">
        <f ca="1"/>
        <v>2.3105686468181119E-3</v>
      </c>
      <c r="O427" s="4">
        <f ca="1"/>
        <v>2.3352738819793606E-2</v>
      </c>
      <c r="P427" s="4">
        <f ca="1"/>
        <v>9.3608169440242417E-3</v>
      </c>
    </row>
    <row r="428" spans="1:16" x14ac:dyDescent="0.25">
      <c r="A428" vm="6106">
        <f ca="1"/>
        <v>45548</v>
      </c>
      <c r="B428" s="4">
        <f ca="1"/>
        <v>6.4334950217004305E-3</v>
      </c>
      <c r="C428" s="4">
        <f ca="1"/>
        <v>1.8346579514224137E-2</v>
      </c>
      <c r="D428" s="4">
        <f ca="1"/>
        <v>2.5270251298608049E-3</v>
      </c>
      <c r="E428" s="4">
        <f ca="1"/>
        <v>-6.6942551119765215E-3</v>
      </c>
      <c r="F428" s="4">
        <f ca="1"/>
        <v>3.5164581772064718E-3</v>
      </c>
      <c r="G428" s="4">
        <f ca="1"/>
        <v>1.107954545454537E-2</v>
      </c>
      <c r="H428" s="4">
        <f ca="1"/>
        <v>6.2416146532111583E-3</v>
      </c>
      <c r="I428" s="4">
        <f ca="1"/>
        <v>2.0926756352765974E-3</v>
      </c>
      <c r="J428" s="4">
        <f ca="1"/>
        <v>2.3512646954043426E-2</v>
      </c>
      <c r="K428" s="4">
        <f ca="1"/>
        <v>-1.8645357686454256E-3</v>
      </c>
      <c r="L428" s="4">
        <f ca="1"/>
        <v>3.8733705772813209E-3</v>
      </c>
      <c r="M428" s="4">
        <f ca="1"/>
        <v>3.4166302490961087E-3</v>
      </c>
      <c r="N428" s="4">
        <f ca="1"/>
        <v>2.8859521002340127E-3</v>
      </c>
      <c r="O428" s="4">
        <f ca="1"/>
        <v>1.7906781304544594E-2</v>
      </c>
      <c r="P428" s="4">
        <f ca="1"/>
        <v>8.4074941451990348E-3</v>
      </c>
    </row>
    <row r="429" spans="1:16" x14ac:dyDescent="0.25">
      <c r="A429" vm="6119">
        <f ca="1"/>
        <v>45551</v>
      </c>
      <c r="B429" s="4">
        <f ca="1"/>
        <v>9.2165119307323629E-3</v>
      </c>
      <c r="C429" s="4">
        <f ca="1"/>
        <v>1.6994894237782665E-2</v>
      </c>
      <c r="D429" s="4">
        <f ca="1"/>
        <v>9.6625122531857066E-3</v>
      </c>
      <c r="E429" s="4">
        <f ca="1"/>
        <v>-4.4929134501491275E-3</v>
      </c>
      <c r="F429" s="4">
        <f ca="1"/>
        <v>1.8152573529411686E-2</v>
      </c>
      <c r="G429" s="4">
        <f ca="1"/>
        <v>1.1239112110144056E-3</v>
      </c>
      <c r="H429" s="4">
        <f ca="1"/>
        <v>-1.982608695652166E-2</v>
      </c>
      <c r="I429" s="4">
        <f ca="1"/>
        <v>8.6515513126490529E-3</v>
      </c>
      <c r="J429" s="4">
        <f ca="1"/>
        <v>4.1768186564568044E-3</v>
      </c>
      <c r="K429" s="4">
        <f ca="1"/>
        <v>1.6507186153787545E-2</v>
      </c>
      <c r="L429" s="4">
        <f ca="1"/>
        <v>7.4200489723232899E-3</v>
      </c>
      <c r="M429" s="4">
        <f ca="1"/>
        <v>4.2760422853072022E-3</v>
      </c>
      <c r="N429" s="4">
        <f ca="1"/>
        <v>5.2815356810724801E-3</v>
      </c>
      <c r="O429" s="4">
        <f ca="1"/>
        <v>3.810491553410289E-3</v>
      </c>
      <c r="P429" s="4">
        <f ca="1"/>
        <v>1.7417961401797744E-3</v>
      </c>
    </row>
    <row r="430" spans="1:16" x14ac:dyDescent="0.25">
      <c r="A430" vm="6130">
        <f ca="1"/>
        <v>45552</v>
      </c>
      <c r="B430" s="4">
        <f ca="1"/>
        <v>1.4058782130768499E-2</v>
      </c>
      <c r="C430" s="4">
        <f ca="1"/>
        <v>4.8052786344401355E-3</v>
      </c>
      <c r="D430" s="4">
        <f ca="1"/>
        <v>-4.1608876560332853E-3</v>
      </c>
      <c r="E430" s="4">
        <f ca="1"/>
        <v>-8.4109465392031568E-3</v>
      </c>
      <c r="F430" s="4">
        <f ca="1"/>
        <v>-7.6732114646806959E-3</v>
      </c>
      <c r="G430" s="4">
        <f ca="1"/>
        <v>-1.6559079427448831E-2</v>
      </c>
      <c r="H430" s="4">
        <f ca="1"/>
        <v>-1.0231842914596778E-2</v>
      </c>
      <c r="I430" s="4">
        <f ca="1"/>
        <v>7.6900325347528664E-3</v>
      </c>
      <c r="J430" s="4">
        <f ca="1"/>
        <v>9.0121317157711989E-3</v>
      </c>
      <c r="K430" s="4">
        <f ca="1"/>
        <v>5.6911941194119908E-3</v>
      </c>
      <c r="L430" s="4">
        <f ca="1"/>
        <v>8.7648228621934887E-3</v>
      </c>
      <c r="M430" s="4">
        <f ca="1"/>
        <v>-3.1145278927655617E-3</v>
      </c>
      <c r="N430" s="4">
        <f ca="1"/>
        <v>-1.0315576345737543E-2</v>
      </c>
      <c r="O430" s="4">
        <f ca="1"/>
        <v>7.9716563330380907E-3</v>
      </c>
      <c r="P430" s="4">
        <f ca="1"/>
        <v>8.8329392126860196E-3</v>
      </c>
    </row>
    <row r="431" spans="1:16" x14ac:dyDescent="0.25">
      <c r="A431" vm="6141">
        <f ca="1"/>
        <v>45553</v>
      </c>
      <c r="B431" s="4">
        <f ca="1"/>
        <v>6.378373019151562E-3</v>
      </c>
      <c r="C431" s="4">
        <f ca="1"/>
        <v>1.1872472043778171E-2</v>
      </c>
      <c r="D431" s="4">
        <f ca="1"/>
        <v>-6.9637883008355494E-4</v>
      </c>
      <c r="E431" s="4">
        <f ca="1"/>
        <v>-1.3654419066534307E-2</v>
      </c>
      <c r="F431" s="4">
        <f ca="1"/>
        <v>-1.1143961792131063E-2</v>
      </c>
      <c r="G431" s="4">
        <f ca="1"/>
        <v>2.8538812785388057E-3</v>
      </c>
      <c r="H431" s="4">
        <f ca="1"/>
        <v>-4.1828503137131268E-4</v>
      </c>
      <c r="I431" s="4">
        <f ca="1"/>
        <v>-5.8702670971533255E-4</v>
      </c>
      <c r="J431" s="4">
        <f ca="1"/>
        <v>-1.648917897629687E-2</v>
      </c>
      <c r="K431" s="4">
        <f ca="1"/>
        <v>3.0485815239178482E-3</v>
      </c>
      <c r="L431" s="4">
        <f ca="1"/>
        <v>-6.7903037383177933E-3</v>
      </c>
      <c r="M431" s="4">
        <f ca="1"/>
        <v>-7.3558490864510384E-3</v>
      </c>
      <c r="N431" s="4">
        <f ca="1"/>
        <v>-2.6807287349429609E-3</v>
      </c>
      <c r="O431" s="4">
        <f ca="1"/>
        <v>3.0755711775043437E-3</v>
      </c>
      <c r="P431" s="4">
        <f ca="1"/>
        <v>-9.9735723313799651E-3</v>
      </c>
    </row>
    <row r="432" spans="1:16" x14ac:dyDescent="0.25">
      <c r="A432" vm="6152">
        <f ca="1"/>
        <v>45554</v>
      </c>
      <c r="B432" s="4">
        <f ca="1"/>
        <v>2.7946078189908574E-2</v>
      </c>
      <c r="C432" s="4">
        <f ca="1"/>
        <v>3.1178725105222238E-2</v>
      </c>
      <c r="D432" s="4">
        <f ca="1"/>
        <v>-1.5749128919860578E-2</v>
      </c>
      <c r="E432" s="4">
        <f ca="1"/>
        <v>4.5305814246161535E-3</v>
      </c>
      <c r="F432" s="4">
        <f ca="1"/>
        <v>-1.3684452621895105E-2</v>
      </c>
      <c r="G432" s="4">
        <f ca="1"/>
        <v>-4.268639726807022E-3</v>
      </c>
      <c r="H432" s="4">
        <f ca="1"/>
        <v>5.3443328550932589E-2</v>
      </c>
      <c r="I432" s="4">
        <f ca="1"/>
        <v>2.2026431718061623E-2</v>
      </c>
      <c r="J432" s="4">
        <f ca="1"/>
        <v>2.5148445686343113E-2</v>
      </c>
      <c r="K432" s="4">
        <f ca="1"/>
        <v>3.9315921554047728E-2</v>
      </c>
      <c r="L432" s="4">
        <f ca="1"/>
        <v>6.4948908329045096E-2</v>
      </c>
      <c r="M432" s="4">
        <f ca="1"/>
        <v>-1.0159362549800877E-2</v>
      </c>
      <c r="N432" s="4">
        <f ca="1"/>
        <v>-5.4819713876474996E-4</v>
      </c>
      <c r="O432" s="4">
        <f ca="1"/>
        <v>1.4579813528565078E-2</v>
      </c>
      <c r="P432" s="4">
        <f ca="1"/>
        <v>1.8291126018430415E-2</v>
      </c>
    </row>
    <row r="433" spans="1:16" x14ac:dyDescent="0.25">
      <c r="A433" vm="6167">
        <f ca="1"/>
        <v>45555</v>
      </c>
      <c r="B433" s="4">
        <f ca="1"/>
        <v>-3.6418816388467112E-3</v>
      </c>
      <c r="C433" s="4">
        <f ca="1"/>
        <v>-3.5799794778246241E-3</v>
      </c>
      <c r="D433" s="4">
        <f ca="1"/>
        <v>1.4443500424808686E-2</v>
      </c>
      <c r="E433" s="4">
        <f ca="1"/>
        <v>-1.0356635763801969E-2</v>
      </c>
      <c r="F433" s="4">
        <f ca="1"/>
        <v>1.5623178267459625E-2</v>
      </c>
      <c r="G433" s="4">
        <f ca="1"/>
        <v>-8.5738782509292566E-4</v>
      </c>
      <c r="H433" s="4">
        <f ca="1"/>
        <v>-1.2143911020315423E-2</v>
      </c>
      <c r="I433" s="4">
        <f ca="1"/>
        <v>3.7356321839081552E-3</v>
      </c>
      <c r="J433" s="4">
        <f ca="1"/>
        <v>-3.5775127768313486E-2</v>
      </c>
      <c r="K433" s="4">
        <f ca="1"/>
        <v>4.0243248077267424E-3</v>
      </c>
      <c r="L433" s="4">
        <f ca="1"/>
        <v>4.0037276084630147E-3</v>
      </c>
      <c r="M433" s="4">
        <f ca="1"/>
        <v>-1.4489836989333149E-3</v>
      </c>
      <c r="N433" s="4">
        <f ca="1"/>
        <v>1.1925404295976438E-2</v>
      </c>
      <c r="O433" s="4">
        <f ca="1"/>
        <v>8.9428888614777602E-3</v>
      </c>
      <c r="P433" s="4">
        <f ca="1"/>
        <v>-7.795937906038497E-3</v>
      </c>
    </row>
    <row r="434" spans="1:16" x14ac:dyDescent="0.25">
      <c r="A434" vm="6180">
        <f ca="1"/>
        <v>45558</v>
      </c>
      <c r="B434" s="4">
        <f ca="1"/>
        <v>-8.0959327957419447E-3</v>
      </c>
      <c r="C434" s="4">
        <f ca="1"/>
        <v>1.1671014691747805E-2</v>
      </c>
      <c r="D434" s="4">
        <f ca="1"/>
        <v>1.2562814070351536E-3</v>
      </c>
      <c r="E434" s="4">
        <f ca="1"/>
        <v>1.0127436914507681E-2</v>
      </c>
      <c r="F434" s="4">
        <f ca="1"/>
        <v>-2.582941108942638E-3</v>
      </c>
      <c r="G434" s="4">
        <f ca="1"/>
        <v>-8.0091533180778329E-3</v>
      </c>
      <c r="H434" s="4">
        <f ca="1"/>
        <v>3.906249999999778E-3</v>
      </c>
      <c r="I434" s="4">
        <f ca="1"/>
        <v>-2.6052104208416749E-2</v>
      </c>
      <c r="J434" s="4">
        <f ca="1"/>
        <v>9.8939929328620835E-3</v>
      </c>
      <c r="K434" s="4">
        <f ca="1"/>
        <v>5.4511445622160704E-3</v>
      </c>
      <c r="L434" s="4">
        <f ca="1"/>
        <v>1.8013682147890897E-2</v>
      </c>
      <c r="M434" s="4">
        <f ca="1"/>
        <v>2.7127252206860408E-2</v>
      </c>
      <c r="N434" s="4">
        <f ca="1"/>
        <v>1.501958315848384E-2</v>
      </c>
      <c r="O434" s="4">
        <f ca="1"/>
        <v>-1.0636346964973509E-2</v>
      </c>
      <c r="P434" s="4">
        <f ca="1"/>
        <v>-4.0434672731867183E-3</v>
      </c>
    </row>
    <row r="435" spans="1:16" x14ac:dyDescent="0.25">
      <c r="A435" vm="6194">
        <f ca="1"/>
        <v>45559</v>
      </c>
      <c r="B435" s="4">
        <f ca="1"/>
        <v>1.0747995862425697E-2</v>
      </c>
      <c r="C435" s="4">
        <f ca="1"/>
        <v>-8.0980817951501471E-3</v>
      </c>
      <c r="D435" s="4">
        <f ca="1"/>
        <v>-5.5764673079604643E-3</v>
      </c>
      <c r="E435" s="4">
        <f ca="1"/>
        <v>-4.7623026150889203E-3</v>
      </c>
      <c r="F435" s="4">
        <f ca="1"/>
        <v>-3.0500086320999209E-3</v>
      </c>
      <c r="G435" s="4">
        <f ca="1"/>
        <v>5.7670126874298511E-4</v>
      </c>
      <c r="H435" s="4">
        <f ca="1"/>
        <v>4.1256580453193026E-2</v>
      </c>
      <c r="I435" s="4">
        <f ca="1"/>
        <v>3.5273368606700828E-3</v>
      </c>
      <c r="J435" s="4">
        <f ca="1"/>
        <v>7.3477956613017259E-3</v>
      </c>
      <c r="K435" s="4">
        <f ca="1"/>
        <v>-1.9135025956307228E-3</v>
      </c>
      <c r="L435" s="4">
        <f ca="1"/>
        <v>7.1252490460271822E-3</v>
      </c>
      <c r="M435" s="4">
        <f ca="1"/>
        <v>-9.222196059963883E-3</v>
      </c>
      <c r="N435" s="4">
        <f ca="1"/>
        <v>-3.2385316359752059E-3</v>
      </c>
      <c r="O435" s="4">
        <f ca="1"/>
        <v>2.7185665739881681E-3</v>
      </c>
      <c r="P435" s="4">
        <f ca="1"/>
        <v>-1.0011303084127232E-2</v>
      </c>
    </row>
    <row r="436" spans="1:16" x14ac:dyDescent="0.25">
      <c r="A436" vm="6205">
        <f ca="1"/>
        <v>45560</v>
      </c>
      <c r="B436" s="4">
        <f ca="1"/>
        <v>-5.6766394294577305E-3</v>
      </c>
      <c r="C436" s="4">
        <f ca="1"/>
        <v>-8.4378563283926677E-4</v>
      </c>
      <c r="D436" s="4">
        <f ca="1"/>
        <v>1.6823216038133193E-3</v>
      </c>
      <c r="E436" s="4">
        <f ca="1"/>
        <v>-7.6813297515111456E-3</v>
      </c>
      <c r="F436" s="4">
        <f ca="1"/>
        <v>-5.6568921727084831E-3</v>
      </c>
      <c r="G436" s="4">
        <f ca="1"/>
        <v>-5.1873198847262048E-3</v>
      </c>
      <c r="H436" s="4">
        <f ca="1"/>
        <v>2.0882563059845261E-3</v>
      </c>
      <c r="I436" s="4">
        <f ca="1"/>
        <v>-1.8160515524311638E-2</v>
      </c>
      <c r="J436" s="4">
        <f ca="1"/>
        <v>1.1809656130600921E-2</v>
      </c>
      <c r="K436" s="4">
        <f ca="1"/>
        <v>8.840288995792811E-3</v>
      </c>
      <c r="L436" s="4">
        <f ca="1"/>
        <v>-1.0059012875537343E-3</v>
      </c>
      <c r="M436" s="4">
        <f ca="1"/>
        <v>-2.2576939834435539E-3</v>
      </c>
      <c r="N436" s="4">
        <f ca="1"/>
        <v>-1.1924718732176931E-3</v>
      </c>
      <c r="O436" s="4">
        <f ca="1"/>
        <v>-4.9294472857229765E-3</v>
      </c>
      <c r="P436" s="4">
        <f ca="1"/>
        <v>6.8504322296525366E-3</v>
      </c>
    </row>
    <row r="437" spans="1:16" x14ac:dyDescent="0.25">
      <c r="A437" vm="6219">
        <f ca="1"/>
        <v>45561</v>
      </c>
      <c r="B437" s="4">
        <f ca="1"/>
        <v>2.1839117429481192E-2</v>
      </c>
      <c r="C437" s="4">
        <f ca="1"/>
        <v>1.4105402506105591E-2</v>
      </c>
      <c r="D437" s="4">
        <f ca="1"/>
        <v>-6.9979006298104274E-4</v>
      </c>
      <c r="E437" s="4">
        <f ca="1"/>
        <v>1.4381794340341258E-3</v>
      </c>
      <c r="F437" s="4">
        <f ca="1"/>
        <v>5.5149193080228365E-3</v>
      </c>
      <c r="G437" s="4">
        <f ca="1"/>
        <v>8.1112398609499703E-3</v>
      </c>
      <c r="H437" s="4">
        <f ca="1"/>
        <v>2.4568138195777411E-2</v>
      </c>
      <c r="I437" s="4">
        <f ca="1"/>
        <v>1.1336515513126422E-2</v>
      </c>
      <c r="J437" s="4">
        <f ca="1"/>
        <v>2.1283899759698022E-2</v>
      </c>
      <c r="K437" s="4">
        <f ca="1"/>
        <v>-8.270134257709616E-4</v>
      </c>
      <c r="L437" s="4">
        <f ca="1"/>
        <v>-5.3030811572799541E-3</v>
      </c>
      <c r="M437" s="4">
        <f ca="1"/>
        <v>1.250496228662179E-2</v>
      </c>
      <c r="N437" s="4">
        <f ca="1"/>
        <v>-9.3435304702926825E-4</v>
      </c>
      <c r="O437" s="4">
        <f ca="1"/>
        <v>7.6784940243976862E-3</v>
      </c>
      <c r="P437" s="4">
        <f ca="1"/>
        <v>-1.851380435537231E-3</v>
      </c>
    </row>
    <row r="438" spans="1:16" x14ac:dyDescent="0.25">
      <c r="A438" vm="6233">
        <f ca="1"/>
        <v>45562</v>
      </c>
      <c r="B438" s="4">
        <f ca="1"/>
        <v>-4.1391249606547165E-3</v>
      </c>
      <c r="C438" s="4">
        <f ca="1"/>
        <v>6.3019063266622766E-4</v>
      </c>
      <c r="D438" s="4">
        <f ca="1"/>
        <v>5.4621848739495604E-3</v>
      </c>
      <c r="E438" s="4">
        <f ca="1"/>
        <v>9.7148891235481205E-3</v>
      </c>
      <c r="F438" s="4">
        <f ca="1"/>
        <v>1.9629351654062432E-3</v>
      </c>
      <c r="G438" s="4">
        <f ca="1"/>
        <v>1.6379310344827536E-2</v>
      </c>
      <c r="H438" s="4">
        <f ca="1"/>
        <v>-4.7422790772360002E-2</v>
      </c>
      <c r="I438" s="4">
        <f ca="1"/>
        <v>1.8584070796460184E-2</v>
      </c>
      <c r="J438" s="4">
        <f ca="1"/>
        <v>2.2521008403361353E-2</v>
      </c>
      <c r="K438" s="4">
        <f ca="1"/>
        <v>-8.4530853761621838E-4</v>
      </c>
      <c r="L438" s="4">
        <f ca="1"/>
        <v>1.2822243217707197E-3</v>
      </c>
      <c r="M438" s="4">
        <f ca="1"/>
        <v>1.3134679474612776E-2</v>
      </c>
      <c r="N438" s="4">
        <f ca="1"/>
        <v>8.5902320748181271E-3</v>
      </c>
      <c r="O438" s="4">
        <f ca="1"/>
        <v>7.4970810545074151E-3</v>
      </c>
      <c r="P438" s="4">
        <f ca="1"/>
        <v>-7.6279242308316952E-3</v>
      </c>
    </row>
    <row r="439" spans="1:16" x14ac:dyDescent="0.25">
      <c r="A439" vm="6244">
        <f ca="1"/>
        <v>45565</v>
      </c>
      <c r="B439" s="4">
        <f ca="1"/>
        <v>-1.5013353983278632E-3</v>
      </c>
      <c r="C439" s="4">
        <f ca="1"/>
        <v>1.16061989698375E-2</v>
      </c>
      <c r="D439" s="4">
        <f ca="1"/>
        <v>9.7506616520393052E-4</v>
      </c>
      <c r="E439" s="4">
        <f ca="1"/>
        <v>1.4599456180715231E-2</v>
      </c>
      <c r="F439" s="4">
        <f ca="1"/>
        <v>-2.0167098818785201E-3</v>
      </c>
      <c r="G439" s="4">
        <f ca="1"/>
        <v>-7.3508623126943284E-3</v>
      </c>
      <c r="H439" s="4">
        <f ca="1"/>
        <v>-2.4161375512726901E-2</v>
      </c>
      <c r="I439" s="4">
        <f ca="1"/>
        <v>0</v>
      </c>
      <c r="J439" s="4">
        <f ca="1"/>
        <v>9.2044707429321804E-3</v>
      </c>
      <c r="K439" s="4">
        <f ca="1"/>
        <v>8.9537507050199139E-3</v>
      </c>
      <c r="L439" s="4">
        <f ca="1"/>
        <v>4.7516344274447508E-3</v>
      </c>
      <c r="M439" s="4">
        <f ca="1"/>
        <v>-2.7476780185757832E-3</v>
      </c>
      <c r="N439" s="4">
        <f ca="1"/>
        <v>3.7777319870868631E-3</v>
      </c>
      <c r="O439" s="4">
        <f ca="1"/>
        <v>1.1588899054589819E-2</v>
      </c>
      <c r="P439" s="4">
        <f ca="1"/>
        <v>5.3268538853326053E-3</v>
      </c>
    </row>
    <row r="440" spans="1:16" x14ac:dyDescent="0.25">
      <c r="A440" vm="6255">
        <f ca="1"/>
        <v>45566</v>
      </c>
      <c r="B440" s="4">
        <f ca="1"/>
        <v>-2.658985153999649E-3</v>
      </c>
      <c r="C440" s="4">
        <f ca="1"/>
        <v>-3.0016675931073822E-3</v>
      </c>
      <c r="D440" s="4">
        <f ca="1"/>
        <v>-2.0873921514056315E-3</v>
      </c>
      <c r="E440" s="4">
        <f ca="1"/>
        <v>-2.7871691267419729E-2</v>
      </c>
      <c r="F440" s="4">
        <f ca="1"/>
        <v>-9.2378752886834725E-4</v>
      </c>
      <c r="G440" s="4">
        <f ca="1"/>
        <v>1.7089148390772024E-3</v>
      </c>
      <c r="H440" s="4">
        <f ca="1"/>
        <v>-9.2128749928024334E-3</v>
      </c>
      <c r="I440" s="4">
        <f ca="1"/>
        <v>-2.8960324355631339E-4</v>
      </c>
      <c r="J440" s="4">
        <f ca="1"/>
        <v>-1.6612377850162785E-2</v>
      </c>
      <c r="K440" s="4">
        <f ca="1"/>
        <v>7.0400391307385846E-3</v>
      </c>
      <c r="L440" s="4">
        <f ca="1"/>
        <v>-7.043434512828961E-3</v>
      </c>
      <c r="M440" s="4">
        <f ca="1"/>
        <v>-3.8806317668504953E-5</v>
      </c>
      <c r="N440" s="4">
        <f ca="1"/>
        <v>3.6437662515396374E-2</v>
      </c>
      <c r="O440" s="4">
        <f ca="1"/>
        <v>6.8736810370817469E-3</v>
      </c>
      <c r="P440" s="4">
        <f ca="1"/>
        <v>-2.2333255867999058E-2</v>
      </c>
    </row>
    <row r="441" spans="1:16" x14ac:dyDescent="0.25">
      <c r="A441" vm="6267">
        <f ca="1"/>
        <v>45567</v>
      </c>
      <c r="B441" s="4">
        <f ca="1"/>
        <v>-4.1895451804361272E-3</v>
      </c>
      <c r="C441" s="4">
        <f ca="1"/>
        <v>-6.7796610169490457E-3</v>
      </c>
      <c r="D441" s="4">
        <f ca="1"/>
        <v>-9.7615395342349753E-3</v>
      </c>
      <c r="E441" s="4">
        <f ca="1"/>
        <v>-4.4533039273899622E-3</v>
      </c>
      <c r="F441" s="4">
        <f ca="1"/>
        <v>-6.4724919093851474E-3</v>
      </c>
      <c r="G441" s="4">
        <f ca="1"/>
        <v>-2.2746659084447063E-2</v>
      </c>
      <c r="H441" s="4">
        <f ca="1"/>
        <v>2.1677224385424632E-2</v>
      </c>
      <c r="I441" s="4">
        <f ca="1"/>
        <v>-1.013904982618774E-2</v>
      </c>
      <c r="J441" s="4">
        <f ca="1"/>
        <v>-7.6184166942696585E-3</v>
      </c>
      <c r="K441" s="4">
        <f ca="1"/>
        <v>-6.3489860703941359E-3</v>
      </c>
      <c r="L441" s="4">
        <f ca="1"/>
        <v>1.0268535720317384E-2</v>
      </c>
      <c r="M441" s="4">
        <f ca="1"/>
        <v>-7.8003725551072378E-3</v>
      </c>
      <c r="N441" s="4">
        <f ca="1"/>
        <v>-4.3904532400224072E-3</v>
      </c>
      <c r="O441" s="4">
        <f ca="1"/>
        <v>-6.7668722678004833E-3</v>
      </c>
      <c r="P441" s="4">
        <f ca="1"/>
        <v>-8.4622881456654087E-3</v>
      </c>
    </row>
    <row r="442" spans="1:16" x14ac:dyDescent="0.25">
      <c r="A442" vm="6280">
        <f ca="1"/>
        <v>45568</v>
      </c>
      <c r="B442" s="4">
        <f ca="1"/>
        <v>-1.8964143426295488E-3</v>
      </c>
      <c r="C442" s="4">
        <f ca="1"/>
        <v>5.6807975570325464E-3</v>
      </c>
      <c r="D442" s="4">
        <f ca="1"/>
        <v>-6.9004365582313598E-3</v>
      </c>
      <c r="E442" s="4">
        <f ca="1"/>
        <v>-7.9665999233160534E-3</v>
      </c>
      <c r="F442" s="4">
        <f ca="1"/>
        <v>-1.0469986040018475E-2</v>
      </c>
      <c r="G442" s="4">
        <f ca="1"/>
        <v>-5.8190282222867484E-3</v>
      </c>
      <c r="H442" s="4">
        <f ca="1"/>
        <v>2.0932878270762068E-2</v>
      </c>
      <c r="I442" s="4">
        <f ca="1"/>
        <v>-1.4632718759146623E-3</v>
      </c>
      <c r="J442" s="4">
        <f ca="1"/>
        <v>-1.0680907877169576E-2</v>
      </c>
      <c r="K442" s="4">
        <f ca="1"/>
        <v>1.7387964595590333E-2</v>
      </c>
      <c r="L442" s="4">
        <f ca="1"/>
        <v>-2.3069978936106628E-3</v>
      </c>
      <c r="M442" s="4">
        <f ca="1"/>
        <v>-4.7013728634567875E-2</v>
      </c>
      <c r="N442" s="4">
        <f ca="1"/>
        <v>4.3435013262600464E-3</v>
      </c>
      <c r="O442" s="4">
        <f ca="1"/>
        <v>0</v>
      </c>
      <c r="P442" s="4">
        <f ca="1"/>
        <v>-1.4144271570013522E-3</v>
      </c>
    </row>
    <row r="443" spans="1:16" x14ac:dyDescent="0.25">
      <c r="A443" vm="6293">
        <f ca="1"/>
        <v>45569</v>
      </c>
      <c r="B443" s="4">
        <f ca="1"/>
        <v>6.9773754211173156E-3</v>
      </c>
      <c r="C443" s="4">
        <f ca="1"/>
        <v>1.4713434102123335E-2</v>
      </c>
      <c r="D443" s="4">
        <f ca="1"/>
        <v>-4.9631310266590178E-3</v>
      </c>
      <c r="E443" s="4">
        <f ca="1"/>
        <v>-7.9017435368891054E-3</v>
      </c>
      <c r="F443" s="4">
        <f ca="1"/>
        <v>-7.2889724900071506E-3</v>
      </c>
      <c r="G443" s="4">
        <f ca="1"/>
        <v>1.2291483757682187E-2</v>
      </c>
      <c r="H443" s="4">
        <f ca="1"/>
        <v>9.3603744149766133E-3</v>
      </c>
      <c r="I443" s="4">
        <f ca="1"/>
        <v>1.0844079718640209E-2</v>
      </c>
      <c r="J443" s="4">
        <f ca="1"/>
        <v>1.0458839406207732E-2</v>
      </c>
      <c r="K443" s="4">
        <f ca="1"/>
        <v>2.259896700241959E-2</v>
      </c>
      <c r="L443" s="4">
        <f ca="1"/>
        <v>2.4530831099195849E-2</v>
      </c>
      <c r="M443" s="4">
        <f ca="1"/>
        <v>1.2394828647650291E-2</v>
      </c>
      <c r="N443" s="4">
        <f ca="1"/>
        <v>-1.138952164009166E-3</v>
      </c>
      <c r="O443" s="4">
        <f ca="1"/>
        <v>7.2350174846256277E-3</v>
      </c>
      <c r="P443" s="4">
        <f ca="1"/>
        <v>-1.1523503144956759E-3</v>
      </c>
    </row>
    <row r="444" spans="1:16" x14ac:dyDescent="0.25">
      <c r="A444" vm="6305">
        <f ca="1"/>
        <v>45572</v>
      </c>
      <c r="B444" s="4">
        <f ca="1"/>
        <v>-1.5380224519564445E-3</v>
      </c>
      <c r="C444" s="4">
        <f ca="1"/>
        <v>2.580971659919018E-2</v>
      </c>
      <c r="D444" s="4">
        <f ca="1"/>
        <v>-1.6531281174290924E-2</v>
      </c>
      <c r="E444" s="4">
        <f ca="1"/>
        <v>-2.1643147779413008E-2</v>
      </c>
      <c r="F444" s="4">
        <f ca="1"/>
        <v>-1.0421601136901937E-2</v>
      </c>
      <c r="G444" s="4">
        <f ca="1"/>
        <v>0</v>
      </c>
      <c r="H444" s="4">
        <f ca="1"/>
        <v>1.849194082578931E-2</v>
      </c>
      <c r="I444" s="4">
        <f ca="1"/>
        <v>-2.4354885474050514E-2</v>
      </c>
      <c r="J444" s="4">
        <f ca="1"/>
        <v>-1.7362270450751227E-2</v>
      </c>
      <c r="K444" s="4">
        <f ca="1"/>
        <v>-1.8726717454777497E-2</v>
      </c>
      <c r="L444" s="4">
        <f ca="1"/>
        <v>5.8550307470888185E-3</v>
      </c>
      <c r="M444" s="4">
        <f ca="1"/>
        <v>-1.4594397373008494E-2</v>
      </c>
      <c r="N444" s="4">
        <f ca="1"/>
        <v>6.7754036322775768E-4</v>
      </c>
      <c r="O444" s="4">
        <f ca="1"/>
        <v>-2.442236322279423E-2</v>
      </c>
      <c r="P444" s="4">
        <f ca="1"/>
        <v>-1.5670816709128399E-2</v>
      </c>
    </row>
    <row r="445" spans="1:16" x14ac:dyDescent="0.25">
      <c r="A445" vm="6316">
        <f ca="1"/>
        <v>45573</v>
      </c>
      <c r="B445" s="4">
        <f ca="1"/>
        <v>-3.7636372298359699E-3</v>
      </c>
      <c r="C445" s="4">
        <f ca="1"/>
        <v>-1.2333497779970393E-2</v>
      </c>
      <c r="D445" s="4">
        <f ca="1"/>
        <v>2.4634110998407177E-3</v>
      </c>
      <c r="E445" s="4">
        <f ca="1"/>
        <v>5.3092646668435606E-3</v>
      </c>
      <c r="F445" s="4">
        <f ca="1"/>
        <v>6.2230732407850819E-3</v>
      </c>
      <c r="G445" s="4">
        <f ca="1"/>
        <v>2.0237062734893563E-3</v>
      </c>
      <c r="H445" s="4">
        <f ca="1"/>
        <v>8.3464310877461312E-3</v>
      </c>
      <c r="I445" s="4">
        <f ca="1"/>
        <v>6.5378900445764998E-3</v>
      </c>
      <c r="J445" s="4">
        <f ca="1"/>
        <v>-5.0968399592252744E-3</v>
      </c>
      <c r="K445" s="4">
        <f ca="1"/>
        <v>1.3868463353739813E-2</v>
      </c>
      <c r="L445" s="4">
        <f ca="1"/>
        <v>3.7722350492668255E-3</v>
      </c>
      <c r="M445" s="4">
        <f ca="1"/>
        <v>-7.9812399720244898E-3</v>
      </c>
      <c r="N445" s="4">
        <f ca="1"/>
        <v>4.1450606070614349E-3</v>
      </c>
      <c r="O445" s="4">
        <f ca="1"/>
        <v>8.5900110443000166E-3</v>
      </c>
      <c r="P445" s="4">
        <f ca="1"/>
        <v>1.2623919519460847E-2</v>
      </c>
    </row>
    <row r="446" spans="1:16" x14ac:dyDescent="0.25">
      <c r="A446" vm="6328">
        <f ca="1"/>
        <v>45574</v>
      </c>
      <c r="B446" s="4">
        <f ca="1"/>
        <v>8.6874740969808961E-3</v>
      </c>
      <c r="C446" s="4">
        <f ca="1"/>
        <v>1.5245623941276154E-2</v>
      </c>
      <c r="D446" s="4">
        <f ca="1"/>
        <v>5.6374674761490162E-3</v>
      </c>
      <c r="E446" s="4">
        <f ca="1"/>
        <v>-3.0807147258160583E-4</v>
      </c>
      <c r="F446" s="4">
        <f ca="1"/>
        <v>6.6008563273074472E-3</v>
      </c>
      <c r="G446" s="4">
        <f ca="1"/>
        <v>2.885170225044309E-4</v>
      </c>
      <c r="H446" s="4">
        <f ca="1"/>
        <v>5.8586401504969743E-3</v>
      </c>
      <c r="I446" s="4">
        <f ca="1"/>
        <v>1.1514614703277193E-2</v>
      </c>
      <c r="J446" s="4">
        <f ca="1"/>
        <v>-2.3907103825137055E-3</v>
      </c>
      <c r="K446" s="4">
        <f ca="1"/>
        <v>-4.0142353556308352E-3</v>
      </c>
      <c r="L446" s="4">
        <f ca="1"/>
        <v>-3.4340881847928495E-3</v>
      </c>
      <c r="M446" s="4">
        <f ca="1"/>
        <v>-2.944469788081161E-3</v>
      </c>
      <c r="N446" s="4">
        <f ca="1"/>
        <v>-4.8351286900747414E-3</v>
      </c>
      <c r="O446" s="4">
        <f ca="1"/>
        <v>-1.5330332157196591E-2</v>
      </c>
      <c r="P446" s="4">
        <f ca="1"/>
        <v>6.6311398326541759E-3</v>
      </c>
    </row>
    <row r="447" spans="1:16" x14ac:dyDescent="0.25">
      <c r="A447" vm="6341">
        <f ca="1"/>
        <v>45575</v>
      </c>
      <c r="B447" s="4">
        <f ca="1"/>
        <v>-2.0069849397114092E-3</v>
      </c>
      <c r="C447" s="4">
        <f ca="1"/>
        <v>-1.7027466415675652E-2</v>
      </c>
      <c r="D447" s="4">
        <f ca="1"/>
        <v>-4.5996837717405814E-3</v>
      </c>
      <c r="E447" s="4">
        <f ca="1"/>
        <v>-4.3583535108959737E-3</v>
      </c>
      <c r="F447" s="4">
        <f ca="1"/>
        <v>-1.8904708453950647E-3</v>
      </c>
      <c r="G447" s="4">
        <f ca="1"/>
        <v>4.6149408710700612E-3</v>
      </c>
      <c r="H447" s="4">
        <f ca="1"/>
        <v>-7.2672865234583162E-3</v>
      </c>
      <c r="I447" s="4">
        <f ca="1"/>
        <v>7.8809106830124431E-3</v>
      </c>
      <c r="J447" s="4">
        <f ca="1"/>
        <v>-1.2324546388223223E-2</v>
      </c>
      <c r="K447" s="4">
        <f ca="1"/>
        <v>-1.1312255507950675E-2</v>
      </c>
      <c r="L447" s="4">
        <f ca="1"/>
        <v>-2.0155391567244774E-3</v>
      </c>
      <c r="M447" s="4">
        <f ca="1"/>
        <v>-3.4106979452623865E-3</v>
      </c>
      <c r="N447" s="4">
        <f ca="1"/>
        <v>-1.2592751731090202E-2</v>
      </c>
      <c r="O447" s="4">
        <f ca="1"/>
        <v>1.3591993080439568E-3</v>
      </c>
      <c r="P447" s="4">
        <f ca="1"/>
        <v>-3.8806113160542166E-3</v>
      </c>
    </row>
    <row r="448" spans="1:16" x14ac:dyDescent="0.25">
      <c r="A448" vm="6355">
        <f ca="1"/>
        <v>45576</v>
      </c>
      <c r="B448" s="4">
        <f ca="1"/>
        <v>8.9149987332151071E-3</v>
      </c>
      <c r="C448" s="4">
        <f ca="1"/>
        <v>2.3350452646239583E-2</v>
      </c>
      <c r="D448" s="4">
        <f ca="1"/>
        <v>4.6209386281588216E-3</v>
      </c>
      <c r="E448" s="4">
        <f ca="1"/>
        <v>3.2720198089848385E-3</v>
      </c>
      <c r="F448" s="4">
        <f ca="1"/>
        <v>1.2666469369636113E-2</v>
      </c>
      <c r="G448" s="4">
        <f ca="1"/>
        <v>1.1197243755383335E-2</v>
      </c>
      <c r="H448" s="4">
        <f ca="1"/>
        <v>2.7075034987619873E-2</v>
      </c>
      <c r="I448" s="4">
        <f ca="1"/>
        <v>1.2452939472922031E-2</v>
      </c>
      <c r="J448" s="4">
        <f ca="1"/>
        <v>2.5996533795493937E-2</v>
      </c>
      <c r="K448" s="4">
        <f ca="1"/>
        <v>1.0482503468475457E-2</v>
      </c>
      <c r="L448" s="4">
        <f ca="1"/>
        <v>7.9155672823219003E-3</v>
      </c>
      <c r="M448" s="4">
        <f ca="1"/>
        <v>6.0934891485810994E-3</v>
      </c>
      <c r="N448" s="4">
        <f ca="1"/>
        <v>1.1180103432693267E-2</v>
      </c>
      <c r="O448" s="4">
        <f ca="1"/>
        <v>7.1569595261598007E-3</v>
      </c>
      <c r="P448" s="4">
        <f ca="1"/>
        <v>1.1542901115815241E-3</v>
      </c>
    </row>
    <row r="449" spans="1:16" x14ac:dyDescent="0.25">
      <c r="A449" vm="6368">
        <f ca="1"/>
        <v>45579</v>
      </c>
      <c r="B449" s="4">
        <f ca="1"/>
        <v>1.0013340657615943E-2</v>
      </c>
      <c r="C449" s="4">
        <f ca="1"/>
        <v>2.2711323763955349E-2</v>
      </c>
      <c r="D449" s="4">
        <f ca="1"/>
        <v>1.1067989075751239E-2</v>
      </c>
      <c r="E449" s="4">
        <f ca="1"/>
        <v>5.773468488320832E-3</v>
      </c>
      <c r="F449" s="4">
        <f ca="1"/>
        <v>8.2997252907826002E-3</v>
      </c>
      <c r="G449" s="4">
        <f ca="1"/>
        <v>3.9750141964793873E-3</v>
      </c>
      <c r="H449" s="4">
        <f ca="1"/>
        <v>7.3371416592422634E-3</v>
      </c>
      <c r="I449" s="4">
        <f ca="1"/>
        <v>9.4393592677344262E-3</v>
      </c>
      <c r="J449" s="4">
        <f ca="1"/>
        <v>6.4189189189187701E-3</v>
      </c>
      <c r="K449" s="4">
        <f ca="1"/>
        <v>7.9667768454938503E-4</v>
      </c>
      <c r="L449" s="4">
        <f ca="1"/>
        <v>5.041690905565277E-3</v>
      </c>
      <c r="M449" s="4">
        <f ca="1"/>
        <v>1.9289803368456093E-2</v>
      </c>
      <c r="N449" s="4">
        <f ca="1"/>
        <v>1.1089593988447E-2</v>
      </c>
      <c r="O449" s="4">
        <f ca="1"/>
        <v>1.0536633178142685E-2</v>
      </c>
      <c r="P449" s="4">
        <f ca="1"/>
        <v>6.7736356648731011E-3</v>
      </c>
    </row>
    <row r="450" spans="1:16" x14ac:dyDescent="0.25">
      <c r="A450" vm="6381">
        <f ca="1"/>
        <v>45580</v>
      </c>
      <c r="B450" s="4">
        <f ca="1"/>
        <v>-8.5621493947446448E-3</v>
      </c>
      <c r="C450" s="4">
        <f ca="1"/>
        <v>-1.9524670950034295E-2</v>
      </c>
      <c r="D450" s="4">
        <f ca="1"/>
        <v>0</v>
      </c>
      <c r="E450" s="4">
        <f ca="1"/>
        <v>-6.6167126769204332E-3</v>
      </c>
      <c r="F450" s="4">
        <f ca="1"/>
        <v>6.1445713291983228E-3</v>
      </c>
      <c r="G450" s="4">
        <f ca="1"/>
        <v>1.0180995475113086E-2</v>
      </c>
      <c r="H450" s="4">
        <f ca="1"/>
        <v>-2.6429426148483537E-2</v>
      </c>
      <c r="I450" s="4">
        <f ca="1"/>
        <v>5.9506942476621472E-3</v>
      </c>
      <c r="J450" s="4">
        <f ca="1"/>
        <v>0</v>
      </c>
      <c r="K450" s="4">
        <f ca="1"/>
        <v>-7.0288946851393419E-3</v>
      </c>
      <c r="L450" s="4">
        <f ca="1"/>
        <v>-1.7493086372113997E-2</v>
      </c>
      <c r="M450" s="4">
        <f ca="1"/>
        <v>-6.6745350209597154E-3</v>
      </c>
      <c r="N450" s="4">
        <f ca="1"/>
        <v>-9.609245829718227E-3</v>
      </c>
      <c r="O450" s="4">
        <f ca="1"/>
        <v>3.0310378273521454E-3</v>
      </c>
      <c r="P450" s="4">
        <f ca="1"/>
        <v>-9.5433506704201143E-4</v>
      </c>
    </row>
    <row r="451" spans="1:16" x14ac:dyDescent="0.25">
      <c r="A451" vm="6392">
        <f ca="1"/>
        <v>45581</v>
      </c>
      <c r="B451" s="4">
        <f ca="1"/>
        <v>-8.4636845239960401E-4</v>
      </c>
      <c r="C451" s="4">
        <f ca="1"/>
        <v>-1.9319675955380311E-2</v>
      </c>
      <c r="D451" s="4">
        <f ca="1"/>
        <v>3.2698322433890592E-3</v>
      </c>
      <c r="E451" s="4">
        <f ca="1"/>
        <v>-3.1318923687692068E-3</v>
      </c>
      <c r="F451" s="4">
        <f ca="1"/>
        <v>-6.8560235063662711E-3</v>
      </c>
      <c r="G451" s="4">
        <f ca="1"/>
        <v>2.5195968645017608E-3</v>
      </c>
      <c r="H451" s="4">
        <f ca="1"/>
        <v>1.8703575054774824E-3</v>
      </c>
      <c r="I451" s="4">
        <f ca="1"/>
        <v>-8.4507042253523235E-4</v>
      </c>
      <c r="J451" s="4">
        <f ca="1"/>
        <v>2.9540114132259321E-2</v>
      </c>
      <c r="K451" s="4">
        <f ca="1"/>
        <v>-1.6170024050352283E-2</v>
      </c>
      <c r="L451" s="4">
        <f ca="1"/>
        <v>2.1862931203770364E-2</v>
      </c>
      <c r="M451" s="4">
        <f ca="1"/>
        <v>-1.966648912197333E-3</v>
      </c>
      <c r="N451" s="4">
        <f ca="1"/>
        <v>1.2942148760330729E-2</v>
      </c>
      <c r="O451" s="4">
        <f ca="1"/>
        <v>-1.8131270397679922E-3</v>
      </c>
      <c r="P451" s="4">
        <f ca="1"/>
        <v>-6.2568658356020324E-3</v>
      </c>
    </row>
    <row r="452" spans="1:16" x14ac:dyDescent="0.25">
      <c r="A452" vm="6405">
        <f ca="1"/>
        <v>45582</v>
      </c>
      <c r="B452" s="4">
        <f ca="1"/>
        <v>3.7020769279036969E-3</v>
      </c>
      <c r="C452" s="4">
        <f ca="1"/>
        <v>2.1884393313582606E-2</v>
      </c>
      <c r="D452" s="4">
        <f ca="1"/>
        <v>-9.4941193141560021E-3</v>
      </c>
      <c r="E452" s="4">
        <f ca="1"/>
        <v>-4.3807248108324037E-3</v>
      </c>
      <c r="F452" s="4">
        <f ca="1"/>
        <v>-5.8011370228561177E-4</v>
      </c>
      <c r="G452" s="4">
        <f ca="1"/>
        <v>3.9095224797542905E-3</v>
      </c>
      <c r="H452" s="4">
        <f ca="1"/>
        <v>9.7930445914230946E-2</v>
      </c>
      <c r="I452" s="4">
        <f ca="1"/>
        <v>-6.709895686495615E-2</v>
      </c>
      <c r="J452" s="4">
        <f ca="1"/>
        <v>3.9126181936746107E-3</v>
      </c>
      <c r="K452" s="4">
        <f ca="1"/>
        <v>2.4272265469238441E-4</v>
      </c>
      <c r="L452" s="4">
        <f ca="1"/>
        <v>2.9466401896096617E-3</v>
      </c>
      <c r="M452" s="4">
        <f ca="1"/>
        <v>-1.4573668869822254E-2</v>
      </c>
      <c r="N452" s="4">
        <f ca="1"/>
        <v>-5.237994223520448E-3</v>
      </c>
      <c r="O452" s="4">
        <f ca="1"/>
        <v>-1.3502058609832779E-2</v>
      </c>
      <c r="P452" s="4">
        <f ca="1"/>
        <v>1.4418917619918314E-3</v>
      </c>
    </row>
    <row r="453" spans="1:16" x14ac:dyDescent="0.25">
      <c r="A453" vm="6418">
        <f ca="1"/>
        <v>45583</v>
      </c>
      <c r="B453" s="4">
        <f ca="1"/>
        <v>9.377344336083393E-4</v>
      </c>
      <c r="C453" s="4">
        <f ca="1"/>
        <v>-2.9414876732620776E-3</v>
      </c>
      <c r="D453" s="4">
        <f ca="1"/>
        <v>7.7253218884119068E-3</v>
      </c>
      <c r="E453" s="4">
        <f ca="1"/>
        <v>2.8888888888889408E-3</v>
      </c>
      <c r="F453" s="4">
        <f ca="1"/>
        <v>-5.8045042953331905E-3</v>
      </c>
      <c r="G453" s="4">
        <f ca="1"/>
        <v>1.3908205841446364E-3</v>
      </c>
      <c r="H453" s="4">
        <f ca="1"/>
        <v>-2.4582199766809198E-2</v>
      </c>
      <c r="I453" s="4">
        <f ca="1"/>
        <v>3.1127228770021054E-2</v>
      </c>
      <c r="J453" s="4">
        <f ca="1"/>
        <v>-2.2085092562520336E-2</v>
      </c>
      <c r="K453" s="4">
        <f ca="1"/>
        <v>-7.9732376544805472E-4</v>
      </c>
      <c r="L453" s="4">
        <f ca="1"/>
        <v>3.6086095676055585E-3</v>
      </c>
      <c r="M453" s="4">
        <f ca="1"/>
        <v>6.165639060156769E-3</v>
      </c>
      <c r="N453" s="4">
        <f ca="1"/>
        <v>3.5924018240869326E-3</v>
      </c>
      <c r="O453" s="4">
        <f ca="1"/>
        <v>3.0074265021786672E-3</v>
      </c>
      <c r="P453" s="4">
        <f ca="1"/>
        <v>3.45555768861594E-3</v>
      </c>
    </row>
    <row r="454" spans="1:16" x14ac:dyDescent="0.25">
      <c r="A454" vm="6430">
        <f ca="1"/>
        <v>45586</v>
      </c>
      <c r="B454" s="4">
        <f ca="1"/>
        <v>-1.8737118231216821E-3</v>
      </c>
      <c r="C454" s="4">
        <f ca="1"/>
        <v>-6.3672637745140204E-3</v>
      </c>
      <c r="D454" s="4">
        <f ca="1"/>
        <v>-1.4054514480408842E-2</v>
      </c>
      <c r="E454" s="4">
        <f ca="1"/>
        <v>-5.6725016618657254E-3</v>
      </c>
      <c r="F454" s="4">
        <f ca="1"/>
        <v>-1.0158804297057511E-2</v>
      </c>
      <c r="G454" s="4">
        <f ca="1"/>
        <v>-1.4166666666666661E-2</v>
      </c>
      <c r="H454" s="4">
        <f ca="1"/>
        <v>5.8272736328319752E-3</v>
      </c>
      <c r="I454" s="4">
        <f ca="1"/>
        <v>-1.348182883939042E-2</v>
      </c>
      <c r="J454" s="4">
        <f ca="1"/>
        <v>-1.7602125539687874E-2</v>
      </c>
      <c r="K454" s="4">
        <f ca="1"/>
        <v>-2.2724512984197975E-3</v>
      </c>
      <c r="L454" s="4">
        <f ca="1"/>
        <v>1.0723263435899133E-2</v>
      </c>
      <c r="M454" s="4">
        <f ca="1"/>
        <v>-9.5644253063928986E-3</v>
      </c>
      <c r="N454" s="4">
        <f ca="1"/>
        <v>4.5765842336673579E-3</v>
      </c>
      <c r="O454" s="4">
        <f ca="1"/>
        <v>3.9774813364337192E-3</v>
      </c>
      <c r="P454" s="4">
        <f ca="1"/>
        <v>1.4826860531853558E-3</v>
      </c>
    </row>
    <row r="455" spans="1:16" x14ac:dyDescent="0.25">
      <c r="A455" vm="6443">
        <f ca="1"/>
        <v>45587</v>
      </c>
      <c r="B455" s="4">
        <f ca="1"/>
        <v>-1.5581002440398062E-2</v>
      </c>
      <c r="C455" s="4">
        <f ca="1"/>
        <v>-1.6233766233766267E-2</v>
      </c>
      <c r="D455" s="4">
        <f ca="1"/>
        <v>0</v>
      </c>
      <c r="E455" s="4">
        <f ca="1"/>
        <v>-1.2568525203904279E-2</v>
      </c>
      <c r="F455" s="4">
        <f ca="1"/>
        <v>9.4373009319337342E-4</v>
      </c>
      <c r="G455" s="4">
        <f ca="1"/>
        <v>4.2265426880812029E-3</v>
      </c>
      <c r="H455" s="4">
        <f ca="1"/>
        <v>-1.7182470908640779E-2</v>
      </c>
      <c r="I455" s="4">
        <f ca="1"/>
        <v>5.6446821152704718E-3</v>
      </c>
      <c r="J455" s="4">
        <f ca="1"/>
        <v>-4.7329276538200515E-3</v>
      </c>
      <c r="K455" s="4">
        <f ca="1"/>
        <v>1.1909729466583308E-2</v>
      </c>
      <c r="L455" s="4">
        <f ca="1"/>
        <v>-1.4702178566931012E-2</v>
      </c>
      <c r="M455" s="4">
        <f ca="1"/>
        <v>1.0033025375193461E-2</v>
      </c>
      <c r="N455" s="4">
        <f ca="1"/>
        <v>-6.122581799840543E-2</v>
      </c>
      <c r="O455" s="4">
        <f ca="1"/>
        <v>6.5216066313158461E-3</v>
      </c>
      <c r="P455" s="4">
        <f ca="1"/>
        <v>2.0846267730073142E-2</v>
      </c>
    </row>
    <row r="456" spans="1:16" x14ac:dyDescent="0.25">
      <c r="A456" vm="6455">
        <f ca="1"/>
        <v>45588</v>
      </c>
      <c r="B456" s="4">
        <f ca="1"/>
        <v>6.6742944317321751E-4</v>
      </c>
      <c r="C456" s="4">
        <f ca="1"/>
        <v>-3.7128712871287162E-3</v>
      </c>
      <c r="D456" s="4">
        <f ca="1"/>
        <v>-2.0734341252699795E-2</v>
      </c>
      <c r="E456" s="4">
        <f ca="1"/>
        <v>-1.8054615211013925E-3</v>
      </c>
      <c r="F456" s="4">
        <f ca="1"/>
        <v>-7.0713022981716556E-4</v>
      </c>
      <c r="G456" s="4">
        <f ca="1"/>
        <v>-3.9281705948372991E-3</v>
      </c>
      <c r="H456" s="4">
        <f ca="1"/>
        <v>1.1991132607819477E-2</v>
      </c>
      <c r="I456" s="4">
        <f ca="1"/>
        <v>-7.6809453471196054E-3</v>
      </c>
      <c r="J456" s="4">
        <f ca="1"/>
        <v>-1.0869565217391353E-2</v>
      </c>
      <c r="K456" s="4">
        <f ca="1"/>
        <v>-3.1477122386213141E-2</v>
      </c>
      <c r="L456" s="4">
        <f ca="1"/>
        <v>-2.0257532670863165E-2</v>
      </c>
      <c r="M456" s="4">
        <f ca="1"/>
        <v>-7.8639129175128719E-4</v>
      </c>
      <c r="N456" s="4">
        <f ca="1"/>
        <v>-1.019099448854377E-2</v>
      </c>
      <c r="O456" s="4">
        <f ca="1"/>
        <v>-1.4290904686932171E-2</v>
      </c>
      <c r="P456" s="4">
        <f ca="1"/>
        <v>-6.8068583191035481E-3</v>
      </c>
    </row>
    <row r="457" spans="1:16" x14ac:dyDescent="0.25">
      <c r="A457" vm="6467">
        <f ca="1"/>
        <v>45589</v>
      </c>
      <c r="B457" s="4">
        <f ca="1"/>
        <v>-8.8296013974910048E-3</v>
      </c>
      <c r="C457" s="4">
        <f ca="1"/>
        <v>-5.0125313283211348E-4</v>
      </c>
      <c r="D457" s="4">
        <f ca="1"/>
        <v>-1.0439641229231134E-2</v>
      </c>
      <c r="E457" s="4">
        <f ca="1"/>
        <v>2.753787022383003E-2</v>
      </c>
      <c r="F457" s="4">
        <f ca="1"/>
        <v>2.3587687227255572E-4</v>
      </c>
      <c r="G457" s="4">
        <f ca="1"/>
        <v>-1.323943661971827E-2</v>
      </c>
      <c r="H457" s="4">
        <f ca="1"/>
        <v>-1.4587274718709575E-2</v>
      </c>
      <c r="I457" s="4">
        <f ca="1"/>
        <v>-1.4587674903245085E-2</v>
      </c>
      <c r="J457" s="4">
        <f ca="1"/>
        <v>-1.6826923076923128E-2</v>
      </c>
      <c r="K457" s="4">
        <f ca="1"/>
        <v>7.2557611453101245E-3</v>
      </c>
      <c r="L457" s="4">
        <f ca="1"/>
        <v>1.056648077487532E-2</v>
      </c>
      <c r="M457" s="4">
        <f ca="1"/>
        <v>-2.9409328141826174E-3</v>
      </c>
      <c r="N457" s="4">
        <f ca="1"/>
        <v>-1.2064437051304444E-2</v>
      </c>
      <c r="O457" s="4">
        <f ca="1"/>
        <v>-3.6859565057134613E-4</v>
      </c>
      <c r="P457" s="4">
        <f ca="1"/>
        <v>3.061705134244086E-4</v>
      </c>
    </row>
    <row r="458" spans="1:16" x14ac:dyDescent="0.25">
      <c r="A458" vm="6479">
        <f ca="1"/>
        <v>45590</v>
      </c>
      <c r="B458" s="4">
        <f ca="1"/>
        <v>-3.8452911205818507E-3</v>
      </c>
      <c r="C458" s="4">
        <f ca="1"/>
        <v>-9.0314421525445887E-2</v>
      </c>
      <c r="D458" s="4">
        <f ca="1"/>
        <v>-5.6463595839524316E-3</v>
      </c>
      <c r="E458" s="4">
        <f ca="1"/>
        <v>-1.3729977116704872E-2</v>
      </c>
      <c r="F458" s="4">
        <f ca="1"/>
        <v>-8.253743662304025E-3</v>
      </c>
      <c r="G458" s="4">
        <f ca="1"/>
        <v>-8.2786183271481573E-3</v>
      </c>
      <c r="H458" s="4">
        <f ca="1"/>
        <v>2.783812458950119E-2</v>
      </c>
      <c r="I458" s="4">
        <f ca="1"/>
        <v>5.1359516616313883E-3</v>
      </c>
      <c r="J458" s="4">
        <f ca="1"/>
        <v>-1.0478519035975742E-3</v>
      </c>
      <c r="K458" s="4">
        <f ca="1"/>
        <v>9.6340131741168289E-3</v>
      </c>
      <c r="L458" s="4">
        <f ca="1"/>
        <v>-5.4861716203569166E-3</v>
      </c>
      <c r="M458" s="4">
        <f ca="1"/>
        <v>-5.5253209255952118E-3</v>
      </c>
      <c r="N458" s="4">
        <f ca="1"/>
        <v>-3.4029882490563823E-3</v>
      </c>
      <c r="O458" s="4">
        <f ca="1"/>
        <v>1.5671091445427887E-2</v>
      </c>
      <c r="P458" s="4">
        <f ca="1"/>
        <v>8.0521743225105968E-3</v>
      </c>
    </row>
    <row r="459" spans="1:16" x14ac:dyDescent="0.25">
      <c r="A459" vm="6490">
        <f ca="1"/>
        <v>45593</v>
      </c>
      <c r="B459" s="4">
        <f ca="1"/>
        <v>3.0720236754913088E-3</v>
      </c>
      <c r="C459" s="4">
        <f ca="1"/>
        <v>9.2281879194631156E-3</v>
      </c>
      <c r="D459" s="4">
        <f ca="1"/>
        <v>-3.735803945008942E-3</v>
      </c>
      <c r="E459" s="4">
        <f ca="1"/>
        <v>-4.9080849544891336E-4</v>
      </c>
      <c r="F459" s="4">
        <f ca="1"/>
        <v>6.4201640708596575E-3</v>
      </c>
      <c r="G459" s="4">
        <f ca="1"/>
        <v>1.1226252158894612E-2</v>
      </c>
      <c r="H459" s="4">
        <f ca="1"/>
        <v>-4.3059378686590599E-2</v>
      </c>
      <c r="I459" s="4">
        <f ca="1"/>
        <v>-3.0057108506176267E-4</v>
      </c>
      <c r="J459" s="4">
        <f ca="1"/>
        <v>1.7482517482517501E-2</v>
      </c>
      <c r="K459" s="4">
        <f ca="1"/>
        <v>8.5651984300043615E-3</v>
      </c>
      <c r="L459" s="4">
        <f ca="1"/>
        <v>1.6841353798228154E-2</v>
      </c>
      <c r="M459" s="4">
        <f ca="1"/>
        <v>-7.8118472721196985E-3</v>
      </c>
      <c r="N459" s="4">
        <f ca="1"/>
        <v>-1.2662505113020028E-2</v>
      </c>
      <c r="O459" s="4">
        <f ca="1"/>
        <v>8.7735221153264487E-3</v>
      </c>
      <c r="P459" s="4">
        <f ca="1"/>
        <v>-3.6435828564755912E-3</v>
      </c>
    </row>
    <row r="460" spans="1:16" x14ac:dyDescent="0.25">
      <c r="A460" vm="6504">
        <f ca="1"/>
        <v>45594</v>
      </c>
      <c r="B460" s="4">
        <f ca="1"/>
        <v>2.3410566824340062E-3</v>
      </c>
      <c r="C460" s="4">
        <f ca="1"/>
        <v>-5.0350314689466824E-3</v>
      </c>
      <c r="D460" s="4">
        <f ca="1"/>
        <v>-1.6649167541622933E-2</v>
      </c>
      <c r="E460" s="4">
        <f ca="1"/>
        <v>-6.2497209945977517E-4</v>
      </c>
      <c r="F460" s="4">
        <f ca="1"/>
        <v>-1.2581216774955828E-2</v>
      </c>
      <c r="G460" s="4">
        <f ca="1"/>
        <v>-9.3936806148592344E-3</v>
      </c>
      <c r="H460" s="4">
        <f ca="1"/>
        <v>1.160879391822478E-2</v>
      </c>
      <c r="I460" s="4">
        <f ca="1"/>
        <v>-3.0066145520135645E-4</v>
      </c>
      <c r="J460" s="4">
        <f ca="1"/>
        <v>1.8556701030927769E-2</v>
      </c>
      <c r="K460" s="4">
        <f ca="1"/>
        <v>2.6151930261519407E-2</v>
      </c>
      <c r="L460" s="4">
        <f ca="1"/>
        <v>2.2338524380893787E-4</v>
      </c>
      <c r="M460" s="4">
        <f ca="1"/>
        <v>-6.0629026146267195E-3</v>
      </c>
      <c r="N460" s="4">
        <f ca="1"/>
        <v>-1.5076463065367363E-2</v>
      </c>
      <c r="O460" s="4">
        <f ca="1"/>
        <v>1.775431861804222E-2</v>
      </c>
      <c r="P460" s="4">
        <f ca="1"/>
        <v>1.2564757729904619E-2</v>
      </c>
    </row>
    <row r="461" spans="1:16" x14ac:dyDescent="0.25">
      <c r="A461" vm="6517">
        <f ca="1"/>
        <v>45595</v>
      </c>
      <c r="B461" s="4">
        <f ca="1"/>
        <v>-1.3117691286333999E-3</v>
      </c>
      <c r="C461" s="4">
        <f ca="1"/>
        <v>7.7101186355716944E-3</v>
      </c>
      <c r="D461" s="4">
        <f ca="1"/>
        <v>5.4911531421597548E-3</v>
      </c>
      <c r="E461" s="4">
        <f ca="1"/>
        <v>2.3227766114262138E-3</v>
      </c>
      <c r="F461" s="4">
        <f ca="1"/>
        <v>-6.0417539032122658E-3</v>
      </c>
      <c r="G461" s="4">
        <f ca="1"/>
        <v>-3.0747126436781569E-2</v>
      </c>
      <c r="H461" s="4">
        <f ca="1"/>
        <v>-1.2491114044886786E-2</v>
      </c>
      <c r="I461" s="4">
        <f ca="1"/>
        <v>8.7218045112782416E-3</v>
      </c>
      <c r="J461" s="4">
        <f ca="1"/>
        <v>3.0364372469635637E-3</v>
      </c>
      <c r="K461" s="4">
        <f ca="1"/>
        <v>-2.4946062567422489E-3</v>
      </c>
      <c r="L461" s="4">
        <f ca="1"/>
        <v>-5.7429091025109624E-3</v>
      </c>
      <c r="M461" s="4">
        <f ca="1"/>
        <v>-2.5416190113102255E-3</v>
      </c>
      <c r="N461" s="4">
        <f ca="1"/>
        <v>-1.5727871250912351E-3</v>
      </c>
      <c r="O461" s="4">
        <f ca="1"/>
        <v>2.8170674210278079E-2</v>
      </c>
      <c r="P461" s="4">
        <f ca="1"/>
        <v>1.3427480032410788E-3</v>
      </c>
    </row>
    <row r="462" spans="1:16" x14ac:dyDescent="0.25">
      <c r="A462" vm="6530">
        <f ca="1"/>
        <v>45596</v>
      </c>
      <c r="B462" s="4">
        <f ca="1"/>
        <v>1.5665796344647598E-2</v>
      </c>
      <c r="C462" s="4">
        <f ca="1"/>
        <v>1.6581390941827756E-4</v>
      </c>
      <c r="D462" s="4">
        <f ca="1"/>
        <v>-9.2536407766989903E-3</v>
      </c>
      <c r="E462" s="4">
        <f ca="1"/>
        <v>-1.1319577521279878E-2</v>
      </c>
      <c r="F462" s="4">
        <f ca="1"/>
        <v>-5.8979297063070923E-3</v>
      </c>
      <c r="G462" s="4">
        <f ca="1"/>
        <v>-8.0047435517341947E-3</v>
      </c>
      <c r="H462" s="4">
        <f ca="1"/>
        <v>-2.0259152612093767E-2</v>
      </c>
      <c r="I462" s="4">
        <f ca="1"/>
        <v>2.9815146094216427E-3</v>
      </c>
      <c r="J462" s="4">
        <f ca="1"/>
        <v>-4.2381432896064664E-2</v>
      </c>
      <c r="K462" s="4">
        <f ca="1"/>
        <v>-4.0925988509631472E-2</v>
      </c>
      <c r="L462" s="4">
        <f ca="1"/>
        <v>-3.2089336713410188E-2</v>
      </c>
      <c r="M462" s="4">
        <f ca="1"/>
        <v>-1.3292563808553037E-2</v>
      </c>
      <c r="N462" s="4">
        <f ca="1"/>
        <v>2.0148734293123916E-4</v>
      </c>
      <c r="O462" s="4">
        <f ca="1"/>
        <v>-1.9202109366043718E-2</v>
      </c>
      <c r="P462" s="4">
        <f ca="1"/>
        <v>-6.0527593461725093E-2</v>
      </c>
    </row>
    <row r="463" spans="1:16" x14ac:dyDescent="0.25">
      <c r="A463" vm="6542">
        <f ca="1"/>
        <v>45597</v>
      </c>
      <c r="B463" s="4">
        <f ca="1"/>
        <v>1.514028419574931E-3</v>
      </c>
      <c r="C463" s="4">
        <f ca="1"/>
        <v>7.1051322738657774E-5</v>
      </c>
      <c r="D463" s="4">
        <f ca="1"/>
        <v>-4.5934772622875375E-3</v>
      </c>
      <c r="E463" s="4">
        <f ca="1"/>
        <v>1.5010141987829684E-2</v>
      </c>
      <c r="F463" s="4">
        <f ca="1"/>
        <v>-4.843201356097282E-4</v>
      </c>
      <c r="G463" s="4">
        <f ca="1"/>
        <v>8.9659294680211055E-4</v>
      </c>
      <c r="H463" s="4">
        <f ca="1"/>
        <v>1.2648262831951307E-2</v>
      </c>
      <c r="I463" s="4">
        <f ca="1"/>
        <v>-7.4316290130796991E-3</v>
      </c>
      <c r="J463" s="4">
        <f ca="1"/>
        <v>-8.0786793115560362E-3</v>
      </c>
      <c r="K463" s="4">
        <f ca="1"/>
        <v>-7.3998379083139998E-4</v>
      </c>
      <c r="L463" s="4">
        <f ca="1"/>
        <v>6.1996485760700271E-3</v>
      </c>
      <c r="M463" s="4">
        <f ca="1"/>
        <v>1.8507359903590093E-3</v>
      </c>
      <c r="N463" s="4">
        <f ca="1"/>
        <v>-1.281933888837905E-3</v>
      </c>
      <c r="O463" s="4">
        <f ca="1"/>
        <v>1.0519548828238356E-3</v>
      </c>
      <c r="P463" s="4">
        <f ca="1"/>
        <v>9.892949427833031E-3</v>
      </c>
    </row>
    <row r="464" spans="1:16" x14ac:dyDescent="0.25">
      <c r="A464" vm="6554">
        <f ca="1"/>
        <v>45600</v>
      </c>
      <c r="B464" s="4">
        <f ca="1"/>
        <v>4.6769443963277091E-3</v>
      </c>
      <c r="C464" s="4">
        <f ca="1"/>
        <v>6.9151707478805058E-3</v>
      </c>
      <c r="D464" s="4">
        <f ca="1"/>
        <v>1.5382248884785454E-3</v>
      </c>
      <c r="E464" s="4">
        <f ca="1"/>
        <v>2.8421707078780667E-3</v>
      </c>
      <c r="F464" s="4">
        <f ca="1"/>
        <v>-1.2113870381580405E-4</v>
      </c>
      <c r="G464" s="4">
        <f ca="1"/>
        <v>-3.2845625559868585E-3</v>
      </c>
      <c r="H464" s="4">
        <f ca="1"/>
        <v>-7.2039388442600716E-3</v>
      </c>
      <c r="I464" s="4">
        <f ca="1"/>
        <v>-8.9847259658581979E-4</v>
      </c>
      <c r="J464" s="4">
        <f ca="1"/>
        <v>8.8526912181303707E-3</v>
      </c>
      <c r="K464" s="4">
        <f ca="1"/>
        <v>-1.1425347344664716E-2</v>
      </c>
      <c r="L464" s="4">
        <f ca="1"/>
        <v>2.7018121911037696E-3</v>
      </c>
      <c r="M464" s="4">
        <f ca="1"/>
        <v>2.9943721269923174E-2</v>
      </c>
      <c r="N464" s="4">
        <f ca="1"/>
        <v>-4.1257907765654966E-3</v>
      </c>
      <c r="O464" s="4">
        <f ca="1"/>
        <v>-1.1968007472706987E-2</v>
      </c>
      <c r="P464" s="4">
        <f ca="1"/>
        <v>-4.6543363306285057E-3</v>
      </c>
    </row>
    <row r="465" spans="1:16" x14ac:dyDescent="0.25">
      <c r="A465" vm="6568">
        <f ca="1"/>
        <v>45601</v>
      </c>
      <c r="B465" s="4">
        <f ca="1"/>
        <v>2.4216300940439028E-2</v>
      </c>
      <c r="C465" s="4">
        <f ca="1"/>
        <v>2.1473258384684168E-2</v>
      </c>
      <c r="D465" s="4">
        <f ca="1"/>
        <v>3.9932422054984595E-3</v>
      </c>
      <c r="E465" s="4">
        <f ca="1"/>
        <v>7.1738552829687663E-3</v>
      </c>
      <c r="F465" s="4">
        <f ca="1"/>
        <v>4.1192149260962374E-3</v>
      </c>
      <c r="G465" s="4">
        <f ca="1"/>
        <v>3.8945476333132056E-3</v>
      </c>
      <c r="H465" s="4">
        <f ca="1"/>
        <v>2.1925245353936029E-2</v>
      </c>
      <c r="I465" s="4">
        <f ca="1"/>
        <v>1.9784172661870603E-2</v>
      </c>
      <c r="J465" s="4">
        <f ca="1"/>
        <v>1.8603018603018606E-2</v>
      </c>
      <c r="K465" s="4">
        <f ca="1"/>
        <v>2.0956695441249895E-2</v>
      </c>
      <c r="L465" s="4">
        <f ca="1"/>
        <v>3.3845951629863258E-2</v>
      </c>
      <c r="M465" s="4">
        <f ca="1"/>
        <v>-1.0803370317844396E-2</v>
      </c>
      <c r="N465" s="4">
        <f ca="1"/>
        <v>6.7206775916037742E-3</v>
      </c>
      <c r="O465" s="4">
        <f ca="1"/>
        <v>2.9543843063106756E-3</v>
      </c>
      <c r="P465" s="4">
        <f ca="1"/>
        <v>7.3446604318661013E-3</v>
      </c>
    </row>
    <row r="466" spans="1:16" x14ac:dyDescent="0.25">
      <c r="A466" vm="6579">
        <f ca="1"/>
        <v>45602</v>
      </c>
      <c r="B466" s="4">
        <f ca="1"/>
        <v>8.5714285714285632E-2</v>
      </c>
      <c r="C466" s="4">
        <f ca="1"/>
        <v>3.7622896088047586E-2</v>
      </c>
      <c r="D466" s="4">
        <f ca="1"/>
        <v>-2.5546886951200887E-2</v>
      </c>
      <c r="E466" s="4">
        <f ca="1"/>
        <v>3.517411185367525E-4</v>
      </c>
      <c r="F466" s="4">
        <f ca="1"/>
        <v>-2.8414575289575139E-2</v>
      </c>
      <c r="G466" s="4">
        <f ca="1"/>
        <v>-2.6857654431511335E-3</v>
      </c>
      <c r="H466" s="4">
        <f ca="1"/>
        <v>-1.2975071516142189E-2</v>
      </c>
      <c r="I466" s="4">
        <f ca="1"/>
        <v>8.4068195179306304E-2</v>
      </c>
      <c r="J466" s="4">
        <f ca="1"/>
        <v>0.15058580289455548</v>
      </c>
      <c r="K466" s="4">
        <f ca="1"/>
        <v>-6.6383662631241958E-4</v>
      </c>
      <c r="L466" s="4">
        <f ca="1"/>
        <v>-1.2078062424512148E-2</v>
      </c>
      <c r="M466" s="4">
        <f ca="1"/>
        <v>-3.1920725279359075E-2</v>
      </c>
      <c r="N466" s="4">
        <f ca="1"/>
        <v>9.2729766803840707E-3</v>
      </c>
      <c r="O466" s="4">
        <f ca="1"/>
        <v>3.9884529280075354E-2</v>
      </c>
      <c r="P466" s="4">
        <f ca="1"/>
        <v>2.1192825548048466E-2</v>
      </c>
    </row>
    <row r="467" spans="1:16" x14ac:dyDescent="0.25">
      <c r="A467" vm="6590">
        <f ca="1"/>
        <v>45603</v>
      </c>
      <c r="B467" s="4">
        <f ca="1"/>
        <v>-2.7753502663998009E-2</v>
      </c>
      <c r="C467" s="4">
        <f ca="1"/>
        <v>-4.4380339509597633E-3</v>
      </c>
      <c r="D467" s="4">
        <f ca="1"/>
        <v>-6.2794348508643516E-4</v>
      </c>
      <c r="E467" s="4">
        <f ca="1"/>
        <v>-5.2830520393811531E-2</v>
      </c>
      <c r="F467" s="4">
        <f ca="1"/>
        <v>1.4653834212977168E-2</v>
      </c>
      <c r="G467" s="4">
        <f ca="1"/>
        <v>-1.795332136445249E-2</v>
      </c>
      <c r="H467" s="4">
        <f ca="1"/>
        <v>4.1248317979505122E-2</v>
      </c>
      <c r="I467" s="4">
        <f ca="1"/>
        <v>-3.579175704989157E-2</v>
      </c>
      <c r="J467" s="4">
        <f ca="1"/>
        <v>-4.1329739442947044E-2</v>
      </c>
      <c r="K467" s="4">
        <f ca="1"/>
        <v>3.4350144218162848E-2</v>
      </c>
      <c r="L467" s="4">
        <f ca="1"/>
        <v>3.2301653690238741E-2</v>
      </c>
      <c r="M467" s="4">
        <f ca="1"/>
        <v>1.611638644481217E-2</v>
      </c>
      <c r="N467" s="4">
        <f ca="1"/>
        <v>3.6243702656646448E-5</v>
      </c>
      <c r="O467" s="4">
        <f ca="1"/>
        <v>2.4021301909240345E-2</v>
      </c>
      <c r="P467" s="4">
        <f ca="1"/>
        <v>1.2494645152077766E-2</v>
      </c>
    </row>
    <row r="468" spans="1:16" x14ac:dyDescent="0.25">
      <c r="A468" vm="6602">
        <f ca="1"/>
        <v>45604</v>
      </c>
      <c r="B468" s="4">
        <f ca="1"/>
        <v>8.4230975542574082E-3</v>
      </c>
      <c r="C468" s="4">
        <f ca="1"/>
        <v>4.9035996879529531E-3</v>
      </c>
      <c r="D468" s="4">
        <f ca="1"/>
        <v>4.0841972981464636E-3</v>
      </c>
      <c r="E468" s="4">
        <f ca="1"/>
        <v>1.7122969837586988E-2</v>
      </c>
      <c r="F468" s="4">
        <f ca="1"/>
        <v>2.6314179058809284E-2</v>
      </c>
      <c r="G468" s="4">
        <f ca="1"/>
        <v>5.4844606946984342E-3</v>
      </c>
      <c r="H468" s="4">
        <f ca="1"/>
        <v>4.9704259655003469E-5</v>
      </c>
      <c r="I468" s="4">
        <f ca="1"/>
        <v>1.2373453318335059E-2</v>
      </c>
      <c r="J468" s="4">
        <f ca="1"/>
        <v>1.4526710402999132E-2</v>
      </c>
      <c r="K468" s="4">
        <f ca="1"/>
        <v>-3.9885076897075988E-3</v>
      </c>
      <c r="L468" s="4">
        <f ca="1"/>
        <v>3.1540235616779988E-2</v>
      </c>
      <c r="M468" s="4">
        <f ca="1"/>
        <v>4.715363511659687E-3</v>
      </c>
      <c r="N468" s="4">
        <f ca="1"/>
        <v>2.3050159466511788E-2</v>
      </c>
      <c r="O468" s="4">
        <f ca="1"/>
        <v>-1.3278008298755251E-2</v>
      </c>
      <c r="P468" s="4">
        <f ca="1"/>
        <v>-6.7931269539054373E-3</v>
      </c>
    </row>
    <row r="469" spans="1:16" x14ac:dyDescent="0.25">
      <c r="A469" vm="6614">
        <f ca="1"/>
        <v>45607</v>
      </c>
      <c r="B469" s="4">
        <f ca="1"/>
        <v>1.8071249892176233E-2</v>
      </c>
      <c r="C469" s="4">
        <f ca="1"/>
        <v>9.6484418320947896E-3</v>
      </c>
      <c r="D469" s="4">
        <f ca="1"/>
        <v>-8.7609511889862324E-3</v>
      </c>
      <c r="E469" s="4">
        <f ca="1"/>
        <v>1.2181212646562356E-2</v>
      </c>
      <c r="F469" s="4">
        <f ca="1"/>
        <v>-1.0017291753622315E-2</v>
      </c>
      <c r="G469" s="4">
        <f ca="1"/>
        <v>-1.4242424242424168E-2</v>
      </c>
      <c r="H469" s="4">
        <f ca="1"/>
        <v>-3.5536779324055523E-2</v>
      </c>
      <c r="I469" s="4">
        <f ca="1"/>
        <v>1.4444444444444482E-2</v>
      </c>
      <c r="J469" s="4">
        <f ca="1"/>
        <v>3.0946882217089966E-2</v>
      </c>
      <c r="K469" s="4">
        <f ca="1"/>
        <v>-1.0469338582142829E-2</v>
      </c>
      <c r="L469" s="4">
        <f ca="1"/>
        <v>-3.8975164662518047E-3</v>
      </c>
      <c r="M469" s="4">
        <f ca="1"/>
        <v>7.7651676764227684E-3</v>
      </c>
      <c r="N469" s="4">
        <f ca="1"/>
        <v>1.0663171319257536E-2</v>
      </c>
      <c r="O469" s="4">
        <f ca="1"/>
        <v>1.1213905242500655E-2</v>
      </c>
      <c r="P469" s="4">
        <f ca="1"/>
        <v>-1.072087849671044E-2</v>
      </c>
    </row>
    <row r="470" spans="1:16" x14ac:dyDescent="0.25">
      <c r="A470" vm="6626">
        <f ca="1"/>
        <v>45608</v>
      </c>
      <c r="B470" s="4">
        <f ca="1"/>
        <v>-1.2469109651909838E-2</v>
      </c>
      <c r="C470" s="4">
        <f ca="1"/>
        <v>-4.745166959578162E-3</v>
      </c>
      <c r="D470" s="4">
        <f ca="1"/>
        <v>-2.525252525252486E-3</v>
      </c>
      <c r="E470" s="4">
        <f ca="1"/>
        <v>3.9213918687459604E-3</v>
      </c>
      <c r="F470" s="4">
        <f ca="1"/>
        <v>-1.1443714991266063E-3</v>
      </c>
      <c r="G470" s="4">
        <f ca="1"/>
        <v>-1.6292652935751661E-2</v>
      </c>
      <c r="H470" s="4">
        <f ca="1"/>
        <v>-1.1749549085287248E-2</v>
      </c>
      <c r="I470" s="4">
        <f ca="1"/>
        <v>-1.0679079956188442E-2</v>
      </c>
      <c r="J470" s="4">
        <f ca="1"/>
        <v>-2.7180406212664154E-2</v>
      </c>
      <c r="K470" s="4">
        <f ca="1"/>
        <v>2.829363650393768E-3</v>
      </c>
      <c r="L470" s="4">
        <f ca="1"/>
        <v>-7.3402286996876454E-3</v>
      </c>
      <c r="M470" s="4">
        <f ca="1"/>
        <v>8.8484335309060302E-3</v>
      </c>
      <c r="N470" s="4">
        <f ca="1"/>
        <v>-8.0970240807599625E-3</v>
      </c>
      <c r="O470" s="4">
        <f ca="1"/>
        <v>7.0418630440809427E-3</v>
      </c>
      <c r="P470" s="4">
        <f ca="1"/>
        <v>1.2009282074591399E-2</v>
      </c>
    </row>
    <row r="471" spans="1:16" x14ac:dyDescent="0.25">
      <c r="A471" vm="6637">
        <f ca="1"/>
        <v>45609</v>
      </c>
      <c r="B471" s="4">
        <f ca="1"/>
        <v>1.0209918206257385E-2</v>
      </c>
      <c r="C471" s="4">
        <f ca="1"/>
        <v>3.9510859968214795E-3</v>
      </c>
      <c r="D471" s="4">
        <f ca="1"/>
        <v>-3.1645569620253333E-3</v>
      </c>
      <c r="E471" s="4">
        <f ca="1"/>
        <v>-2.0652808332958239E-3</v>
      </c>
      <c r="F471" s="4">
        <f ca="1"/>
        <v>4.4621321755908827E-3</v>
      </c>
      <c r="G471" s="4">
        <f ca="1"/>
        <v>4.0625000000000799E-3</v>
      </c>
      <c r="H471" s="4">
        <f ca="1"/>
        <v>-2.6646503624133122E-2</v>
      </c>
      <c r="I471" s="4">
        <f ca="1"/>
        <v>9.6872405203429768E-3</v>
      </c>
      <c r="J471" s="4">
        <f ca="1"/>
        <v>7.36874424316869E-3</v>
      </c>
      <c r="K471" s="4">
        <f ca="1"/>
        <v>-8.2418521938375511E-3</v>
      </c>
      <c r="L471" s="4">
        <f ca="1"/>
        <v>-1.1916765973049026E-3</v>
      </c>
      <c r="M471" s="4">
        <f ca="1"/>
        <v>1.0155692643417646E-2</v>
      </c>
      <c r="N471" s="4">
        <f ca="1"/>
        <v>-1.4541663721817866E-2</v>
      </c>
      <c r="O471" s="4">
        <f ca="1"/>
        <v>-1.5086444224204465E-2</v>
      </c>
      <c r="P471" s="4">
        <f ca="1"/>
        <v>5.1296598349999112E-3</v>
      </c>
    </row>
    <row r="472" spans="1:16" x14ac:dyDescent="0.25">
      <c r="A472" vm="6649">
        <f ca="1"/>
        <v>45610</v>
      </c>
      <c r="B472" s="4">
        <f ca="1"/>
        <v>-1.2498938368768253E-2</v>
      </c>
      <c r="C472" s="4">
        <f ca="1"/>
        <v>-9.34415056174831E-3</v>
      </c>
      <c r="D472" s="4">
        <f ca="1"/>
        <v>-7.1428571428572285E-3</v>
      </c>
      <c r="E472" s="4">
        <f ca="1"/>
        <v>-4.8589553246052297E-3</v>
      </c>
      <c r="F472" s="4">
        <f ca="1"/>
        <v>3.0015608116220616E-3</v>
      </c>
      <c r="G472" s="4">
        <f ca="1"/>
        <v>-1.0582010582010692E-2</v>
      </c>
      <c r="H472" s="4">
        <f ca="1"/>
        <v>9.8574949105325604E-3</v>
      </c>
      <c r="I472" s="4">
        <f ca="1"/>
        <v>-2.3300438596491113E-2</v>
      </c>
      <c r="J472" s="4">
        <f ca="1"/>
        <v>5.7909174032306776E-3</v>
      </c>
      <c r="K472" s="4">
        <f ca="1"/>
        <v>-4.896551724137943E-3</v>
      </c>
      <c r="L472" s="4">
        <f ca="1"/>
        <v>-9.2082721488007113E-3</v>
      </c>
      <c r="M472" s="4">
        <f ca="1"/>
        <v>5.3591458601636166E-3</v>
      </c>
      <c r="N472" s="4">
        <f ca="1"/>
        <v>-3.3600487691176739E-2</v>
      </c>
      <c r="O472" s="4">
        <f ca="1"/>
        <v>-1.8448121645796012E-2</v>
      </c>
      <c r="P472" s="4">
        <f ca="1"/>
        <v>3.9746001881466597E-3</v>
      </c>
    </row>
    <row r="473" spans="1:16" x14ac:dyDescent="0.25">
      <c r="A473" vm="6661">
        <f ca="1"/>
        <v>45611</v>
      </c>
      <c r="B473" s="4">
        <f ca="1"/>
        <v>1.8347834812149078E-3</v>
      </c>
      <c r="C473" s="4">
        <f ca="1"/>
        <v>-1.1629455368636021E-2</v>
      </c>
      <c r="D473" s="4">
        <f ca="1"/>
        <v>-1.2949640287769681E-2</v>
      </c>
      <c r="E473" s="4">
        <f ca="1"/>
        <v>-4.837470048374648E-3</v>
      </c>
      <c r="F473" s="4">
        <f ca="1"/>
        <v>1.4723485755326671E-2</v>
      </c>
      <c r="G473" s="4">
        <f ca="1"/>
        <v>-2.0446681346335316E-2</v>
      </c>
      <c r="H473" s="4">
        <f ca="1"/>
        <v>-1.3209549071618087E-2</v>
      </c>
      <c r="I473" s="4">
        <f ca="1"/>
        <v>-1.4033118158854885E-2</v>
      </c>
      <c r="J473" s="4">
        <f ca="1"/>
        <v>-2.4545454545454648E-2</v>
      </c>
      <c r="K473" s="4">
        <f ca="1"/>
        <v>-3.9988911220458667E-2</v>
      </c>
      <c r="L473" s="4">
        <f ca="1"/>
        <v>-1.6673356593696065E-3</v>
      </c>
      <c r="M473" s="4">
        <f ca="1"/>
        <v>-1.8553719008264524E-2</v>
      </c>
      <c r="N473" s="4">
        <f ca="1"/>
        <v>-7.7181394831072891E-3</v>
      </c>
      <c r="O473" s="4">
        <f ca="1"/>
        <v>-1.7598815354823993E-2</v>
      </c>
      <c r="P473" s="4">
        <f ca="1"/>
        <v>-2.7852608400290468E-2</v>
      </c>
    </row>
    <row r="474" spans="1:16" x14ac:dyDescent="0.25">
      <c r="A474" vm="6672">
        <f ca="1"/>
        <v>45614</v>
      </c>
      <c r="B474" s="4">
        <f ca="1"/>
        <v>-1.03446795724772E-2</v>
      </c>
      <c r="C474" s="4">
        <f ca="1"/>
        <v>-1.3944402029909653E-2</v>
      </c>
      <c r="D474" s="4">
        <f ca="1"/>
        <v>1.9436345966958868E-3</v>
      </c>
      <c r="E474" s="4">
        <f ca="1"/>
        <v>-1.3765218971470095E-2</v>
      </c>
      <c r="F474" s="4">
        <f ca="1"/>
        <v>7.13695882977472E-3</v>
      </c>
      <c r="G474" s="4">
        <f ca="1"/>
        <v>-2.2479126525369875E-3</v>
      </c>
      <c r="H474" s="4">
        <f ca="1"/>
        <v>7.9028009246815412E-3</v>
      </c>
      <c r="I474" s="4">
        <f ca="1"/>
        <v>-4.5545118132651607E-3</v>
      </c>
      <c r="J474" s="4">
        <f ca="1"/>
        <v>-8.0770425598011286E-3</v>
      </c>
      <c r="K474" s="4">
        <f ca="1"/>
        <v>5.7753393011839016E-4</v>
      </c>
      <c r="L474" s="4">
        <f ca="1"/>
        <v>1.5711502180435044E-2</v>
      </c>
      <c r="M474" s="4">
        <f ca="1"/>
        <v>2.315691970864453E-3</v>
      </c>
      <c r="N474" s="4">
        <f ca="1"/>
        <v>-7.235944131780192E-3</v>
      </c>
      <c r="O474" s="4">
        <f ca="1"/>
        <v>1.6290799466635697E-2</v>
      </c>
      <c r="P474" s="4">
        <f ca="1"/>
        <v>1.8313253012047781E-3</v>
      </c>
    </row>
    <row r="475" spans="1:16" x14ac:dyDescent="0.25">
      <c r="A475" vm="6682">
        <f ca="1"/>
        <v>45615</v>
      </c>
      <c r="B475" s="4">
        <f ca="1"/>
        <v>-2.7758501040943129E-3</v>
      </c>
      <c r="C475" s="4">
        <f ca="1"/>
        <v>-9.2000091089199376E-3</v>
      </c>
      <c r="D475" s="4">
        <f ca="1"/>
        <v>1.180084060782427E-2</v>
      </c>
      <c r="E475" s="4">
        <f ca="1"/>
        <v>-2.344649684462663E-2</v>
      </c>
      <c r="F475" s="4">
        <f ca="1"/>
        <v>5.8565153733480813E-5</v>
      </c>
      <c r="G475" s="4">
        <f ca="1"/>
        <v>-1.5770840038622502E-2</v>
      </c>
      <c r="H475" s="4">
        <f ca="1"/>
        <v>1.1681245999573209E-2</v>
      </c>
      <c r="I475" s="4">
        <f ca="1"/>
        <v>-1.0580497569345093E-2</v>
      </c>
      <c r="J475" s="4">
        <f ca="1"/>
        <v>1.8791105543376485E-3</v>
      </c>
      <c r="K475" s="4">
        <f ca="1"/>
        <v>1.2067099567099726E-2</v>
      </c>
      <c r="L475" s="4">
        <f ca="1"/>
        <v>7.2165890198225835E-3</v>
      </c>
      <c r="M475" s="4">
        <f ca="1"/>
        <v>9.9974796269848287E-3</v>
      </c>
      <c r="N475" s="4">
        <f ca="1"/>
        <v>4.3317764050021523E-3</v>
      </c>
      <c r="O475" s="4">
        <f ca="1"/>
        <v>1.6086708499714719E-2</v>
      </c>
      <c r="P475" s="4">
        <f ca="1"/>
        <v>4.8826245911102184E-3</v>
      </c>
    </row>
    <row r="476" spans="1:16" x14ac:dyDescent="0.25">
      <c r="A476" vm="6694">
        <f ca="1"/>
        <v>45616</v>
      </c>
      <c r="B476" s="4">
        <f ca="1"/>
        <v>9.713523544421232E-4</v>
      </c>
      <c r="C476" s="4">
        <f ca="1"/>
        <v>-7.7225401641038971E-3</v>
      </c>
      <c r="D476" s="4">
        <f ca="1"/>
        <v>6.3907972519572365E-3</v>
      </c>
      <c r="E476" s="4">
        <f ca="1"/>
        <v>1.179245283018826E-3</v>
      </c>
      <c r="F476" s="4">
        <f ca="1"/>
        <v>7.6130241274308119E-4</v>
      </c>
      <c r="G476" s="4">
        <f ca="1"/>
        <v>9.8103335513408663E-3</v>
      </c>
      <c r="H476" s="4">
        <f ca="1"/>
        <v>-6.9067327463487871E-3</v>
      </c>
      <c r="I476" s="4">
        <f ca="1"/>
        <v>-8.6705202312142848E-4</v>
      </c>
      <c r="J476" s="4">
        <f ca="1"/>
        <v>3.1259768677727173E-4</v>
      </c>
      <c r="K476" s="4">
        <f ca="1"/>
        <v>7.8953465575932746E-3</v>
      </c>
      <c r="L476" s="4">
        <f ca="1"/>
        <v>4.7161255214946962E-3</v>
      </c>
      <c r="M476" s="4">
        <f ca="1"/>
        <v>-2.869738812177669E-3</v>
      </c>
      <c r="N476" s="4">
        <f ca="1"/>
        <v>2.7566290364926527E-3</v>
      </c>
      <c r="O476" s="4">
        <f ca="1"/>
        <v>-1.2014372333258527E-2</v>
      </c>
      <c r="P476" s="4">
        <f ca="1"/>
        <v>-5.5051580937791611E-3</v>
      </c>
    </row>
    <row r="477" spans="1:16" x14ac:dyDescent="0.25">
      <c r="A477" vm="6706">
        <f ca="1"/>
        <v>45617</v>
      </c>
      <c r="B477" s="4">
        <f ca="1"/>
        <v>1.7742566226844225E-2</v>
      </c>
      <c r="C477" s="4">
        <f ca="1"/>
        <v>2.2676209668079483E-2</v>
      </c>
      <c r="D477" s="4">
        <f ca="1"/>
        <v>1.2224162565486418E-2</v>
      </c>
      <c r="E477" s="4">
        <f ca="1"/>
        <v>1.6584216725559431E-2</v>
      </c>
      <c r="F477" s="4">
        <f ca="1"/>
        <v>1.0884194511089129E-2</v>
      </c>
      <c r="G477" s="4">
        <f ca="1"/>
        <v>6.8005181347150501E-3</v>
      </c>
      <c r="H477" s="4">
        <f ca="1"/>
        <v>1.5289870460819754E-2</v>
      </c>
      <c r="I477" s="4">
        <f ca="1"/>
        <v>2.2273647671391394E-2</v>
      </c>
      <c r="J477" s="4">
        <f ca="1"/>
        <v>8.7500000000000355E-3</v>
      </c>
      <c r="K477" s="4">
        <f ca="1"/>
        <v>-4.2969302588766745E-3</v>
      </c>
      <c r="L477" s="4">
        <f ca="1"/>
        <v>2.3078774748751307E-2</v>
      </c>
      <c r="M477" s="4">
        <f ca="1"/>
        <v>4.2127215849843136E-3</v>
      </c>
      <c r="N477" s="4">
        <f ca="1"/>
        <v>1.3614347427673756E-2</v>
      </c>
      <c r="O477" s="4">
        <f ca="1"/>
        <v>-4.7448573701556973E-2</v>
      </c>
      <c r="P477" s="4">
        <f ca="1"/>
        <v>-6.3058076006642372E-3</v>
      </c>
    </row>
    <row r="478" spans="1:16" x14ac:dyDescent="0.25">
      <c r="A478" vm="6719">
        <f ca="1"/>
        <v>45618</v>
      </c>
      <c r="B478" s="4">
        <f ca="1"/>
        <v>5.9628849547448404E-3</v>
      </c>
      <c r="C478" s="4">
        <f ca="1"/>
        <v>1.8413661895270828E-2</v>
      </c>
      <c r="D478" s="4">
        <f ca="1"/>
        <v>2.5094102885823144E-3</v>
      </c>
      <c r="E478" s="4">
        <f ca="1"/>
        <v>-6.6274273532002104E-3</v>
      </c>
      <c r="F478" s="4">
        <f ca="1"/>
        <v>2.0434153400868293E-2</v>
      </c>
      <c r="G478" s="4">
        <f ca="1"/>
        <v>2.3158571888066914E-2</v>
      </c>
      <c r="H478" s="4">
        <f ca="1"/>
        <v>-6.0656766366868897E-3</v>
      </c>
      <c r="I478" s="4">
        <f ca="1"/>
        <v>1.2450481041312855E-2</v>
      </c>
      <c r="J478" s="4">
        <f ca="1"/>
        <v>2.3543990086740907E-2</v>
      </c>
      <c r="K478" s="4">
        <f ca="1"/>
        <v>-7.0148644088867673E-3</v>
      </c>
      <c r="L478" s="4">
        <f ca="1"/>
        <v>5.6174818387695336E-3</v>
      </c>
      <c r="M478" s="4">
        <f ca="1"/>
        <v>-4.568865260009991E-3</v>
      </c>
      <c r="N478" s="4">
        <f ca="1"/>
        <v>3.8744672607515795E-4</v>
      </c>
      <c r="O478" s="4">
        <f ca="1"/>
        <v>-1.71210403865657E-2</v>
      </c>
      <c r="P478" s="4">
        <f ca="1"/>
        <v>1.0003148690871155E-2</v>
      </c>
    </row>
    <row r="479" spans="1:16" x14ac:dyDescent="0.25">
      <c r="A479" vm="6729">
        <f ca="1"/>
        <v>45621</v>
      </c>
      <c r="B479" s="4">
        <f ca="1"/>
        <v>-3.4659838442713253E-3</v>
      </c>
      <c r="C479" s="4">
        <f ca="1"/>
        <v>4.4545757811631281E-2</v>
      </c>
      <c r="D479" s="4">
        <f ca="1"/>
        <v>7.1964956195242902E-3</v>
      </c>
      <c r="E479" s="4">
        <f ca="1"/>
        <v>8.3045628440794328E-3</v>
      </c>
      <c r="F479" s="4">
        <f ca="1"/>
        <v>6.2968005445880326E-3</v>
      </c>
      <c r="G479" s="4">
        <f ca="1"/>
        <v>6.6016975793776744E-3</v>
      </c>
      <c r="H479" s="4">
        <f ca="1"/>
        <v>-2.6304713804713775E-2</v>
      </c>
      <c r="I479" s="4">
        <f ca="1"/>
        <v>2.3476802683062958E-2</v>
      </c>
      <c r="J479" s="4">
        <f ca="1"/>
        <v>2.7239709443100946E-3</v>
      </c>
      <c r="K479" s="4">
        <f ca="1"/>
        <v>1.0677111278034168E-2</v>
      </c>
      <c r="L479" s="4">
        <f ca="1"/>
        <v>2.9246607393542678E-3</v>
      </c>
      <c r="M479" s="4">
        <f ca="1"/>
        <v>8.3868814153382765E-3</v>
      </c>
      <c r="N479" s="4">
        <f ca="1"/>
        <v>-3.7494006122976042E-2</v>
      </c>
      <c r="O479" s="4">
        <f ca="1"/>
        <v>1.7540665210002526E-2</v>
      </c>
      <c r="P479" s="4">
        <f ca="1"/>
        <v>4.2925659472423661E-3</v>
      </c>
    </row>
    <row r="480" spans="1:16" x14ac:dyDescent="0.25">
      <c r="A480" vm="6740">
        <f ca="1"/>
        <v>45622</v>
      </c>
      <c r="B480" s="4">
        <f ca="1"/>
        <v>3.4496465177025204E-3</v>
      </c>
      <c r="C480" s="4">
        <f ca="1"/>
        <v>-1.8012263668880868E-2</v>
      </c>
      <c r="D480" s="4">
        <f ca="1"/>
        <v>2.6405716060888818E-3</v>
      </c>
      <c r="E480" s="4">
        <f ca="1"/>
        <v>-2.7762354247640175E-4</v>
      </c>
      <c r="F480" s="4">
        <f ca="1"/>
        <v>1.0823608997124978E-2</v>
      </c>
      <c r="G480" s="4">
        <f ca="1"/>
        <v>-1.5615240474704528E-3</v>
      </c>
      <c r="H480" s="4">
        <f ca="1"/>
        <v>-6.6998054895180958E-3</v>
      </c>
      <c r="I480" s="4">
        <f ca="1"/>
        <v>1.9115237575095811E-3</v>
      </c>
      <c r="J480" s="4">
        <f ca="1"/>
        <v>-1.3884696649562378E-2</v>
      </c>
      <c r="K480" s="4">
        <f ca="1"/>
        <v>1.4917449700058372E-2</v>
      </c>
      <c r="L480" s="4">
        <f ca="1"/>
        <v>1.0731365916248681E-2</v>
      </c>
      <c r="M480" s="4">
        <f ca="1"/>
        <v>-3.3392642860098465E-2</v>
      </c>
      <c r="N480" s="4">
        <f ca="1"/>
        <v>-8.4308953994127744E-4</v>
      </c>
      <c r="O480" s="4">
        <f ca="1"/>
        <v>8.7682672233819758E-3</v>
      </c>
      <c r="P480" s="4">
        <f ca="1"/>
        <v>2.1968050813056639E-2</v>
      </c>
    </row>
    <row r="481" spans="1:16" x14ac:dyDescent="0.25">
      <c r="A481" vm="6755">
        <f ca="1"/>
        <v>45623</v>
      </c>
      <c r="B481" s="4">
        <f ca="1"/>
        <v>-9.8606493598358824E-3</v>
      </c>
      <c r="C481" s="4">
        <f ca="1"/>
        <v>-7.8704305971121213E-3</v>
      </c>
      <c r="D481" s="4">
        <f ca="1"/>
        <v>-1.859024012393351E-3</v>
      </c>
      <c r="E481" s="4">
        <f ca="1"/>
        <v>6.5259650097195809E-3</v>
      </c>
      <c r="F481" s="4">
        <f ca="1"/>
        <v>2.7884669008981788E-4</v>
      </c>
      <c r="G481" s="4">
        <f ca="1"/>
        <v>-1.2511729746637057E-3</v>
      </c>
      <c r="H481" s="4">
        <f ca="1"/>
        <v>-1.4414708442123669E-2</v>
      </c>
      <c r="I481" s="4">
        <f ca="1"/>
        <v>-2.9980921231943514E-3</v>
      </c>
      <c r="J481" s="4">
        <f ca="1"/>
        <v>-1.9283746556473913E-2</v>
      </c>
      <c r="K481" s="4">
        <f ca="1"/>
        <v>-7.5670397879832318E-3</v>
      </c>
      <c r="L481" s="4">
        <f ca="1"/>
        <v>-7.6745527986151751E-3</v>
      </c>
      <c r="M481" s="4">
        <f ca="1"/>
        <v>1.0145547945205502E-2</v>
      </c>
      <c r="N481" s="4">
        <f ca="1"/>
        <v>8.2462364560360601E-3</v>
      </c>
      <c r="O481" s="4">
        <f ca="1"/>
        <v>6.5042573320717167E-4</v>
      </c>
      <c r="P481" s="4">
        <f ca="1"/>
        <v>-1.1682515946634275E-2</v>
      </c>
    </row>
    <row r="482" spans="1:16" x14ac:dyDescent="0.25">
      <c r="A482" vm="6769">
        <f ca="1"/>
        <v>45625</v>
      </c>
      <c r="B482" s="4">
        <f ca="1"/>
        <v>4.3150254329313853E-3</v>
      </c>
      <c r="C482" s="4">
        <f ca="1"/>
        <v>-1.9449725737012979E-3</v>
      </c>
      <c r="D482" s="4">
        <f ca="1"/>
        <v>-5.4322520564955568E-3</v>
      </c>
      <c r="E482" s="4">
        <f ca="1"/>
        <v>7.3113532901090128E-3</v>
      </c>
      <c r="F482" s="4">
        <f ca="1"/>
        <v>-5.5753791257817653E-4</v>
      </c>
      <c r="G482" s="4">
        <f ca="1"/>
        <v>1.2527403695583583E-3</v>
      </c>
      <c r="H482" s="4">
        <f ca="1"/>
        <v>1.9151167282962733E-2</v>
      </c>
      <c r="I482" s="4">
        <f ca="1"/>
        <v>-8.2012028430844541E-4</v>
      </c>
      <c r="J482" s="4">
        <f ca="1"/>
        <v>4.0574282147316509E-3</v>
      </c>
      <c r="K482" s="4">
        <f ca="1"/>
        <v>8.9950808151793016E-3</v>
      </c>
      <c r="L482" s="4">
        <f ca="1"/>
        <v>1.6863406408094139E-3</v>
      </c>
      <c r="M482" s="4">
        <f ca="1"/>
        <v>2.1104377675128072E-2</v>
      </c>
      <c r="N482" s="4">
        <f ca="1"/>
        <v>6.9614835948643705E-3</v>
      </c>
      <c r="O482" s="4">
        <f ca="1"/>
        <v>-1.6545529752407528E-3</v>
      </c>
      <c r="P482" s="4">
        <f ca="1"/>
        <v>1.1111373791341528E-3</v>
      </c>
    </row>
    <row r="483" spans="1:16" x14ac:dyDescent="0.25">
      <c r="A483" vm="6782">
        <f ca="1"/>
        <v>45628</v>
      </c>
      <c r="B483" s="4">
        <f ca="1"/>
        <v>-3.144117228624177E-3</v>
      </c>
      <c r="C483" s="4">
        <f ca="1"/>
        <v>-7.488504488723513E-3</v>
      </c>
      <c r="D483" s="4">
        <f ca="1"/>
        <v>-6.7103620474406878E-3</v>
      </c>
      <c r="E483" s="4">
        <f ca="1"/>
        <v>-9.1299187437221541E-4</v>
      </c>
      <c r="F483" s="4">
        <f ca="1"/>
        <v>2.4545353118374802E-3</v>
      </c>
      <c r="G483" s="4">
        <f ca="1"/>
        <v>-1.1260556771973684E-2</v>
      </c>
      <c r="H483" s="4">
        <f ca="1"/>
        <v>5.274558648326666E-2</v>
      </c>
      <c r="I483" s="4">
        <f ca="1"/>
        <v>-5.745554035567535E-3</v>
      </c>
      <c r="J483" s="4">
        <f ca="1"/>
        <v>1.5542430836182675E-2</v>
      </c>
      <c r="K483" s="4">
        <f ca="1"/>
        <v>3.222941913915589E-2</v>
      </c>
      <c r="L483" s="4">
        <f ca="1"/>
        <v>-6.3566701497735911E-3</v>
      </c>
      <c r="M483" s="4">
        <f ca="1"/>
        <v>-1.3239261257522283E-2</v>
      </c>
      <c r="N483" s="4">
        <f ca="1"/>
        <v>-1.7132279329819866E-2</v>
      </c>
      <c r="O483" s="4">
        <f ca="1"/>
        <v>1.5034033737792329E-2</v>
      </c>
      <c r="P483" s="4">
        <f ca="1"/>
        <v>1.7758465970811876E-2</v>
      </c>
    </row>
    <row r="484" spans="1:16" x14ac:dyDescent="0.25">
      <c r="A484" vm="6793">
        <f ca="1"/>
        <v>45629</v>
      </c>
      <c r="B484" s="4">
        <f ca="1"/>
        <v>2.9970457691685937E-4</v>
      </c>
      <c r="C484" s="4">
        <f ca="1"/>
        <v>-1.9524355806565419E-2</v>
      </c>
      <c r="D484" s="4">
        <f ca="1"/>
        <v>-2.0424194815396035E-3</v>
      </c>
      <c r="E484" s="4">
        <f ca="1"/>
        <v>-1.0097779402357676E-2</v>
      </c>
      <c r="F484" s="4">
        <f ca="1"/>
        <v>-2.3817473567056213E-2</v>
      </c>
      <c r="G484" s="4">
        <f ca="1"/>
        <v>-5.0616893388167883E-3</v>
      </c>
      <c r="H484" s="4">
        <f ca="1"/>
        <v>2.3096707818929918E-2</v>
      </c>
      <c r="I484" s="4">
        <f ca="1"/>
        <v>-9.3560814529445313E-3</v>
      </c>
      <c r="J484" s="4">
        <f ca="1"/>
        <v>-7.3461891643710198E-3</v>
      </c>
      <c r="K484" s="4">
        <f ca="1"/>
        <v>3.5119680178128609E-2</v>
      </c>
      <c r="L484" s="4">
        <f ca="1"/>
        <v>-7.5657990827563415E-3</v>
      </c>
      <c r="M484" s="4">
        <f ca="1"/>
        <v>-2.9441453566620979E-3</v>
      </c>
      <c r="N484" s="4">
        <f ca="1"/>
        <v>-6.4188799631010873E-3</v>
      </c>
      <c r="O484" s="4">
        <f ca="1"/>
        <v>-8.7468657064559974E-4</v>
      </c>
      <c r="P484" s="4">
        <f ca="1"/>
        <v>5.104645227156368E-4</v>
      </c>
    </row>
    <row r="485" spans="1:16" x14ac:dyDescent="0.25">
      <c r="A485" vm="6805">
        <f ca="1"/>
        <v>45630</v>
      </c>
      <c r="B485" s="4">
        <f ca="1"/>
        <v>-6.2919104009130367E-3</v>
      </c>
      <c r="C485" s="4">
        <f ca="1"/>
        <v>-1.3927952658461362E-2</v>
      </c>
      <c r="D485" s="4">
        <f ca="1"/>
        <v>-2.0623425692695263E-2</v>
      </c>
      <c r="E485" s="4">
        <f ca="1"/>
        <v>2.7694438033694091E-3</v>
      </c>
      <c r="F485" s="4">
        <f ca="1"/>
        <v>-1.7671873218559897E-3</v>
      </c>
      <c r="G485" s="4">
        <f ca="1"/>
        <v>-1.4308426073131986E-2</v>
      </c>
      <c r="H485" s="4">
        <f ca="1"/>
        <v>9.0502287696716532E-3</v>
      </c>
      <c r="I485" s="4">
        <f ca="1"/>
        <v>-1.9444444444444486E-2</v>
      </c>
      <c r="J485" s="4">
        <f ca="1"/>
        <v>-1.1717545482577973E-2</v>
      </c>
      <c r="K485" s="4">
        <f ca="1"/>
        <v>2.1184714413746697E-4</v>
      </c>
      <c r="L485" s="4">
        <f ca="1"/>
        <v>-1.7896038146818061E-2</v>
      </c>
      <c r="M485" s="4">
        <f ca="1"/>
        <v>5.2307432717455526E-3</v>
      </c>
      <c r="N485" s="4">
        <f ca="1"/>
        <v>9.6711798839455021E-4</v>
      </c>
      <c r="O485" s="4">
        <f ca="1"/>
        <v>1.7684136804015482E-2</v>
      </c>
      <c r="P485" s="4">
        <f ca="1"/>
        <v>1.4424860853432309E-2</v>
      </c>
    </row>
    <row r="486" spans="1:16" x14ac:dyDescent="0.25">
      <c r="A486" vm="6817">
        <f ca="1"/>
        <v>45631</v>
      </c>
      <c r="B486" s="4">
        <f ca="1"/>
        <v>-2.5556720125198273E-3</v>
      </c>
      <c r="C486" s="4">
        <f ca="1"/>
        <v>-4.4952537422418004E-3</v>
      </c>
      <c r="D486" s="4">
        <f ca="1"/>
        <v>1.1412956116380046E-2</v>
      </c>
      <c r="E486" s="4">
        <f ca="1"/>
        <v>8.2853855005748933E-4</v>
      </c>
      <c r="F486" s="4">
        <f ca="1"/>
        <v>5.2538404431499153E-3</v>
      </c>
      <c r="G486" s="4">
        <f ca="1"/>
        <v>-2.903225806451637E-3</v>
      </c>
      <c r="H486" s="4">
        <f ca="1"/>
        <v>1.7987941601474988E-2</v>
      </c>
      <c r="I486" s="4">
        <f ca="1"/>
        <v>-1.9263456090651498E-2</v>
      </c>
      <c r="J486" s="4">
        <f ca="1"/>
        <v>-2.3088923556942254E-2</v>
      </c>
      <c r="K486" s="4">
        <f ca="1"/>
        <v>-7.9018540845254837E-3</v>
      </c>
      <c r="L486" s="4">
        <f ca="1"/>
        <v>3.9261523706768386E-3</v>
      </c>
      <c r="M486" s="4">
        <f ca="1"/>
        <v>5.0356693243809314E-3</v>
      </c>
      <c r="N486" s="4">
        <f ca="1"/>
        <v>-3.8647342995079548E-5</v>
      </c>
      <c r="O486" s="4">
        <f ca="1"/>
        <v>-9.9214314388944569E-3</v>
      </c>
      <c r="P486" s="4">
        <f ca="1"/>
        <v>1.1887888070961417E-2</v>
      </c>
    </row>
    <row r="487" spans="1:16" x14ac:dyDescent="0.25">
      <c r="A487" vm="6828">
        <f ca="1"/>
        <v>45632</v>
      </c>
      <c r="B487" s="4">
        <f ca="1"/>
        <v>2.0872018540110115E-3</v>
      </c>
      <c r="C487" s="4">
        <f ca="1"/>
        <v>8.5726728860568979E-3</v>
      </c>
      <c r="D487" s="4">
        <f ca="1"/>
        <v>-6.1983471074380514E-3</v>
      </c>
      <c r="E487" s="4">
        <f ca="1"/>
        <v>-7.082739272409655E-3</v>
      </c>
      <c r="F487" s="4">
        <f ca="1"/>
        <v>-1.2554678179855783E-2</v>
      </c>
      <c r="G487" s="4">
        <f ca="1"/>
        <v>-3.2351989647363411E-3</v>
      </c>
      <c r="H487" s="4">
        <f ca="1"/>
        <v>-6.2652961331375323E-3</v>
      </c>
      <c r="I487" s="4">
        <f ca="1"/>
        <v>-4.9104563835931092E-3</v>
      </c>
      <c r="J487" s="4">
        <f ca="1"/>
        <v>3.1938677738740928E-4</v>
      </c>
      <c r="K487" s="4">
        <f ca="1"/>
        <v>2.4370617312334808E-2</v>
      </c>
      <c r="L487" s="4">
        <f ca="1"/>
        <v>-7.4633549273068756E-3</v>
      </c>
      <c r="M487" s="4">
        <f ca="1"/>
        <v>-2.0876826722338038E-3</v>
      </c>
      <c r="N487" s="4">
        <f ca="1"/>
        <v>-8.5993661590787474E-3</v>
      </c>
      <c r="O487" s="4">
        <f ca="1"/>
        <v>1.199026876737741E-2</v>
      </c>
      <c r="P487" s="4">
        <f ca="1"/>
        <v>2.1463106050336744E-3</v>
      </c>
    </row>
    <row r="488" spans="1:16" x14ac:dyDescent="0.25">
      <c r="A488" vm="6839">
        <f ca="1"/>
        <v>45635</v>
      </c>
      <c r="B488" s="4">
        <f ca="1"/>
        <v>-1.4594346127327018E-2</v>
      </c>
      <c r="C488" s="4">
        <f ca="1"/>
        <v>-2.0613167882548078E-2</v>
      </c>
      <c r="D488" s="4">
        <f ca="1"/>
        <v>1.1194626579242861E-3</v>
      </c>
      <c r="E488" s="4">
        <f ca="1"/>
        <v>-1.2043170132937098E-3</v>
      </c>
      <c r="F488" s="4">
        <f ca="1"/>
        <v>-1.7431826026924391E-2</v>
      </c>
      <c r="G488" s="4">
        <f ca="1"/>
        <v>2.9535864978903037E-2</v>
      </c>
      <c r="H488" s="4">
        <f ca="1"/>
        <v>-1.8963648901586194E-2</v>
      </c>
      <c r="I488" s="4">
        <f ca="1"/>
        <v>-1.39332365747461E-2</v>
      </c>
      <c r="J488" s="4">
        <f ca="1"/>
        <v>-1.9476372924648766E-2</v>
      </c>
      <c r="K488" s="4">
        <f ca="1"/>
        <v>-1.6352181092389673E-2</v>
      </c>
      <c r="L488" s="4">
        <f ca="1"/>
        <v>-3.1551718952085972E-2</v>
      </c>
      <c r="M488" s="4">
        <f ca="1"/>
        <v>2.2217573221757325E-2</v>
      </c>
      <c r="N488" s="4">
        <f ca="1"/>
        <v>-5.8865953258093739E-3</v>
      </c>
      <c r="O488" s="4">
        <f ca="1"/>
        <v>3.7776887413427662E-3</v>
      </c>
      <c r="P488" s="4">
        <f ca="1"/>
        <v>5.5233672250152299E-3</v>
      </c>
    </row>
    <row r="489" spans="1:16" x14ac:dyDescent="0.25">
      <c r="A489" vm="6853">
        <f ca="1"/>
        <v>45636</v>
      </c>
      <c r="B489" s="4">
        <f ca="1"/>
        <v>-1.1763848396501575E-2</v>
      </c>
      <c r="C489" s="4">
        <f ca="1"/>
        <v>-1.3273309509444386E-2</v>
      </c>
      <c r="D489" s="4">
        <f ca="1"/>
        <v>4.9520766773161196E-3</v>
      </c>
      <c r="E489" s="4">
        <f ca="1"/>
        <v>-6.538978806288509E-3</v>
      </c>
      <c r="F489" s="4">
        <f ca="1"/>
        <v>8.7241641782305202E-3</v>
      </c>
      <c r="G489" s="4">
        <f ca="1"/>
        <v>-4.098360655737654E-3</v>
      </c>
      <c r="H489" s="4">
        <f ca="1"/>
        <v>-3.6300647687904752E-2</v>
      </c>
      <c r="I489" s="4">
        <f ca="1"/>
        <v>5.887547836326279E-3</v>
      </c>
      <c r="J489" s="4">
        <f ca="1"/>
        <v>1.4978834255942708E-2</v>
      </c>
      <c r="K489" s="4">
        <f ca="1"/>
        <v>9.37138386818126E-3</v>
      </c>
      <c r="L489" s="4">
        <f ca="1"/>
        <v>-6.4600285732033802E-3</v>
      </c>
      <c r="M489" s="4">
        <f ca="1"/>
        <v>-6.99930416274408E-3</v>
      </c>
      <c r="N489" s="4">
        <f ca="1"/>
        <v>5.7449853924433913E-3</v>
      </c>
      <c r="O489" s="4">
        <f ca="1"/>
        <v>5.5881849803272932E-2</v>
      </c>
      <c r="P489" s="4">
        <f ca="1"/>
        <v>-6.031119680731778E-3</v>
      </c>
    </row>
    <row r="490" spans="1:16" x14ac:dyDescent="0.25">
      <c r="A490" vm="6863">
        <f ca="1"/>
        <v>45637</v>
      </c>
      <c r="B490" s="4">
        <f ca="1"/>
        <v>1.2479164515510455E-2</v>
      </c>
      <c r="C490" s="4">
        <f ca="1"/>
        <v>4.327171816941755E-3</v>
      </c>
      <c r="D490" s="4">
        <f ca="1"/>
        <v>-4.2918454935622075E-3</v>
      </c>
      <c r="E490" s="4">
        <f ca="1"/>
        <v>-2.1473251797217818E-2</v>
      </c>
      <c r="F490" s="4">
        <f ca="1"/>
        <v>-9.5774320872997754E-3</v>
      </c>
      <c r="G490" s="4">
        <f ca="1"/>
        <v>-9.4966761633428209E-3</v>
      </c>
      <c r="H490" s="4">
        <f ca="1"/>
        <v>1.3858497447118978E-2</v>
      </c>
      <c r="I490" s="4">
        <f ca="1"/>
        <v>-1.6388645010242953E-2</v>
      </c>
      <c r="J490" s="4">
        <f ca="1"/>
        <v>2.2457491177412248E-3</v>
      </c>
      <c r="K490" s="4">
        <f ca="1"/>
        <v>2.157204676096347E-2</v>
      </c>
      <c r="L490" s="4">
        <f ca="1"/>
        <v>4.48577680525164E-2</v>
      </c>
      <c r="M490" s="4">
        <f ca="1"/>
        <v>-1.1170651277823573E-2</v>
      </c>
      <c r="N490" s="4">
        <f ca="1"/>
        <v>-1.6961048075798457E-2</v>
      </c>
      <c r="O490" s="4">
        <f ca="1"/>
        <v>5.5246530215477874E-2</v>
      </c>
      <c r="P490" s="4">
        <f ca="1"/>
        <v>1.2767013285814199E-2</v>
      </c>
    </row>
    <row r="491" spans="1:16" x14ac:dyDescent="0.25">
      <c r="A491" vm="6878">
        <f ca="1"/>
        <v>45638</v>
      </c>
      <c r="B491" s="4">
        <f ca="1"/>
        <v>-5.5653491455294191E-3</v>
      </c>
      <c r="C491" s="4">
        <f ca="1"/>
        <v>-7.7272514400786863E-3</v>
      </c>
      <c r="D491" s="4">
        <f ca="1"/>
        <v>1.9157088122605304E-2</v>
      </c>
      <c r="E491" s="4">
        <f ca="1"/>
        <v>3.2391947333269666E-2</v>
      </c>
      <c r="F491" s="4">
        <f ca="1"/>
        <v>1.289339506534537E-3</v>
      </c>
      <c r="G491" s="4">
        <f ca="1"/>
        <v>8.3093640140621261E-3</v>
      </c>
      <c r="H491" s="4">
        <f ca="1"/>
        <v>-1.6135662898252745E-2</v>
      </c>
      <c r="I491" s="4">
        <f ca="1"/>
        <v>2.0827134781316037E-3</v>
      </c>
      <c r="J491" s="4">
        <f ca="1"/>
        <v>-1.8245838668373815E-2</v>
      </c>
      <c r="K491" s="4">
        <f ca="1"/>
        <v>-2.9872921540115005E-3</v>
      </c>
      <c r="L491" s="4">
        <f ca="1"/>
        <v>5.5347793567690484E-3</v>
      </c>
      <c r="M491" s="4">
        <f ca="1"/>
        <v>-1.8341739964150561E-3</v>
      </c>
      <c r="N491" s="4">
        <f ca="1"/>
        <v>-1.5191178803744321E-2</v>
      </c>
      <c r="O491" s="4">
        <f ca="1"/>
        <v>-1.7604912998976485E-2</v>
      </c>
      <c r="P491" s="4">
        <f ca="1"/>
        <v>1.2695160248556991E-3</v>
      </c>
    </row>
    <row r="492" spans="1:16" x14ac:dyDescent="0.25">
      <c r="A492" vm="6890">
        <f ca="1"/>
        <v>45639</v>
      </c>
      <c r="B492" s="4">
        <f ca="1"/>
        <v>-1.574930043805034E-2</v>
      </c>
      <c r="C492" s="4">
        <f ca="1"/>
        <v>-8.8021521616009624E-3</v>
      </c>
      <c r="D492" s="4">
        <f ca="1"/>
        <v>-1.1278195488721887E-2</v>
      </c>
      <c r="E492" s="4">
        <f ca="1"/>
        <v>-1.0119680236587936E-2</v>
      </c>
      <c r="F492" s="4">
        <f ca="1"/>
        <v>1.2291483757682631E-3</v>
      </c>
      <c r="G492" s="4">
        <f ca="1"/>
        <v>4.4374009508716394E-3</v>
      </c>
      <c r="H492" s="4">
        <f ca="1"/>
        <v>4.9775410007312226E-2</v>
      </c>
      <c r="I492" s="4">
        <f ca="1"/>
        <v>-1.3064133016627011E-2</v>
      </c>
      <c r="J492" s="4">
        <f ca="1"/>
        <v>-2.9996739484838608E-2</v>
      </c>
      <c r="K492" s="4">
        <f ca="1"/>
        <v>-1.6550674550959821E-2</v>
      </c>
      <c r="L492" s="4">
        <f ca="1"/>
        <v>4.4629574531389604E-3</v>
      </c>
      <c r="M492" s="4">
        <f ca="1"/>
        <v>8.7700981415750334E-4</v>
      </c>
      <c r="N492" s="4">
        <f ca="1"/>
        <v>-3.8865842361754943E-3</v>
      </c>
      <c r="O492" s="4">
        <f ca="1"/>
        <v>-1.114815586580542E-2</v>
      </c>
      <c r="P492" s="4">
        <f ca="1"/>
        <v>-5.0938695613489404E-3</v>
      </c>
    </row>
    <row r="493" spans="1:16" x14ac:dyDescent="0.25">
      <c r="A493" vm="6902">
        <f ca="1"/>
        <v>45642</v>
      </c>
      <c r="B493" s="4">
        <f ca="1"/>
        <v>2.8579083683129003E-3</v>
      </c>
      <c r="C493" s="4">
        <f ca="1"/>
        <v>-9.0231650120228268E-3</v>
      </c>
      <c r="D493" s="4">
        <f ca="1"/>
        <v>-9.0304182509505226E-3</v>
      </c>
      <c r="E493" s="4">
        <f ca="1"/>
        <v>-1.4891233311548846E-2</v>
      </c>
      <c r="F493" s="4">
        <f ca="1"/>
        <v>4.6767216181442528E-4</v>
      </c>
      <c r="G493" s="4">
        <f ca="1"/>
        <v>-2.2720100978226632E-2</v>
      </c>
      <c r="H493" s="4">
        <f ca="1"/>
        <v>6.1197074481316172E-3</v>
      </c>
      <c r="I493" s="4">
        <f ca="1"/>
        <v>-9.0252707581228719E-3</v>
      </c>
      <c r="J493" s="4">
        <f ca="1"/>
        <v>-8.0672268907562295E-3</v>
      </c>
      <c r="K493" s="4">
        <f ca="1"/>
        <v>6.2706536632546328E-3</v>
      </c>
      <c r="L493" s="4">
        <f ca="1"/>
        <v>1.4514218009478608E-2</v>
      </c>
      <c r="M493" s="4">
        <f ca="1"/>
        <v>-2.8123174497204362E-2</v>
      </c>
      <c r="N493" s="4">
        <f ca="1"/>
        <v>-6.064894369756435E-3</v>
      </c>
      <c r="O493" s="4">
        <f ca="1"/>
        <v>3.6034137604046057E-2</v>
      </c>
      <c r="P493" s="4">
        <f ca="1"/>
        <v>9.6585954792407502E-3</v>
      </c>
    </row>
    <row r="494" spans="1:16" x14ac:dyDescent="0.25">
      <c r="A494" vm="6915">
        <f ca="1"/>
        <v>45643</v>
      </c>
      <c r="B494" s="4">
        <f ca="1"/>
        <v>-1.1502953661649884E-2</v>
      </c>
      <c r="C494" s="4">
        <f ca="1"/>
        <v>-2.789256198347112E-2</v>
      </c>
      <c r="D494" s="4">
        <f ca="1"/>
        <v>1.358912869704243E-2</v>
      </c>
      <c r="E494" s="4">
        <f ca="1"/>
        <v>-7.2027673790456825E-3</v>
      </c>
      <c r="F494" s="4">
        <f ca="1"/>
        <v>-4.7329671613881574E-3</v>
      </c>
      <c r="G494" s="4">
        <f ca="1"/>
        <v>9.0410074265419027E-3</v>
      </c>
      <c r="H494" s="4">
        <f ca="1"/>
        <v>-7.7143704875878294E-3</v>
      </c>
      <c r="I494" s="4">
        <f ca="1"/>
        <v>-3.0358227079529954E-4</v>
      </c>
      <c r="J494" s="4">
        <f ca="1"/>
        <v>-4.8797017960013567E-2</v>
      </c>
      <c r="K494" s="4">
        <f ca="1"/>
        <v>-7.6893502499038036E-3</v>
      </c>
      <c r="L494" s="4">
        <f ca="1"/>
        <v>-1.7722627737226215E-2</v>
      </c>
      <c r="M494" s="4">
        <f ca="1"/>
        <v>7.2986433110089344E-4</v>
      </c>
      <c r="N494" s="4">
        <f ca="1"/>
        <v>-2.1153259432522553E-3</v>
      </c>
      <c r="O494" s="4">
        <f ca="1"/>
        <v>-6.3052984846944105E-3</v>
      </c>
      <c r="P494" s="4">
        <f ca="1"/>
        <v>6.3553223056311836E-3</v>
      </c>
    </row>
    <row r="495" spans="1:16" x14ac:dyDescent="0.25">
      <c r="A495" vm="6928">
        <f ca="1"/>
        <v>45644</v>
      </c>
      <c r="B495" s="4">
        <f ca="1"/>
        <v>-3.3318818600879929E-2</v>
      </c>
      <c r="C495" s="4">
        <f ca="1"/>
        <v>-5.0762424931418915E-2</v>
      </c>
      <c r="D495" s="4">
        <f ca="1"/>
        <v>-8.6750788643532584E-3</v>
      </c>
      <c r="E495" s="4">
        <f ca="1"/>
        <v>-1.1932604648942746E-2</v>
      </c>
      <c r="F495" s="4">
        <f ca="1"/>
        <v>-7.3386954734926402E-3</v>
      </c>
      <c r="G495" s="4">
        <f ca="1"/>
        <v>-3.0399999999999983E-2</v>
      </c>
      <c r="H495" s="4">
        <f ca="1"/>
        <v>-2.541612678162064E-2</v>
      </c>
      <c r="I495" s="4">
        <f ca="1"/>
        <v>-2.5812329183115712E-2</v>
      </c>
      <c r="J495" s="4">
        <f ca="1"/>
        <v>-4.8806555040969091E-2</v>
      </c>
      <c r="K495" s="4">
        <f ca="1"/>
        <v>-3.5919540229885083E-2</v>
      </c>
      <c r="L495" s="4">
        <f ca="1"/>
        <v>-4.6993431025770582E-2</v>
      </c>
      <c r="M495" s="4">
        <f ca="1"/>
        <v>-2.0507100261701439E-2</v>
      </c>
      <c r="N495" s="4">
        <f ca="1"/>
        <v>-1.5633598989013731E-2</v>
      </c>
      <c r="O495" s="4">
        <f ca="1"/>
        <v>-3.592262818544667E-2</v>
      </c>
      <c r="P495" s="4">
        <f ca="1"/>
        <v>-3.7561061479558178E-2</v>
      </c>
    </row>
    <row r="496" spans="1:16" x14ac:dyDescent="0.25">
      <c r="A496" vm="6939">
        <f ca="1"/>
        <v>45645</v>
      </c>
      <c r="B496" s="4">
        <f ca="1"/>
        <v>-7.0363466915190909E-3</v>
      </c>
      <c r="C496" s="4">
        <f ca="1"/>
        <v>-1.6168085604936322E-2</v>
      </c>
      <c r="D496" s="4">
        <f ca="1"/>
        <v>-6.364359586316648E-3</v>
      </c>
      <c r="E496" s="4">
        <f ca="1"/>
        <v>-1.2897927636346007E-2</v>
      </c>
      <c r="F496" s="4">
        <f ca="1"/>
        <v>6.5057960728642783E-4</v>
      </c>
      <c r="G496" s="4">
        <f ca="1"/>
        <v>-6.6006600660065695E-3</v>
      </c>
      <c r="H496" s="4">
        <f ca="1"/>
        <v>-4.7044385354879648E-3</v>
      </c>
      <c r="I496" s="4">
        <f ca="1"/>
        <v>-1.5586034912718261E-2</v>
      </c>
      <c r="J496" s="4">
        <f ca="1"/>
        <v>3.7453183520599342E-3</v>
      </c>
      <c r="K496" s="4">
        <f ca="1"/>
        <v>-2.7127044994055272E-3</v>
      </c>
      <c r="L496" s="4">
        <f ca="1"/>
        <v>6.1443453309213414E-3</v>
      </c>
      <c r="M496" s="4">
        <f ca="1"/>
        <v>-5.5188121413867197E-3</v>
      </c>
      <c r="N496" s="4">
        <f ca="1"/>
        <v>-6.7917339628110751E-3</v>
      </c>
      <c r="O496" s="4">
        <f ca="1"/>
        <v>5.8386411889599366E-4</v>
      </c>
      <c r="P496" s="4">
        <f ca="1"/>
        <v>-8.2306408468413306E-4</v>
      </c>
    </row>
    <row r="497" spans="1:16" x14ac:dyDescent="0.25">
      <c r="A497" vm="6954">
        <f ca="1"/>
        <v>45646</v>
      </c>
      <c r="B497" s="4">
        <f ca="1"/>
        <v>1.2404774195566848E-2</v>
      </c>
      <c r="C497" s="4">
        <f ca="1"/>
        <v>1.0320736741822323E-3</v>
      </c>
      <c r="D497" s="4">
        <f ca="1"/>
        <v>1.6012810248198228E-3</v>
      </c>
      <c r="E497" s="4">
        <f ca="1"/>
        <v>1.541548399725956E-2</v>
      </c>
      <c r="F497" s="4">
        <f ca="1"/>
        <v>-6.678881730598718E-3</v>
      </c>
      <c r="G497" s="4">
        <f ca="1"/>
        <v>1.395348837209287E-2</v>
      </c>
      <c r="H497" s="4">
        <f ca="1"/>
        <v>1.3203863542951222E-2</v>
      </c>
      <c r="I497" s="4">
        <f ca="1"/>
        <v>8.5497150094997476E-3</v>
      </c>
      <c r="J497" s="4">
        <f ca="1"/>
        <v>-2.8358208955223896E-2</v>
      </c>
      <c r="K497" s="4">
        <f ca="1"/>
        <v>-1.7327937941803762E-2</v>
      </c>
      <c r="L497" s="4">
        <f ca="1"/>
        <v>1.8041476797173051E-2</v>
      </c>
      <c r="M497" s="4">
        <f ca="1"/>
        <v>2.5545034133449551E-3</v>
      </c>
      <c r="N497" s="4">
        <f ca="1"/>
        <v>1.9513822290789129E-2</v>
      </c>
      <c r="O497" s="4">
        <f ca="1"/>
        <v>1.538379926794331E-2</v>
      </c>
      <c r="P497" s="4">
        <f ca="1"/>
        <v>-9.8391414777010411E-4</v>
      </c>
    </row>
    <row r="498" spans="1:16" x14ac:dyDescent="0.25">
      <c r="A498" vm="6967">
        <f ca="1"/>
        <v>45649</v>
      </c>
      <c r="B498" s="4">
        <f ca="1"/>
        <v>-2.3949320148332065E-3</v>
      </c>
      <c r="C498" s="4">
        <f ca="1"/>
        <v>-4.5734528247017847E-3</v>
      </c>
      <c r="D498" s="4">
        <f ca="1"/>
        <v>-2.7178257394083749E-3</v>
      </c>
      <c r="E498" s="4">
        <f ca="1"/>
        <v>2.4579497807122319E-3</v>
      </c>
      <c r="F498" s="4">
        <f ca="1"/>
        <v>2.9751279305023637E-4</v>
      </c>
      <c r="G498" s="4">
        <f ca="1"/>
        <v>-1.9659239842725329E-3</v>
      </c>
      <c r="H498" s="4">
        <f ca="1"/>
        <v>5.1467978297246697E-2</v>
      </c>
      <c r="I498" s="4">
        <f ca="1"/>
        <v>1.1616954474097163E-2</v>
      </c>
      <c r="J498" s="4">
        <f ca="1"/>
        <v>-3.4562211981566948E-3</v>
      </c>
      <c r="K498" s="4">
        <f ca="1"/>
        <v>2.4946604015378071E-2</v>
      </c>
      <c r="L498" s="4">
        <f ca="1"/>
        <v>-3.1363234980665844E-3</v>
      </c>
      <c r="M498" s="4">
        <f ca="1"/>
        <v>-5.5792294513025142E-3</v>
      </c>
      <c r="N498" s="4">
        <f ca="1"/>
        <v>-5.1736125311847569E-3</v>
      </c>
      <c r="O498" s="4">
        <f ca="1"/>
        <v>1.6822527558643774E-2</v>
      </c>
      <c r="P498" s="4">
        <f ca="1"/>
        <v>-3.0920751259735368E-3</v>
      </c>
    </row>
    <row r="499" spans="1:16" x14ac:dyDescent="0.25">
      <c r="A499" vm="6979">
        <f ca="1"/>
        <v>45650</v>
      </c>
      <c r="B499" s="4">
        <f ca="1"/>
        <v>1.071788120498729E-2</v>
      </c>
      <c r="C499" s="4">
        <f ca="1"/>
        <v>-2.3901843097684505E-4</v>
      </c>
      <c r="D499" s="4">
        <f ca="1"/>
        <v>7.3741583840973846E-3</v>
      </c>
      <c r="E499" s="4">
        <f ca="1"/>
        <v>3.269230769230802E-3</v>
      </c>
      <c r="F499" s="4">
        <f ca="1"/>
        <v>4.9372434715364566E-3</v>
      </c>
      <c r="G499" s="4">
        <f ca="1"/>
        <v>5.909389363099038E-3</v>
      </c>
      <c r="H499" s="4">
        <f ca="1"/>
        <v>-4.9672067901234129E-3</v>
      </c>
      <c r="I499" s="4">
        <f ca="1"/>
        <v>1.086281812538803E-2</v>
      </c>
      <c r="J499" s="4">
        <f ca="1"/>
        <v>1.1946050096339311E-2</v>
      </c>
      <c r="K499" s="4">
        <f ca="1"/>
        <v>1.3169959156455802E-2</v>
      </c>
      <c r="L499" s="4">
        <f ca="1"/>
        <v>1.0477121387989508E-2</v>
      </c>
      <c r="M499" s="4">
        <f ca="1"/>
        <v>-4.2410319844495836E-3</v>
      </c>
      <c r="N499" s="4">
        <f ca="1"/>
        <v>3.3710867643732545E-3</v>
      </c>
      <c r="O499" s="4">
        <f ca="1"/>
        <v>7.6041720187023376E-3</v>
      </c>
      <c r="P499" s="4">
        <f ca="1"/>
        <v>9.3739230327398726E-3</v>
      </c>
    </row>
    <row r="500" spans="1:16" x14ac:dyDescent="0.25">
      <c r="A500" vm="6991">
        <f ca="1"/>
        <v>45652</v>
      </c>
      <c r="B500" s="4">
        <f ca="1"/>
        <v>-1.7622630522396987E-3</v>
      </c>
      <c r="C500" s="4">
        <f ca="1"/>
        <v>4.6752556780449428E-3</v>
      </c>
      <c r="D500" s="4">
        <f ca="1"/>
        <v>-4.2966263526417192E-3</v>
      </c>
      <c r="E500" s="4">
        <f ca="1"/>
        <v>1.9168104274491782E-4</v>
      </c>
      <c r="F500" s="4">
        <f ca="1"/>
        <v>7.2214987569552136E-3</v>
      </c>
      <c r="G500" s="4">
        <f ca="1"/>
        <v>-2.937336814621383E-3</v>
      </c>
      <c r="H500" s="4">
        <f ca="1"/>
        <v>-1.5848398197062963E-2</v>
      </c>
      <c r="I500" s="4">
        <f ca="1"/>
        <v>-1.535155050660042E-3</v>
      </c>
      <c r="J500" s="4">
        <f ca="1"/>
        <v>-3.8080731150038627E-3</v>
      </c>
      <c r="K500" s="4">
        <f ca="1"/>
        <v>-7.2398190045248612E-3</v>
      </c>
      <c r="L500" s="4">
        <f ca="1"/>
        <v>-5.7434781294396497E-4</v>
      </c>
      <c r="M500" s="4">
        <f ca="1"/>
        <v>-5.0133096716947767E-3</v>
      </c>
      <c r="N500" s="4">
        <f ca="1"/>
        <v>3.7899739823408218E-3</v>
      </c>
      <c r="O500" s="4">
        <f ca="1"/>
        <v>-2.6005813064097216E-3</v>
      </c>
      <c r="P500" s="4">
        <f ca="1"/>
        <v>-2.7769558190881005E-3</v>
      </c>
    </row>
    <row r="501" spans="1:16" x14ac:dyDescent="0.25">
      <c r="A501" vm="7002">
        <f ca="1"/>
        <v>45653</v>
      </c>
      <c r="B501" s="4">
        <f ca="1"/>
        <v>-1.1682171256639395E-2</v>
      </c>
      <c r="C501" s="4">
        <f ca="1"/>
        <v>-1.6445889849554418E-2</v>
      </c>
      <c r="D501" s="4">
        <f ca="1"/>
        <v>-1.917852005753562E-3</v>
      </c>
      <c r="E501" s="4">
        <f ca="1"/>
        <v>-3.5454197010349464E-3</v>
      </c>
      <c r="F501" s="4">
        <f ca="1"/>
        <v>-3.7023977433003896E-3</v>
      </c>
      <c r="G501" s="4">
        <f ca="1"/>
        <v>4.2553191489360653E-3</v>
      </c>
      <c r="H501" s="4">
        <f ca="1"/>
        <v>-7.0422535211267512E-3</v>
      </c>
      <c r="I501" s="4">
        <f ca="1"/>
        <v>-1.8450184501845879E-3</v>
      </c>
      <c r="J501" s="4">
        <f ca="1"/>
        <v>-1.2996941896024405E-2</v>
      </c>
      <c r="K501" s="4">
        <f ca="1"/>
        <v>-5.8672412364300097E-3</v>
      </c>
      <c r="L501" s="4">
        <f ca="1"/>
        <v>-2.2624160667836235E-2</v>
      </c>
      <c r="M501" s="4">
        <f ca="1"/>
        <v>-6.9559013688856863E-3</v>
      </c>
      <c r="N501" s="4">
        <f ca="1"/>
        <v>-2.0613086248417734E-3</v>
      </c>
      <c r="O501" s="4">
        <f ca="1"/>
        <v>-1.451942740286305E-2</v>
      </c>
      <c r="P501" s="4">
        <f ca="1"/>
        <v>-1.7301590924653665E-2</v>
      </c>
    </row>
    <row r="502" spans="1:16" x14ac:dyDescent="0.25">
      <c r="A502" vm="7014">
        <f ca="1"/>
        <v>45656</v>
      </c>
      <c r="B502" s="4">
        <f ca="1"/>
        <v>-1.0857240490206532E-2</v>
      </c>
      <c r="C502" s="4">
        <f ca="1"/>
        <v>-8.924971101373691E-3</v>
      </c>
      <c r="D502" s="4">
        <f ca="1"/>
        <v>-6.7253803042434113E-3</v>
      </c>
      <c r="E502" s="4">
        <f ca="1"/>
        <v>-1.3943648427733324E-2</v>
      </c>
      <c r="F502" s="4">
        <f ca="1"/>
        <v>-1.4392732849643153E-2</v>
      </c>
      <c r="G502" s="4">
        <f ca="1"/>
        <v>-1.0430247718383301E-2</v>
      </c>
      <c r="H502" s="4">
        <f ca="1"/>
        <v>-6.1498784903040171E-3</v>
      </c>
      <c r="I502" s="4">
        <f ca="1"/>
        <v>-9.550215650030891E-3</v>
      </c>
      <c r="J502" s="4">
        <f ca="1"/>
        <v>1.4329976762199825E-2</v>
      </c>
      <c r="K502" s="4">
        <f ca="1"/>
        <v>-1.4287857821643435E-2</v>
      </c>
      <c r="L502" s="4">
        <f ca="1"/>
        <v>-1.2873677044005549E-2</v>
      </c>
      <c r="M502" s="4">
        <f ca="1"/>
        <v>-1.3694939607561407E-2</v>
      </c>
      <c r="N502" s="4">
        <f ca="1"/>
        <v>-1.1452645356565871E-2</v>
      </c>
      <c r="O502" s="4">
        <f ca="1"/>
        <v>-7.885453413571164E-3</v>
      </c>
      <c r="P502" s="4">
        <f ca="1"/>
        <v>-1.3239495505539711E-2</v>
      </c>
    </row>
    <row r="503" spans="1:16" x14ac:dyDescent="0.25">
      <c r="A503" vm="7027">
        <f ca="1"/>
        <v>45657</v>
      </c>
      <c r="B503" s="4">
        <f ca="1"/>
        <v>-1.2405389277976298E-3</v>
      </c>
      <c r="C503" s="4">
        <f ca="1"/>
        <v>4.611169880921473E-4</v>
      </c>
      <c r="D503" s="4">
        <f ca="1"/>
        <v>3.7078832822827756E-3</v>
      </c>
      <c r="E503" s="4">
        <f ca="1"/>
        <v>2.340550029256816E-3</v>
      </c>
      <c r="F503" s="4">
        <f ca="1"/>
        <v>3.3514872224549297E-3</v>
      </c>
      <c r="G503" s="4">
        <f ca="1"/>
        <v>1.1528326745718021E-2</v>
      </c>
      <c r="H503" s="4">
        <f ca="1"/>
        <v>-1.4471780028943448E-2</v>
      </c>
      <c r="I503" s="4">
        <f ca="1"/>
        <v>3.7325038880249295E-3</v>
      </c>
      <c r="J503" s="4">
        <f ca="1"/>
        <v>3.0546009927452378E-3</v>
      </c>
      <c r="K503" s="4">
        <f ca="1"/>
        <v>-9.6914958392531059E-3</v>
      </c>
      <c r="L503" s="4">
        <f ca="1"/>
        <v>-9.1855288732836105E-3</v>
      </c>
      <c r="M503" s="4">
        <f ca="1"/>
        <v>6.1003368842758032E-3</v>
      </c>
      <c r="N503" s="4">
        <f ca="1"/>
        <v>5.3168380329768894E-3</v>
      </c>
      <c r="O503" s="4">
        <f ca="1"/>
        <v>-1.0144321271700507E-2</v>
      </c>
      <c r="P503" s="4">
        <f ca="1"/>
        <v>-7.8384294894427997E-3</v>
      </c>
    </row>
    <row r="504" spans="1:16" x14ac:dyDescent="0.25">
      <c r="B504" s="4"/>
      <c r="C504" s="4"/>
      <c r="D504" s="4"/>
      <c r="E504" s="4"/>
      <c r="F504" s="4"/>
      <c r="G504" s="4"/>
      <c r="H504" s="4"/>
      <c r="I504" s="4"/>
      <c r="J504" s="4"/>
      <c r="K504" s="4"/>
      <c r="L504" s="4"/>
      <c r="M504" s="4"/>
      <c r="N504" s="4"/>
      <c r="O504" s="4"/>
      <c r="P504"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A3E13-95FD-40DC-AA28-B536C3E413C6}">
  <dimension ref="A5:P507"/>
  <sheetViews>
    <sheetView topLeftCell="A5" workbookViewId="0">
      <selection activeCell="B6" sqref="B6"/>
    </sheetView>
  </sheetViews>
  <sheetFormatPr defaultRowHeight="15" x14ac:dyDescent="0.25"/>
  <cols>
    <col min="1" max="1" width="9.85546875" bestFit="1" customWidth="1"/>
    <col min="2" max="2" width="12.42578125" bestFit="1" customWidth="1"/>
  </cols>
  <sheetData>
    <row r="5" spans="1:16" x14ac:dyDescent="0.25">
      <c r="A5" cm="1" vm="32">
        <f t="array" aca="1" ref="A5:A506" ca="1">_xlfn.TAKE(_xlfn.ANCHORARRAY(the.dates),,1)</f>
        <v>44929</v>
      </c>
      <c r="B5" s="2" t="str" cm="1">
        <f t="array" aca="1" ref="B5:P5" ca="1">TRANSPOSE(stock.tickers)</f>
        <v>PH</v>
      </c>
      <c r="C5" s="2" t="str">
        <f ca="1"/>
        <v>CSL</v>
      </c>
      <c r="D5" s="2" t="str">
        <f ca="1"/>
        <v>KO</v>
      </c>
      <c r="E5" s="2" t="str">
        <f ca="1"/>
        <v>STE</v>
      </c>
      <c r="F5" s="2" t="str">
        <f ca="1"/>
        <v>PG</v>
      </c>
      <c r="G5" s="2" t="str">
        <f ca="1"/>
        <v>KHC</v>
      </c>
      <c r="H5" s="2" t="str">
        <f ca="1"/>
        <v>TSM</v>
      </c>
      <c r="I5" s="2" t="str">
        <f ca="1"/>
        <v>CSX</v>
      </c>
      <c r="J5" s="2" t="str">
        <f ca="1"/>
        <v>PKOH</v>
      </c>
      <c r="K5" s="2" t="str">
        <f ca="1"/>
        <v>META</v>
      </c>
      <c r="L5" s="2" t="str">
        <f ca="1"/>
        <v>PWR</v>
      </c>
      <c r="M5" s="2" t="str">
        <f ca="1"/>
        <v>STZ</v>
      </c>
      <c r="N5" s="2" t="str">
        <f ca="1"/>
        <v>LMT</v>
      </c>
      <c r="O5" s="2" t="str">
        <f ca="1"/>
        <v>GOOGL</v>
      </c>
      <c r="P5" s="2" t="str">
        <f ca="1"/>
        <v>MSFT</v>
      </c>
    </row>
    <row r="6" spans="1:16" x14ac:dyDescent="0.25">
      <c r="A6" vm="48">
        <f ca="1"/>
        <v>44930</v>
      </c>
      <c r="B6">
        <v>100</v>
      </c>
      <c r="C6">
        <v>100</v>
      </c>
      <c r="D6">
        <v>100</v>
      </c>
      <c r="E6">
        <v>100</v>
      </c>
      <c r="F6">
        <v>100</v>
      </c>
      <c r="G6">
        <v>100</v>
      </c>
      <c r="H6">
        <v>100</v>
      </c>
      <c r="I6">
        <v>100</v>
      </c>
      <c r="J6">
        <v>100</v>
      </c>
      <c r="K6">
        <v>100</v>
      </c>
      <c r="L6">
        <v>100</v>
      </c>
      <c r="M6">
        <v>100</v>
      </c>
      <c r="N6">
        <v>100</v>
      </c>
      <c r="O6">
        <v>100</v>
      </c>
      <c r="P6">
        <v>100</v>
      </c>
    </row>
    <row r="7" spans="1:16" x14ac:dyDescent="0.25">
      <c r="A7" vm="63">
        <f ca="1"/>
        <v>44931</v>
      </c>
      <c r="B7" s="3" cm="1">
        <f t="array" aca="1" ref="B7:B507" ca="1">_xlfn.SCAN(B6,_xlfn.ANCHORARRAY(Deltas!B3),_xlfn.LAMBDA(_xlpm.index,_xlpm.delta,_xlpm.index*(1+_xlpm.delta)))</f>
        <v>101.75829448862079</v>
      </c>
      <c r="C7" s="3" cm="1">
        <f t="array" aca="1" ref="C7:C507" ca="1">_xlfn.SCAN(C6,_xlfn.ANCHORARRAY(Deltas!C3),_xlfn.LAMBDA(_xlpm.index,_xlpm.delta,_xlpm.index*(1+_xlpm.delta)))</f>
        <v>101.68594476930302</v>
      </c>
      <c r="D7" s="3" cm="1">
        <f t="array" aca="1" ref="D7:D507" ca="1">_xlfn.SCAN(D6,_xlfn.ANCHORARRAY(Deltas!D3),_xlfn.LAMBDA(_xlpm.index,_xlpm.delta,_xlpm.index*(1+_xlpm.delta)))</f>
        <v>99.95234312946782</v>
      </c>
      <c r="E7" s="3" cm="1">
        <f t="array" aca="1" ref="E7:E507" ca="1">_xlfn.SCAN(E6,_xlfn.ANCHORARRAY(Deltas!E3),_xlfn.LAMBDA(_xlpm.index,_xlpm.delta,_xlpm.index*(1+_xlpm.delta)))</f>
        <v>103.09300571182239</v>
      </c>
      <c r="F7" s="3" cm="1">
        <f t="array" aca="1" ref="F7:F507" ca="1">_xlfn.SCAN(F6,_xlfn.ANCHORARRAY(Deltas!F3),_xlfn.LAMBDA(_xlpm.index,_xlpm.delta,_xlpm.index*(1+_xlpm.delta)))</f>
        <v>100.4354423698621</v>
      </c>
      <c r="G7" s="3" cm="1">
        <f t="array" aca="1" ref="G7:G507" ca="1">_xlfn.SCAN(G6,_xlfn.ANCHORARRAY(Deltas!G3),_xlfn.LAMBDA(_xlpm.index,_xlpm.delta,_xlpm.index*(1+_xlpm.delta)))</f>
        <v>101.1280039234919</v>
      </c>
      <c r="H7" s="3" cm="1">
        <f t="array" aca="1" ref="H7:H507" ca="1">_xlfn.SCAN(H6,_xlfn.ANCHORARRAY(Deltas!H3),_xlfn.LAMBDA(_xlpm.index,_xlpm.delta,_xlpm.index*(1+_xlpm.delta)))</f>
        <v>103.09334053761987</v>
      </c>
      <c r="I7" s="3" cm="1">
        <f t="array" aca="1" ref="I7:I507" ca="1">_xlfn.SCAN(I6,_xlfn.ANCHORARRAY(Deltas!I3),_xlfn.LAMBDA(_xlpm.index,_xlpm.delta,_xlpm.index*(1+_xlpm.delta)))</f>
        <v>101.29533678756476</v>
      </c>
      <c r="J7" s="3" cm="1">
        <f t="array" aca="1" ref="J7:J507" ca="1">_xlfn.SCAN(J6,_xlfn.ANCHORARRAY(Deltas!J3),_xlfn.LAMBDA(_xlpm.index,_xlpm.delta,_xlpm.index*(1+_xlpm.delta)))</f>
        <v>94.556765163297058</v>
      </c>
      <c r="K7" s="3" cm="1">
        <f t="array" aca="1" ref="K7:K507" ca="1">_xlfn.SCAN(K6,_xlfn.ANCHORARRAY(Deltas!K3),_xlfn.LAMBDA(_xlpm.index,_xlpm.delta,_xlpm.index*(1+_xlpm.delta)))</f>
        <v>102.10838544171878</v>
      </c>
      <c r="L7" s="3" cm="1">
        <f t="array" aca="1" ref="L7:L507" ca="1">_xlfn.SCAN(L6,_xlfn.ANCHORARRAY(Deltas!L3),_xlfn.LAMBDA(_xlpm.index,_xlpm.delta,_xlpm.index*(1+_xlpm.delta)))</f>
        <v>98.534954839627332</v>
      </c>
      <c r="M7" s="3" cm="1">
        <f t="array" aca="1" ref="M7:M507" ca="1">_xlfn.SCAN(M6,_xlfn.ANCHORARRAY(Deltas!M3),_xlfn.LAMBDA(_xlpm.index,_xlpm.delta,_xlpm.index*(1+_xlpm.delta)))</f>
        <v>101.56414762741652</v>
      </c>
      <c r="N7" s="3" cm="1">
        <f t="array" aca="1" ref="N7:N507" ca="1">_xlfn.SCAN(N6,_xlfn.ANCHORARRAY(Deltas!N3),_xlfn.LAMBDA(_xlpm.index,_xlpm.delta,_xlpm.index*(1+_xlpm.delta)))</f>
        <v>99.78430674512596</v>
      </c>
      <c r="O7" s="3" cm="1">
        <f t="array" aca="1" ref="O7:O507" ca="1">_xlfn.SCAN(O6,_xlfn.ANCHORARRAY(Deltas!O3),_xlfn.LAMBDA(_xlpm.index,_xlpm.delta,_xlpm.index*(1+_xlpm.delta)))</f>
        <v>98.833034111310582</v>
      </c>
      <c r="P7" s="3" cm="1">
        <f t="array" aca="1" ref="P7:P507" ca="1">_xlfn.SCAN(P6,_xlfn.ANCHORARRAY(Deltas!P3),_xlfn.LAMBDA(_xlpm.index,_xlpm.delta,_xlpm.index*(1+_xlpm.delta)))</f>
        <v>95.625678270306352</v>
      </c>
    </row>
    <row r="8" spans="1:16" x14ac:dyDescent="0.25">
      <c r="A8" vm="79">
        <f ca="1"/>
        <v>44932</v>
      </c>
      <c r="B8" s="3">
        <f ca="1"/>
        <v>102.17301891966001</v>
      </c>
      <c r="C8" s="3">
        <f ca="1"/>
        <v>98.121985573434642</v>
      </c>
      <c r="D8" s="3">
        <f ca="1"/>
        <v>98.80857823669578</v>
      </c>
      <c r="E8" s="3">
        <f ca="1"/>
        <v>100.92143549951503</v>
      </c>
      <c r="F8" s="3">
        <f ca="1"/>
        <v>99.188493765256979</v>
      </c>
      <c r="G8" s="3">
        <f ca="1"/>
        <v>101.34870034330554</v>
      </c>
      <c r="H8" s="3">
        <f ca="1"/>
        <v>102.29636633797109</v>
      </c>
      <c r="I8" s="3">
        <f ca="1"/>
        <v>100.09715025906735</v>
      </c>
      <c r="J8" s="3">
        <f ca="1"/>
        <v>97.82270606531884</v>
      </c>
      <c r="K8" s="3">
        <f ca="1"/>
        <v>101.7636684303351</v>
      </c>
      <c r="L8" s="3">
        <f ca="1"/>
        <v>96.415617665884341</v>
      </c>
      <c r="M8" s="3">
        <f ca="1"/>
        <v>91.687170474516691</v>
      </c>
      <c r="N8" s="3">
        <f ca="1"/>
        <v>99.903670973551414</v>
      </c>
      <c r="O8" s="3">
        <f ca="1"/>
        <v>96.723518850987432</v>
      </c>
      <c r="P8" s="3">
        <f ca="1"/>
        <v>92.791551882460951</v>
      </c>
    </row>
    <row r="9" spans="1:16" x14ac:dyDescent="0.25">
      <c r="A9" vm="95">
        <f ca="1"/>
        <v>44935</v>
      </c>
      <c r="B9" s="3">
        <f ca="1"/>
        <v>105.75472991499863</v>
      </c>
      <c r="C9" s="3">
        <f ca="1"/>
        <v>100.99876221776432</v>
      </c>
      <c r="D9" s="3">
        <f ca="1"/>
        <v>100.71485305798252</v>
      </c>
      <c r="E9" s="3">
        <f ca="1"/>
        <v>103.32471171462441</v>
      </c>
      <c r="F9" s="3">
        <f ca="1"/>
        <v>101.55043874117568</v>
      </c>
      <c r="G9" s="3">
        <f ca="1"/>
        <v>104.43845022069642</v>
      </c>
      <c r="H9" s="3">
        <f ca="1"/>
        <v>105.45724706200188</v>
      </c>
      <c r="I9" s="3">
        <f ca="1"/>
        <v>104.27461139896373</v>
      </c>
      <c r="J9" s="3">
        <f ca="1"/>
        <v>95.645412130637666</v>
      </c>
      <c r="K9" s="3">
        <f ca="1"/>
        <v>104.23280423280424</v>
      </c>
      <c r="L9" s="3">
        <f ca="1"/>
        <v>98.940331413128504</v>
      </c>
      <c r="M9" s="3">
        <f ca="1"/>
        <v>94.12565905096659</v>
      </c>
      <c r="N9" s="3">
        <f ca="1"/>
        <v>99.101627122903295</v>
      </c>
      <c r="O9" s="3">
        <f ca="1"/>
        <v>98.002692998204679</v>
      </c>
      <c r="P9" s="3">
        <f ca="1"/>
        <v>93.885132314884373</v>
      </c>
    </row>
    <row r="10" spans="1:16" x14ac:dyDescent="0.25">
      <c r="A10" vm="111">
        <f ca="1"/>
        <v>44936</v>
      </c>
      <c r="B10" s="3">
        <f ca="1"/>
        <v>106.08719495475732</v>
      </c>
      <c r="C10" s="3">
        <f ca="1"/>
        <v>101.4298518929532</v>
      </c>
      <c r="D10" s="3">
        <f ca="1"/>
        <v>99.459888800635426</v>
      </c>
      <c r="E10" s="3">
        <f ca="1"/>
        <v>102.83974566224808</v>
      </c>
      <c r="F10" s="3">
        <f ca="1"/>
        <v>100.31008774823512</v>
      </c>
      <c r="G10" s="3">
        <f ca="1"/>
        <v>103.48209906817068</v>
      </c>
      <c r="H10" s="3">
        <f ca="1"/>
        <v>108.48304741321085</v>
      </c>
      <c r="I10" s="3">
        <f ca="1"/>
        <v>104.080310880829</v>
      </c>
      <c r="J10" s="3">
        <f ca="1"/>
        <v>101.01088646967344</v>
      </c>
      <c r="K10" s="3">
        <f ca="1"/>
        <v>103.79188712522046</v>
      </c>
      <c r="L10" s="3">
        <f ca="1"/>
        <v>98.598961667022238</v>
      </c>
      <c r="M10" s="3">
        <f ca="1"/>
        <v>94.688049209138839</v>
      </c>
      <c r="N10" s="3">
        <f ca="1"/>
        <v>96.117521412267308</v>
      </c>
      <c r="O10" s="3">
        <f ca="1"/>
        <v>98.765709156193907</v>
      </c>
      <c r="P10" s="3">
        <f ca="1"/>
        <v>94.79923198931462</v>
      </c>
    </row>
    <row r="11" spans="1:16" x14ac:dyDescent="0.25">
      <c r="A11" vm="127">
        <f ca="1"/>
        <v>44937</v>
      </c>
      <c r="B11" s="3">
        <f ca="1"/>
        <v>106.42308746915272</v>
      </c>
      <c r="C11" s="3">
        <f ca="1"/>
        <v>101.94630586025866</v>
      </c>
      <c r="D11" s="3">
        <f ca="1"/>
        <v>98.697378872120737</v>
      </c>
      <c r="E11" s="3">
        <f ca="1"/>
        <v>108.58928763875417</v>
      </c>
      <c r="F11" s="3">
        <f ca="1"/>
        <v>100.21112357326646</v>
      </c>
      <c r="G11" s="3">
        <f ca="1"/>
        <v>103.80088278567925</v>
      </c>
      <c r="H11" s="3">
        <f ca="1"/>
        <v>109.77981899230041</v>
      </c>
      <c r="I11" s="3">
        <f ca="1"/>
        <v>104.9222797927461</v>
      </c>
      <c r="J11" s="3">
        <f ca="1"/>
        <v>102.95489891135306</v>
      </c>
      <c r="K11" s="3">
        <f ca="1"/>
        <v>106.61375661375662</v>
      </c>
      <c r="L11" s="3">
        <f ca="1"/>
        <v>99.217694331839823</v>
      </c>
      <c r="M11" s="3">
        <f ca="1"/>
        <v>96.660808435852374</v>
      </c>
      <c r="N11" s="3">
        <f ca="1"/>
        <v>96.808577471572491</v>
      </c>
      <c r="O11" s="3">
        <f ca="1"/>
        <v>99.21454219030521</v>
      </c>
      <c r="P11" s="3">
        <f ca="1"/>
        <v>95.52132899240334</v>
      </c>
    </row>
    <row r="12" spans="1:16" x14ac:dyDescent="0.25">
      <c r="A12" vm="143">
        <f ca="1"/>
        <v>44938</v>
      </c>
      <c r="B12" s="3">
        <f ca="1"/>
        <v>106.7041403893611</v>
      </c>
      <c r="C12" s="3">
        <f ca="1"/>
        <v>105.10051645396733</v>
      </c>
      <c r="D12" s="3">
        <f ca="1"/>
        <v>98.506751389992061</v>
      </c>
      <c r="E12" s="3">
        <f ca="1"/>
        <v>108.14204116822933</v>
      </c>
      <c r="F12" s="3">
        <f ca="1"/>
        <v>99.399617338523456</v>
      </c>
      <c r="G12" s="3">
        <f ca="1"/>
        <v>104.36488474742522</v>
      </c>
      <c r="H12" s="3">
        <f ca="1"/>
        <v>110.46872889369175</v>
      </c>
      <c r="I12" s="3">
        <f ca="1"/>
        <v>105.08419689119171</v>
      </c>
      <c r="J12" s="3">
        <f ca="1"/>
        <v>98.75583203732505</v>
      </c>
      <c r="K12" s="3">
        <f ca="1"/>
        <v>106.53358986692319</v>
      </c>
      <c r="L12" s="3">
        <f ca="1"/>
        <v>100.05689495768438</v>
      </c>
      <c r="M12" s="3">
        <f ca="1"/>
        <v>97.8207381370826</v>
      </c>
      <c r="N12" s="3">
        <f ca="1"/>
        <v>96.957259229786629</v>
      </c>
      <c r="O12" s="3">
        <f ca="1"/>
        <v>102.69299820466787</v>
      </c>
      <c r="P12" s="3">
        <f ca="1"/>
        <v>98.409717004758292</v>
      </c>
    </row>
    <row r="13" spans="1:16" x14ac:dyDescent="0.25">
      <c r="A13" vm="159">
        <f ca="1"/>
        <v>44939</v>
      </c>
      <c r="B13" s="3">
        <f ca="1"/>
        <v>108.02714559912256</v>
      </c>
      <c r="C13" s="3">
        <f ca="1"/>
        <v>103.26091595885444</v>
      </c>
      <c r="D13" s="3">
        <f ca="1"/>
        <v>97.235901509134237</v>
      </c>
      <c r="E13" s="3">
        <f ca="1"/>
        <v>107.89416963034809</v>
      </c>
      <c r="F13" s="3">
        <f ca="1"/>
        <v>98.838820347034371</v>
      </c>
      <c r="G13" s="3">
        <f ca="1"/>
        <v>104.04610102991663</v>
      </c>
      <c r="H13" s="3">
        <f ca="1"/>
        <v>117.51992435499122</v>
      </c>
      <c r="I13" s="3">
        <f ca="1"/>
        <v>105.21373056994818</v>
      </c>
      <c r="J13" s="3">
        <f ca="1"/>
        <v>108.78693623639194</v>
      </c>
      <c r="K13" s="3">
        <f ca="1"/>
        <v>109.59595959595961</v>
      </c>
      <c r="L13" s="3">
        <f ca="1"/>
        <v>105.12054619159377</v>
      </c>
      <c r="M13" s="3">
        <f ca="1"/>
        <v>98.062390158172235</v>
      </c>
      <c r="N13" s="3">
        <f ca="1"/>
        <v>96.693401461688282</v>
      </c>
      <c r="O13" s="3">
        <f ca="1"/>
        <v>102.25538599640934</v>
      </c>
      <c r="P13" s="3">
        <f ca="1"/>
        <v>99.553385090575134</v>
      </c>
    </row>
    <row r="14" spans="1:16" x14ac:dyDescent="0.25">
      <c r="A14" vm="175">
        <f ca="1"/>
        <v>44943</v>
      </c>
      <c r="B14" s="3">
        <f ca="1"/>
        <v>108.81889224019743</v>
      </c>
      <c r="C14" s="3">
        <f ca="1"/>
        <v>102.19386230739684</v>
      </c>
      <c r="D14" s="3">
        <f ca="1"/>
        <v>97.58538522637015</v>
      </c>
      <c r="E14" s="3">
        <f ca="1"/>
        <v>108.86410173510076</v>
      </c>
      <c r="F14" s="3">
        <f ca="1"/>
        <v>99.544764795144161</v>
      </c>
      <c r="G14" s="3">
        <f ca="1"/>
        <v>104.0215792054929</v>
      </c>
      <c r="H14" s="3">
        <f ca="1"/>
        <v>117.24976360934755</v>
      </c>
      <c r="I14" s="3">
        <f ca="1"/>
        <v>104.98704663212435</v>
      </c>
      <c r="J14" s="3">
        <f ca="1"/>
        <v>110.0311041990669</v>
      </c>
      <c r="K14" s="3">
        <f ca="1"/>
        <v>109.81240981240981</v>
      </c>
      <c r="L14" s="3">
        <f ca="1"/>
        <v>105.61126520162151</v>
      </c>
      <c r="M14" s="3">
        <f ca="1"/>
        <v>98.857644991212652</v>
      </c>
      <c r="N14" s="3">
        <f ca="1"/>
        <v>94.199317320377787</v>
      </c>
      <c r="O14" s="3">
        <f ca="1"/>
        <v>103.36624775583483</v>
      </c>
      <c r="P14" s="3">
        <f ca="1"/>
        <v>99.853911010935761</v>
      </c>
    </row>
    <row r="15" spans="1:16" x14ac:dyDescent="0.25">
      <c r="A15" vm="190">
        <f ca="1"/>
        <v>44944</v>
      </c>
      <c r="B15" s="3">
        <f ca="1"/>
        <v>107.86605429119824</v>
      </c>
      <c r="C15" s="3">
        <f ca="1"/>
        <v>101.6560672670622</v>
      </c>
      <c r="D15" s="3">
        <f ca="1"/>
        <v>97.982525814138214</v>
      </c>
      <c r="E15" s="3">
        <f ca="1"/>
        <v>107.70557172109062</v>
      </c>
      <c r="F15" s="3">
        <f ca="1"/>
        <v>99.254469881902764</v>
      </c>
      <c r="G15" s="3">
        <f ca="1"/>
        <v>103.80088278567925</v>
      </c>
      <c r="H15" s="3">
        <f ca="1"/>
        <v>120.20802377414562</v>
      </c>
      <c r="I15" s="3">
        <f ca="1"/>
        <v>105.56994818652849</v>
      </c>
      <c r="J15" s="3">
        <f ca="1"/>
        <v>107.77604976671853</v>
      </c>
      <c r="K15" s="3">
        <f ca="1"/>
        <v>108.51370851370854</v>
      </c>
      <c r="L15" s="3">
        <f ca="1"/>
        <v>105.44769219827893</v>
      </c>
      <c r="M15" s="3">
        <f ca="1"/>
        <v>98.321616871704748</v>
      </c>
      <c r="N15" s="3">
        <f ca="1"/>
        <v>93.640190145121792</v>
      </c>
      <c r="O15" s="3">
        <f ca="1"/>
        <v>102.43491921005388</v>
      </c>
      <c r="P15" s="3">
        <f ca="1"/>
        <v>100.3213957759412</v>
      </c>
    </row>
    <row r="16" spans="1:16" x14ac:dyDescent="0.25">
      <c r="A16" vm="206">
        <f ca="1"/>
        <v>44945</v>
      </c>
      <c r="B16" s="3">
        <f ca="1"/>
        <v>105.50109679188374</v>
      </c>
      <c r="C16" s="3">
        <f ca="1"/>
        <v>101.16095437278588</v>
      </c>
      <c r="D16" s="3">
        <f ca="1"/>
        <v>95.011914217633048</v>
      </c>
      <c r="E16" s="3">
        <f ca="1"/>
        <v>105.15141717857526</v>
      </c>
      <c r="F16" s="3">
        <f ca="1"/>
        <v>96.595632381078062</v>
      </c>
      <c r="G16" s="3">
        <f ca="1"/>
        <v>97.253555664541437</v>
      </c>
      <c r="H16" s="3">
        <f ca="1"/>
        <v>120.85640956369039</v>
      </c>
      <c r="I16" s="3">
        <f ca="1"/>
        <v>104.37176165803106</v>
      </c>
      <c r="J16" s="3">
        <f ca="1"/>
        <v>105.75427682737171</v>
      </c>
      <c r="K16" s="3">
        <f ca="1"/>
        <v>106.63780663780666</v>
      </c>
      <c r="L16" s="3">
        <f ca="1"/>
        <v>102.62427992319182</v>
      </c>
      <c r="M16" s="3">
        <f ca="1"/>
        <v>96.485061511423552</v>
      </c>
      <c r="N16" s="3">
        <f ca="1"/>
        <v>92.40675978472558</v>
      </c>
      <c r="O16" s="3">
        <f ca="1"/>
        <v>102.24416517055657</v>
      </c>
      <c r="P16" s="3">
        <f ca="1"/>
        <v>98.426412889222775</v>
      </c>
    </row>
    <row r="17" spans="1:16" x14ac:dyDescent="0.25">
      <c r="A17" vm="222">
        <f ca="1"/>
        <v>44946</v>
      </c>
      <c r="B17" s="3">
        <f ca="1"/>
        <v>102.07362215519605</v>
      </c>
      <c r="C17" s="3">
        <f ca="1"/>
        <v>99.842076059584286</v>
      </c>
      <c r="D17" s="3">
        <f ca="1"/>
        <v>94.868943606036538</v>
      </c>
      <c r="E17" s="3">
        <f ca="1"/>
        <v>107.3229873908826</v>
      </c>
      <c r="F17" s="3">
        <f ca="1"/>
        <v>93.963185326911656</v>
      </c>
      <c r="G17" s="3">
        <f ca="1"/>
        <v>98.185384992643463</v>
      </c>
      <c r="H17" s="3">
        <f ca="1"/>
        <v>119.41104957449683</v>
      </c>
      <c r="I17" s="3">
        <f ca="1"/>
        <v>102.16968911917097</v>
      </c>
      <c r="J17" s="3">
        <f ca="1"/>
        <v>100.85536547433905</v>
      </c>
      <c r="K17" s="3">
        <f ca="1"/>
        <v>109.14702581369249</v>
      </c>
      <c r="L17" s="3">
        <f ca="1"/>
        <v>102.04821847663752</v>
      </c>
      <c r="M17" s="3">
        <f ca="1"/>
        <v>95.162565905096656</v>
      </c>
      <c r="N17" s="3">
        <f ca="1"/>
        <v>91.996314367683723</v>
      </c>
      <c r="O17" s="3">
        <f ca="1"/>
        <v>104.40978456014365</v>
      </c>
      <c r="P17" s="3">
        <f ca="1"/>
        <v>96.806912096168261</v>
      </c>
    </row>
    <row r="18" spans="1:16" x14ac:dyDescent="0.25">
      <c r="A18" vm="238">
        <f ca="1"/>
        <v>44949</v>
      </c>
      <c r="B18" s="3">
        <f ca="1"/>
        <v>104.64765560734851</v>
      </c>
      <c r="C18" s="3">
        <f ca="1"/>
        <v>100.6871825515387</v>
      </c>
      <c r="D18" s="3">
        <f ca="1"/>
        <v>95.440826052422551</v>
      </c>
      <c r="E18" s="3">
        <f ca="1"/>
        <v>110.52376333656642</v>
      </c>
      <c r="F18" s="3">
        <f ca="1"/>
        <v>94.326053968463413</v>
      </c>
      <c r="G18" s="3">
        <f ca="1"/>
        <v>97.793035801863681</v>
      </c>
      <c r="H18" s="3">
        <f ca="1"/>
        <v>122.96366337971092</v>
      </c>
      <c r="I18" s="3">
        <f ca="1"/>
        <v>103.65932642487044</v>
      </c>
      <c r="J18" s="3">
        <f ca="1"/>
        <v>98.289269051321938</v>
      </c>
      <c r="K18" s="3">
        <f ca="1"/>
        <v>111.72839506172841</v>
      </c>
      <c r="L18" s="3">
        <f ca="1"/>
        <v>104.00398264703792</v>
      </c>
      <c r="M18" s="3">
        <f ca="1"/>
        <v>97.047451669595773</v>
      </c>
      <c r="N18" s="3">
        <f ca="1"/>
        <v>92.827675748120541</v>
      </c>
      <c r="O18" s="3">
        <f ca="1"/>
        <v>109.98653500897669</v>
      </c>
      <c r="P18" s="3">
        <f ca="1"/>
        <v>100.26713415143163</v>
      </c>
    </row>
    <row r="19" spans="1:16" x14ac:dyDescent="0.25">
      <c r="A19" vm="254">
        <f ca="1"/>
        <v>44950</v>
      </c>
      <c r="B19" s="3">
        <f ca="1"/>
        <v>106.83781190019192</v>
      </c>
      <c r="C19" s="3">
        <f ca="1"/>
        <v>102.56092876349823</v>
      </c>
      <c r="D19" s="3">
        <f ca="1"/>
        <v>95.679110405083392</v>
      </c>
      <c r="E19" s="3">
        <f ca="1"/>
        <v>111.46136437116066</v>
      </c>
      <c r="F19" s="3">
        <f ca="1"/>
        <v>93.059312528864552</v>
      </c>
      <c r="G19" s="3">
        <f ca="1"/>
        <v>98.724865129965693</v>
      </c>
      <c r="H19" s="3">
        <f ca="1"/>
        <v>129.21788464136159</v>
      </c>
      <c r="I19" s="3">
        <f ca="1"/>
        <v>103.78886010362693</v>
      </c>
      <c r="J19" s="3">
        <f ca="1"/>
        <v>99.222395023328147</v>
      </c>
      <c r="K19" s="3">
        <f ca="1"/>
        <v>114.85489818823154</v>
      </c>
      <c r="L19" s="3">
        <f ca="1"/>
        <v>106.35801152122893</v>
      </c>
      <c r="M19" s="3">
        <f ca="1"/>
        <v>98.418277680140591</v>
      </c>
      <c r="N19" s="3">
        <f ca="1"/>
        <v>92.408853893996195</v>
      </c>
      <c r="O19" s="3">
        <f ca="1"/>
        <v>111.97262118491925</v>
      </c>
      <c r="P19" s="3">
        <f ca="1"/>
        <v>101.25219133483594</v>
      </c>
    </row>
    <row r="20" spans="1:16" x14ac:dyDescent="0.25">
      <c r="A20" vm="270">
        <f ca="1"/>
        <v>44951</v>
      </c>
      <c r="B20" s="3">
        <f ca="1"/>
        <v>107.17370441458732</v>
      </c>
      <c r="C20" s="3">
        <f ca="1"/>
        <v>102.57373340731573</v>
      </c>
      <c r="D20" s="3">
        <f ca="1"/>
        <v>96.187450357426528</v>
      </c>
      <c r="E20" s="3">
        <f ca="1"/>
        <v>110.36749649746737</v>
      </c>
      <c r="F20" s="3">
        <f ca="1"/>
        <v>93.567328627037</v>
      </c>
      <c r="G20" s="3">
        <f ca="1"/>
        <v>97.645904855321263</v>
      </c>
      <c r="H20" s="3">
        <f ca="1"/>
        <v>127.73200054032148</v>
      </c>
      <c r="I20" s="3">
        <f ca="1"/>
        <v>103.17357512953367</v>
      </c>
      <c r="J20" s="3">
        <f ca="1"/>
        <v>100.31104199066876</v>
      </c>
      <c r="K20" s="3">
        <f ca="1"/>
        <v>114.75068141734809</v>
      </c>
      <c r="L20" s="3">
        <f ca="1"/>
        <v>107.75193798449611</v>
      </c>
      <c r="M20" s="3">
        <f ca="1"/>
        <v>99.956063268892791</v>
      </c>
      <c r="N20" s="3">
        <f ca="1"/>
        <v>94.073670764140488</v>
      </c>
      <c r="O20" s="3">
        <f ca="1"/>
        <v>109.62746858168765</v>
      </c>
      <c r="P20" s="3">
        <f ca="1"/>
        <v>101.02679689456546</v>
      </c>
    </row>
    <row r="21" spans="1:16" x14ac:dyDescent="0.25">
      <c r="A21" vm="286">
        <f ca="1"/>
        <v>44952</v>
      </c>
      <c r="B21" s="3">
        <f ca="1"/>
        <v>106.32026323005209</v>
      </c>
      <c r="C21" s="3">
        <f ca="1"/>
        <v>102.7529984207606</v>
      </c>
      <c r="D21" s="3">
        <f ca="1"/>
        <v>96.791104050833994</v>
      </c>
      <c r="E21" s="3">
        <f ca="1"/>
        <v>110.46448970794263</v>
      </c>
      <c r="F21" s="3">
        <f ca="1"/>
        <v>93.501352510391229</v>
      </c>
      <c r="G21" s="3">
        <f ca="1"/>
        <v>97.964688572829843</v>
      </c>
      <c r="H21" s="3">
        <f ca="1"/>
        <v>124.82777252465215</v>
      </c>
      <c r="I21" s="3">
        <f ca="1"/>
        <v>100.55051813471503</v>
      </c>
      <c r="J21" s="3">
        <f ca="1"/>
        <v>97.978227060653197</v>
      </c>
      <c r="K21" s="3">
        <f ca="1"/>
        <v>113.43594676928012</v>
      </c>
      <c r="L21" s="3">
        <f ca="1"/>
        <v>105.88862812033281</v>
      </c>
      <c r="M21" s="3">
        <f ca="1"/>
        <v>100.58435852372583</v>
      </c>
      <c r="N21" s="3">
        <f ca="1"/>
        <v>95.106066634556996</v>
      </c>
      <c r="O21" s="3">
        <f ca="1"/>
        <v>106.84470377019751</v>
      </c>
      <c r="P21" s="3">
        <f ca="1"/>
        <v>100.42991902496033</v>
      </c>
    </row>
    <row r="22" spans="1:16" x14ac:dyDescent="0.25">
      <c r="A22" vm="301">
        <f ca="1"/>
        <v>44953</v>
      </c>
      <c r="B22" s="3">
        <f ca="1"/>
        <v>107.76323005209763</v>
      </c>
      <c r="C22" s="3">
        <f ca="1"/>
        <v>103.78590635537155</v>
      </c>
      <c r="D22" s="3">
        <f ca="1"/>
        <v>96.600476568705318</v>
      </c>
      <c r="E22" s="3">
        <f ca="1"/>
        <v>110.42138161439806</v>
      </c>
      <c r="F22" s="3">
        <f ca="1"/>
        <v>93.125288645510324</v>
      </c>
      <c r="G22" s="3">
        <f ca="1"/>
        <v>97.253555664541452</v>
      </c>
      <c r="H22" s="3">
        <f ca="1"/>
        <v>126.23260840199917</v>
      </c>
      <c r="I22" s="3">
        <f ca="1"/>
        <v>97.636010362694307</v>
      </c>
      <c r="J22" s="3">
        <f ca="1"/>
        <v>98.833592534992249</v>
      </c>
      <c r="K22" s="3">
        <f ca="1"/>
        <v>118.08561808561812</v>
      </c>
      <c r="L22" s="3">
        <f ca="1"/>
        <v>106.72071687646681</v>
      </c>
      <c r="M22" s="3">
        <f ca="1"/>
        <v>100.39543057996484</v>
      </c>
      <c r="N22" s="3">
        <f ca="1"/>
        <v>96.289238372458271</v>
      </c>
      <c r="O22" s="3">
        <f ca="1"/>
        <v>109.42549371633754</v>
      </c>
      <c r="P22" s="3">
        <f ca="1"/>
        <v>103.51448367977289</v>
      </c>
    </row>
    <row r="23" spans="1:16" x14ac:dyDescent="0.25">
      <c r="A23" vm="317">
        <f ca="1"/>
        <v>44956</v>
      </c>
      <c r="B23" s="3">
        <f ca="1"/>
        <v>109.61063888127229</v>
      </c>
      <c r="C23" s="3">
        <f ca="1"/>
        <v>106.05232831106748</v>
      </c>
      <c r="D23" s="3">
        <f ca="1"/>
        <v>96.092136616362183</v>
      </c>
      <c r="E23" s="3">
        <f ca="1"/>
        <v>111.05722599418037</v>
      </c>
      <c r="F23" s="3">
        <f ca="1"/>
        <v>92.74262716896483</v>
      </c>
      <c r="G23" s="3">
        <f ca="1"/>
        <v>97.327121137812668</v>
      </c>
      <c r="H23" s="3">
        <f ca="1"/>
        <v>126.02998784276642</v>
      </c>
      <c r="I23" s="3">
        <f ca="1"/>
        <v>97.409326424870471</v>
      </c>
      <c r="J23" s="3">
        <f ca="1"/>
        <v>104.97667185069986</v>
      </c>
      <c r="K23" s="3">
        <f ca="1"/>
        <v>121.64502164502169</v>
      </c>
      <c r="L23" s="3">
        <f ca="1"/>
        <v>106.67804565820353</v>
      </c>
      <c r="M23" s="3">
        <f ca="1"/>
        <v>100.52284710017572</v>
      </c>
      <c r="N23" s="3">
        <f ca="1"/>
        <v>96.245262077775223</v>
      </c>
      <c r="O23" s="3">
        <f ca="1"/>
        <v>111.50134649910237</v>
      </c>
      <c r="P23" s="3">
        <f ca="1"/>
        <v>103.58126721763082</v>
      </c>
    </row>
    <row r="24" spans="1:16" x14ac:dyDescent="0.25">
      <c r="A24" vm="333">
        <f ca="1"/>
        <v>44957</v>
      </c>
      <c r="B24" s="3">
        <f ca="1"/>
        <v>108.75377022210037</v>
      </c>
      <c r="C24" s="3">
        <f ca="1"/>
        <v>104.43040676085192</v>
      </c>
      <c r="D24" s="3">
        <f ca="1"/>
        <v>96.330420969023024</v>
      </c>
      <c r="E24" s="3">
        <f ca="1"/>
        <v>109.51072313826917</v>
      </c>
      <c r="F24" s="3">
        <f ca="1"/>
        <v>93.032922082206241</v>
      </c>
      <c r="G24" s="3">
        <f ca="1"/>
        <v>98.994605198626786</v>
      </c>
      <c r="H24" s="3">
        <f ca="1"/>
        <v>125.8003512089693</v>
      </c>
      <c r="I24" s="3">
        <f ca="1"/>
        <v>96.761658031088089</v>
      </c>
      <c r="J24" s="3">
        <f ca="1"/>
        <v>101.47744945567653</v>
      </c>
      <c r="K24" s="3">
        <f ca="1"/>
        <v>117.89321789321794</v>
      </c>
      <c r="L24" s="3">
        <f ca="1"/>
        <v>106.0379773842543</v>
      </c>
      <c r="M24" s="3">
        <f ca="1"/>
        <v>99.455184534270629</v>
      </c>
      <c r="N24" s="3">
        <f ca="1"/>
        <v>96.452578895566759</v>
      </c>
      <c r="O24" s="3">
        <f ca="1"/>
        <v>108.77468581687614</v>
      </c>
      <c r="P24" s="3">
        <f ca="1"/>
        <v>101.30645295934549</v>
      </c>
    </row>
    <row r="25" spans="1:16" x14ac:dyDescent="0.25">
      <c r="A25" vm="349">
        <f ca="1"/>
        <v>44958</v>
      </c>
      <c r="B25" s="3">
        <f ca="1"/>
        <v>111.73567315601866</v>
      </c>
      <c r="C25" s="3">
        <f ca="1"/>
        <v>107.07243160186094</v>
      </c>
      <c r="D25" s="3">
        <f ca="1"/>
        <v>97.410643367752172</v>
      </c>
      <c r="E25" s="3">
        <f ca="1"/>
        <v>111.27815497359626</v>
      </c>
      <c r="F25" s="3">
        <f ca="1"/>
        <v>93.936794880253359</v>
      </c>
      <c r="G25" s="3">
        <f ca="1"/>
        <v>99.386954389406597</v>
      </c>
      <c r="H25" s="3">
        <f ca="1"/>
        <v>125.26002971768199</v>
      </c>
      <c r="I25" s="3">
        <f ca="1"/>
        <v>100.12953367875649</v>
      </c>
      <c r="J25" s="3">
        <f ca="1"/>
        <v>103.03265940902023</v>
      </c>
      <c r="K25" s="3">
        <f ca="1"/>
        <v>119.42440275773615</v>
      </c>
      <c r="L25" s="3">
        <f ca="1"/>
        <v>108.2355451248133</v>
      </c>
      <c r="M25" s="3">
        <f ca="1"/>
        <v>101.72231985940243</v>
      </c>
      <c r="N25" s="3">
        <f ca="1"/>
        <v>97.011706070822768</v>
      </c>
      <c r="O25" s="3">
        <f ca="1"/>
        <v>110.90664272890488</v>
      </c>
      <c r="P25" s="3">
        <f ca="1"/>
        <v>103.43517822856663</v>
      </c>
    </row>
    <row r="26" spans="1:16" x14ac:dyDescent="0.25">
      <c r="A26" vm="365">
        <f ca="1"/>
        <v>44959</v>
      </c>
      <c r="B26" s="3">
        <f ca="1"/>
        <v>112.65766383328764</v>
      </c>
      <c r="C26" s="3">
        <f ca="1"/>
        <v>109.0784924666012</v>
      </c>
      <c r="D26" s="3">
        <f ca="1"/>
        <v>97.426528991262899</v>
      </c>
      <c r="E26" s="3">
        <f ca="1"/>
        <v>115.57818730466641</v>
      </c>
      <c r="F26" s="3">
        <f ca="1"/>
        <v>94.471201425084132</v>
      </c>
      <c r="G26" s="3">
        <f ca="1"/>
        <v>99.411476213830326</v>
      </c>
      <c r="H26" s="3">
        <f ca="1"/>
        <v>127.97514521140073</v>
      </c>
      <c r="I26" s="3">
        <f ca="1"/>
        <v>102.29922279792746</v>
      </c>
      <c r="J26" s="3">
        <f ca="1"/>
        <v>107.15396578538103</v>
      </c>
      <c r="K26" s="3">
        <f ca="1"/>
        <v>122.7513227513228</v>
      </c>
      <c r="L26" s="3">
        <f ca="1"/>
        <v>108.7191522651305</v>
      </c>
      <c r="M26" s="3">
        <f ca="1"/>
        <v>102.6318101933216</v>
      </c>
      <c r="N26" s="3">
        <f ca="1"/>
        <v>96.800201034489973</v>
      </c>
      <c r="O26" s="3">
        <f ca="1"/>
        <v>112.69075403949735</v>
      </c>
      <c r="P26" s="3">
        <f ca="1"/>
        <v>105.49711995992985</v>
      </c>
    </row>
    <row r="27" spans="1:16" x14ac:dyDescent="0.25">
      <c r="A27" vm="381">
        <f ca="1"/>
        <v>44960</v>
      </c>
      <c r="B27" s="3">
        <f ca="1"/>
        <v>115.69440636139295</v>
      </c>
      <c r="C27" s="3">
        <f ca="1"/>
        <v>109.81689359340987</v>
      </c>
      <c r="D27" s="3">
        <f ca="1"/>
        <v>95.758538522637011</v>
      </c>
      <c r="E27" s="3">
        <f ca="1"/>
        <v>119.01066925315223</v>
      </c>
      <c r="F27" s="3">
        <f ca="1"/>
        <v>93.798245035297228</v>
      </c>
      <c r="G27" s="3">
        <f ca="1"/>
        <v>98.062775870524789</v>
      </c>
      <c r="H27" s="3">
        <f ca="1"/>
        <v>130.55518033229768</v>
      </c>
      <c r="I27" s="3">
        <f ca="1"/>
        <v>105.69948186528498</v>
      </c>
      <c r="J27" s="3">
        <f ca="1"/>
        <v>110.34214618973563</v>
      </c>
      <c r="K27" s="3">
        <f ca="1"/>
        <v>151.33076799743472</v>
      </c>
      <c r="L27" s="3">
        <f ca="1"/>
        <v>107.87283976957542</v>
      </c>
      <c r="M27" s="3">
        <f ca="1"/>
        <v>102.13093145869945</v>
      </c>
      <c r="N27" s="3">
        <f ca="1"/>
        <v>95.740581743555367</v>
      </c>
      <c r="O27" s="3">
        <f ca="1"/>
        <v>120.89317773788154</v>
      </c>
      <c r="P27" s="3">
        <f ca="1"/>
        <v>110.4432757325319</v>
      </c>
    </row>
    <row r="28" spans="1:16" x14ac:dyDescent="0.25">
      <c r="A28" vm="396">
        <f ca="1"/>
        <v>44963</v>
      </c>
      <c r="B28" s="3">
        <f ca="1"/>
        <v>119.96161228406913</v>
      </c>
      <c r="C28" s="3">
        <f ca="1"/>
        <v>106.91023944683937</v>
      </c>
      <c r="D28" s="3">
        <f ca="1"/>
        <v>95.043685464654473</v>
      </c>
      <c r="E28" s="3">
        <f ca="1"/>
        <v>118.02457161332035</v>
      </c>
      <c r="F28" s="3">
        <f ca="1"/>
        <v>94.088539948538653</v>
      </c>
      <c r="G28" s="3">
        <f ca="1"/>
        <v>96.566944580676832</v>
      </c>
      <c r="H28" s="3">
        <f ca="1"/>
        <v>127.86708091314328</v>
      </c>
      <c r="I28" s="3">
        <f ca="1"/>
        <v>104.50129533678758</v>
      </c>
      <c r="J28" s="3">
        <f ca="1"/>
        <v>110.41990668740283</v>
      </c>
      <c r="K28" s="3">
        <f ca="1"/>
        <v>149.53503286836624</v>
      </c>
      <c r="L28" s="3">
        <f ca="1"/>
        <v>108.40622999786645</v>
      </c>
      <c r="M28" s="3">
        <f ca="1"/>
        <v>101.414762741652</v>
      </c>
      <c r="N28" s="3">
        <f ca="1"/>
        <v>96.136368395702874</v>
      </c>
      <c r="O28" s="3">
        <f ca="1"/>
        <v>117.57181328545785</v>
      </c>
      <c r="P28" s="3">
        <f ca="1"/>
        <v>107.83454378495698</v>
      </c>
    </row>
    <row r="29" spans="1:16" x14ac:dyDescent="0.25">
      <c r="A29" vm="411">
        <f ca="1"/>
        <v>44964</v>
      </c>
      <c r="B29" s="3">
        <f ca="1"/>
        <v>119.61543734576368</v>
      </c>
      <c r="C29" s="3">
        <f ca="1"/>
        <v>105.30965896965297</v>
      </c>
      <c r="D29" s="3">
        <f ca="1"/>
        <v>95.583796664019061</v>
      </c>
      <c r="E29" s="3">
        <f ca="1"/>
        <v>115.65901498006245</v>
      </c>
      <c r="F29" s="3">
        <f ca="1"/>
        <v>93.29022893712478</v>
      </c>
      <c r="G29" s="3">
        <f ca="1"/>
        <v>97.91564492398237</v>
      </c>
      <c r="H29" s="3">
        <f ca="1"/>
        <v>124.04430636228554</v>
      </c>
      <c r="I29" s="3">
        <f ca="1"/>
        <v>103.78886010362693</v>
      </c>
      <c r="J29" s="3">
        <f ca="1"/>
        <v>111.66407465007779</v>
      </c>
      <c r="K29" s="3">
        <f ca="1"/>
        <v>149.15824915824919</v>
      </c>
      <c r="L29" s="3">
        <f ca="1"/>
        <v>108.61247421947229</v>
      </c>
      <c r="M29" s="3">
        <f ca="1"/>
        <v>101.92882249560633</v>
      </c>
      <c r="N29" s="3">
        <f ca="1"/>
        <v>98.234665884865862</v>
      </c>
      <c r="O29" s="3">
        <f ca="1"/>
        <v>115.46229802513469</v>
      </c>
      <c r="P29" s="3">
        <f ca="1"/>
        <v>107.17505634861001</v>
      </c>
    </row>
    <row r="30" spans="1:16" x14ac:dyDescent="0.25">
      <c r="A30" vm="427">
        <f ca="1"/>
        <v>44965</v>
      </c>
      <c r="B30" s="3">
        <f ca="1"/>
        <v>119.62571976967372</v>
      </c>
      <c r="C30" s="3">
        <f ca="1"/>
        <v>106.99560373895598</v>
      </c>
      <c r="D30" s="3">
        <f ca="1"/>
        <v>95.424940428911839</v>
      </c>
      <c r="E30" s="3">
        <f ca="1"/>
        <v>116.93609225132013</v>
      </c>
      <c r="F30" s="3">
        <f ca="1"/>
        <v>92.379758527413102</v>
      </c>
      <c r="G30" s="3">
        <f ca="1"/>
        <v>96.959293771456615</v>
      </c>
      <c r="H30" s="3">
        <f ca="1"/>
        <v>127.71849250303929</v>
      </c>
      <c r="I30" s="3">
        <f ca="1"/>
        <v>104.5660621761658</v>
      </c>
      <c r="J30" s="3">
        <f ca="1"/>
        <v>114.69673405909802</v>
      </c>
      <c r="K30" s="3">
        <f ca="1"/>
        <v>153.61552028218696</v>
      </c>
      <c r="L30" s="3">
        <f ca="1"/>
        <v>109.21698314486876</v>
      </c>
      <c r="M30" s="3">
        <f ca="1"/>
        <v>101.18189806678383</v>
      </c>
      <c r="N30" s="3">
        <f ca="1"/>
        <v>98.073419471027975</v>
      </c>
      <c r="O30" s="3">
        <f ca="1"/>
        <v>120.78096947935373</v>
      </c>
      <c r="P30" s="3">
        <f ca="1"/>
        <v>111.67877118290336</v>
      </c>
    </row>
    <row r="31" spans="1:16" x14ac:dyDescent="0.25">
      <c r="A31" vm="441">
        <f ca="1"/>
        <v>44966</v>
      </c>
      <c r="B31" s="3">
        <f ca="1"/>
        <v>120.64367973676998</v>
      </c>
      <c r="C31" s="3">
        <f ca="1"/>
        <v>107.23462375688248</v>
      </c>
      <c r="D31" s="3">
        <f ca="1"/>
        <v>94.868943606036538</v>
      </c>
      <c r="E31" s="3">
        <f ca="1"/>
        <v>116.31102489492397</v>
      </c>
      <c r="F31" s="3">
        <f ca="1"/>
        <v>91.423104836049362</v>
      </c>
      <c r="G31" s="3">
        <f ca="1"/>
        <v>95.806768023540968</v>
      </c>
      <c r="H31" s="3">
        <f ca="1"/>
        <v>127.35377549642035</v>
      </c>
      <c r="I31" s="3">
        <f ca="1"/>
        <v>103.46502590673575</v>
      </c>
      <c r="J31" s="3">
        <f ca="1"/>
        <v>116.17418351477454</v>
      </c>
      <c r="K31" s="3">
        <f ca="1"/>
        <v>147.04986371653041</v>
      </c>
      <c r="L31" s="3">
        <f ca="1"/>
        <v>108.3564469098926</v>
      </c>
      <c r="M31" s="3">
        <f ca="1"/>
        <v>101.1115992970123</v>
      </c>
      <c r="N31" s="3">
        <f ca="1"/>
        <v>98.349841894750057</v>
      </c>
      <c r="O31" s="3">
        <f ca="1"/>
        <v>111.50134649910238</v>
      </c>
      <c r="P31" s="3">
        <f ca="1"/>
        <v>111.33233158026542</v>
      </c>
    </row>
    <row r="32" spans="1:16" x14ac:dyDescent="0.25">
      <c r="A32" vm="457">
        <f ca="1"/>
        <v>44967</v>
      </c>
      <c r="B32" s="3">
        <f ca="1"/>
        <v>120.51686317521253</v>
      </c>
      <c r="C32" s="3">
        <f ca="1"/>
        <v>108.27606812070509</v>
      </c>
      <c r="D32" s="3">
        <f ca="1"/>
        <v>94.710087370929315</v>
      </c>
      <c r="E32" s="3">
        <f ca="1"/>
        <v>103.64263390451553</v>
      </c>
      <c r="F32" s="3">
        <f ca="1"/>
        <v>90.420267863033601</v>
      </c>
      <c r="G32" s="3">
        <f ca="1"/>
        <v>95.365375183913699</v>
      </c>
      <c r="H32" s="3">
        <f ca="1"/>
        <v>130.60921248142643</v>
      </c>
      <c r="I32" s="3">
        <f ca="1"/>
        <v>100.80958549222797</v>
      </c>
      <c r="J32" s="3">
        <f ca="1"/>
        <v>113.2970451010887</v>
      </c>
      <c r="K32" s="3">
        <f ca="1"/>
        <v>142.63267596600932</v>
      </c>
      <c r="L32" s="3">
        <f ca="1"/>
        <v>108.42756560699806</v>
      </c>
      <c r="M32" s="3">
        <f ca="1"/>
        <v>99.683655536028127</v>
      </c>
      <c r="N32" s="3">
        <f ca="1"/>
        <v>98.441982702657398</v>
      </c>
      <c r="O32" s="3">
        <f ca="1"/>
        <v>106.60906642728909</v>
      </c>
      <c r="P32" s="3">
        <f ca="1"/>
        <v>110.03422656315213</v>
      </c>
    </row>
    <row r="33" spans="1:16" x14ac:dyDescent="0.25">
      <c r="A33" vm="472">
        <f ca="1"/>
        <v>44970</v>
      </c>
      <c r="B33" s="3">
        <f ca="1"/>
        <v>119.5777351247601</v>
      </c>
      <c r="C33" s="3">
        <f ca="1"/>
        <v>109.11263818344784</v>
      </c>
      <c r="D33" s="3">
        <f ca="1"/>
        <v>94.710087370929315</v>
      </c>
      <c r="E33" s="3">
        <f ca="1"/>
        <v>103.92822502424826</v>
      </c>
      <c r="F33" s="3">
        <f ca="1"/>
        <v>91.218578874447459</v>
      </c>
      <c r="G33" s="3">
        <f ca="1"/>
        <v>97.17999019127025</v>
      </c>
      <c r="H33" s="3">
        <f ca="1"/>
        <v>128.82615156017829</v>
      </c>
      <c r="I33" s="3">
        <f ca="1"/>
        <v>102.23445595854922</v>
      </c>
      <c r="J33" s="3">
        <f ca="1"/>
        <v>115.86314152410581</v>
      </c>
      <c r="K33" s="3">
        <f ca="1"/>
        <v>139.61038961038966</v>
      </c>
      <c r="L33" s="3">
        <f ca="1"/>
        <v>107.6310361994168</v>
      </c>
      <c r="M33" s="3">
        <f ca="1"/>
        <v>100.30755711775046</v>
      </c>
      <c r="N33" s="3">
        <f ca="1"/>
        <v>100.69105605930515</v>
      </c>
      <c r="O33" s="3">
        <f ca="1"/>
        <v>106.11535008976665</v>
      </c>
      <c r="P33" s="3">
        <f ca="1"/>
        <v>109.8171800651139</v>
      </c>
    </row>
    <row r="34" spans="1:16" x14ac:dyDescent="0.25">
      <c r="A34" vm="488">
        <f ca="1"/>
        <v>44971</v>
      </c>
      <c r="B34" s="3">
        <f ca="1"/>
        <v>120.66081710995343</v>
      </c>
      <c r="C34" s="3">
        <f ca="1"/>
        <v>109.84250288104487</v>
      </c>
      <c r="D34" s="3">
        <f ca="1"/>
        <v>96.26687847498016</v>
      </c>
      <c r="E34" s="3">
        <f ca="1"/>
        <v>105.78726155835753</v>
      </c>
      <c r="F34" s="3">
        <f ca="1"/>
        <v>92.412746585735974</v>
      </c>
      <c r="G34" s="3">
        <f ca="1"/>
        <v>98.89651790093184</v>
      </c>
      <c r="H34" s="3">
        <f ca="1"/>
        <v>129.82574631905982</v>
      </c>
      <c r="I34" s="3">
        <f ca="1"/>
        <v>102.42875647668393</v>
      </c>
      <c r="J34" s="3">
        <f ca="1"/>
        <v>113.99688958009337</v>
      </c>
      <c r="K34" s="3">
        <f ca="1"/>
        <v>143.84319384319389</v>
      </c>
      <c r="L34" s="3">
        <f ca="1"/>
        <v>109.72903776402813</v>
      </c>
      <c r="M34" s="3">
        <f ca="1"/>
        <v>100.41300527240774</v>
      </c>
      <c r="N34" s="3">
        <f ca="1"/>
        <v>100.92978451615605</v>
      </c>
      <c r="O34" s="3">
        <f ca="1"/>
        <v>106.16023339317779</v>
      </c>
      <c r="P34" s="3">
        <f ca="1"/>
        <v>113.24818432256444</v>
      </c>
    </row>
    <row r="35" spans="1:16" x14ac:dyDescent="0.25">
      <c r="A35" vm="503">
        <f ca="1"/>
        <v>44972</v>
      </c>
      <c r="B35" s="3">
        <f ca="1"/>
        <v>120.76706882369075</v>
      </c>
      <c r="C35" s="3">
        <f ca="1"/>
        <v>109.70592001365827</v>
      </c>
      <c r="D35" s="3">
        <f ca="1"/>
        <v>94.662430500397164</v>
      </c>
      <c r="E35" s="3">
        <f ca="1"/>
        <v>104.98976182778311</v>
      </c>
      <c r="F35" s="3">
        <f ca="1"/>
        <v>91.891535264234363</v>
      </c>
      <c r="G35" s="3">
        <f ca="1"/>
        <v>97.793035801863681</v>
      </c>
      <c r="H35" s="3">
        <f ca="1"/>
        <v>132.32473321626364</v>
      </c>
      <c r="I35" s="3">
        <f ca="1"/>
        <v>101.81347150259067</v>
      </c>
      <c r="J35" s="3">
        <f ca="1"/>
        <v>113.91912908242618</v>
      </c>
      <c r="K35" s="3">
        <f ca="1"/>
        <v>143.88327721661059</v>
      </c>
      <c r="L35" s="3">
        <f ca="1"/>
        <v>109.66503093663322</v>
      </c>
      <c r="M35" s="3">
        <f ca="1"/>
        <v>99.187170474516705</v>
      </c>
      <c r="N35" s="3">
        <f ca="1"/>
        <v>100.84811425460178</v>
      </c>
      <c r="O35" s="3">
        <f ca="1"/>
        <v>106.23877917414727</v>
      </c>
      <c r="P35" s="3">
        <f ca="1"/>
        <v>113.60297186743465</v>
      </c>
    </row>
    <row r="36" spans="1:16" x14ac:dyDescent="0.25">
      <c r="A36" vm="517">
        <f ca="1"/>
        <v>44973</v>
      </c>
      <c r="B36" s="3">
        <f ca="1"/>
        <v>123.78667397861261</v>
      </c>
      <c r="C36" s="3">
        <f ca="1"/>
        <v>111.31076870545051</v>
      </c>
      <c r="D36" s="3">
        <f ca="1"/>
        <v>94.662430500397164</v>
      </c>
      <c r="E36" s="3">
        <f ca="1"/>
        <v>106.76258217480326</v>
      </c>
      <c r="F36" s="3">
        <f ca="1"/>
        <v>91.680411690967887</v>
      </c>
      <c r="G36" s="3">
        <f ca="1"/>
        <v>98.406081412457112</v>
      </c>
      <c r="H36" s="3">
        <f ca="1"/>
        <v>125.30055382952854</v>
      </c>
      <c r="I36" s="3">
        <f ca="1"/>
        <v>102.55829015544042</v>
      </c>
      <c r="J36" s="3">
        <f ca="1"/>
        <v>112.67496111975122</v>
      </c>
      <c r="K36" s="3">
        <f ca="1"/>
        <v>142.0234086900754</v>
      </c>
      <c r="L36" s="3">
        <f ca="1"/>
        <v>110.94516748453168</v>
      </c>
      <c r="M36" s="3">
        <f ca="1"/>
        <v>98.804920913884018</v>
      </c>
      <c r="N36" s="3">
        <f ca="1"/>
        <v>100.62404456264525</v>
      </c>
      <c r="O36" s="3">
        <f ca="1"/>
        <v>108.77468581687617</v>
      </c>
      <c r="P36" s="3">
        <f ca="1"/>
        <v>112.41339009934048</v>
      </c>
    </row>
    <row r="37" spans="1:16" x14ac:dyDescent="0.25">
      <c r="A37" vm="533">
        <f ca="1"/>
        <v>44974</v>
      </c>
      <c r="B37" s="3">
        <f ca="1"/>
        <v>121.51768576912535</v>
      </c>
      <c r="C37" s="3">
        <f ca="1"/>
        <v>110.90955653250246</v>
      </c>
      <c r="D37" s="3">
        <f ca="1"/>
        <v>94.07466243050041</v>
      </c>
      <c r="E37" s="3">
        <f ca="1"/>
        <v>103.28699213277287</v>
      </c>
      <c r="F37" s="3">
        <f ca="1"/>
        <v>90.479646368014784</v>
      </c>
      <c r="G37" s="3">
        <f ca="1"/>
        <v>97.547817557626303</v>
      </c>
      <c r="H37" s="3">
        <f ca="1"/>
        <v>122.67999459678505</v>
      </c>
      <c r="I37" s="3">
        <f ca="1"/>
        <v>100.74481865284973</v>
      </c>
      <c r="J37" s="3">
        <f ca="1"/>
        <v>110.80870917573877</v>
      </c>
      <c r="K37" s="3">
        <f ca="1"/>
        <v>138.23953823953829</v>
      </c>
      <c r="L37" s="3">
        <f ca="1"/>
        <v>110.46156034421449</v>
      </c>
      <c r="M37" s="3">
        <f ca="1"/>
        <v>99.850615114235495</v>
      </c>
      <c r="N37" s="3">
        <f ca="1"/>
        <v>98.684899378049522</v>
      </c>
      <c r="O37" s="3">
        <f ca="1"/>
        <v>107.17010771992824</v>
      </c>
      <c r="P37" s="3">
        <f ca="1"/>
        <v>109.42065280908251</v>
      </c>
    </row>
    <row r="38" spans="1:16" x14ac:dyDescent="0.25">
      <c r="A38" vm="549">
        <f ca="1"/>
        <v>44978</v>
      </c>
      <c r="B38" s="3">
        <f ca="1"/>
        <v>121.839868384974</v>
      </c>
      <c r="C38" s="3">
        <f ca="1"/>
        <v>113.61560459259893</v>
      </c>
      <c r="D38" s="3">
        <f ca="1"/>
        <v>95.504368546465457</v>
      </c>
      <c r="E38" s="3">
        <f ca="1"/>
        <v>102.19851277077265</v>
      </c>
      <c r="F38" s="3">
        <f ca="1"/>
        <v>92.373160915748514</v>
      </c>
      <c r="G38" s="3">
        <f ca="1"/>
        <v>98.087297694948518</v>
      </c>
      <c r="H38" s="3">
        <f ca="1"/>
        <v>121.70741591246788</v>
      </c>
      <c r="I38" s="3">
        <f ca="1"/>
        <v>101.06865284974093</v>
      </c>
      <c r="J38" s="3">
        <f ca="1"/>
        <v>111.97511664074655</v>
      </c>
      <c r="K38" s="3">
        <f ca="1"/>
        <v>138.5922719256053</v>
      </c>
      <c r="L38" s="3">
        <f ca="1"/>
        <v>110.16286181637153</v>
      </c>
      <c r="M38" s="3">
        <f ca="1"/>
        <v>99.648506151142357</v>
      </c>
      <c r="N38" s="3">
        <f ca="1"/>
        <v>99.602119238581835</v>
      </c>
      <c r="O38" s="3">
        <f ca="1"/>
        <v>105.86849192100543</v>
      </c>
      <c r="P38" s="3">
        <f ca="1"/>
        <v>107.7134986225895</v>
      </c>
    </row>
    <row r="39" spans="1:16" x14ac:dyDescent="0.25">
      <c r="A39" vm="565">
        <f ca="1"/>
        <v>44979</v>
      </c>
      <c r="B39" s="3">
        <f ca="1"/>
        <v>117.7474636687689</v>
      </c>
      <c r="C39" s="3">
        <f ca="1"/>
        <v>110.85833795723251</v>
      </c>
      <c r="D39" s="3">
        <f ca="1"/>
        <v>94.996028594122322</v>
      </c>
      <c r="E39" s="3">
        <f ca="1"/>
        <v>99.69285483349492</v>
      </c>
      <c r="F39" s="3">
        <f ca="1"/>
        <v>92.307184799102743</v>
      </c>
      <c r="G39" s="3">
        <f ca="1"/>
        <v>97.768513977439923</v>
      </c>
      <c r="H39" s="3">
        <f ca="1"/>
        <v>118.3844387410509</v>
      </c>
      <c r="I39" s="3">
        <f ca="1"/>
        <v>99.060880829015531</v>
      </c>
      <c r="J39" s="3">
        <f ca="1"/>
        <v>106.68740279937796</v>
      </c>
      <c r="K39" s="3">
        <f ca="1"/>
        <v>137.950937950938</v>
      </c>
      <c r="L39" s="3">
        <f ca="1"/>
        <v>105.75350259583243</v>
      </c>
      <c r="M39" s="3">
        <f ca="1"/>
        <v>98.027240773286479</v>
      </c>
      <c r="N39" s="3">
        <f ca="1"/>
        <v>100.34762213892319</v>
      </c>
      <c r="O39" s="3">
        <f ca="1"/>
        <v>102.99596050269305</v>
      </c>
      <c r="P39" s="3">
        <f ca="1"/>
        <v>105.46372819100088</v>
      </c>
    </row>
    <row r="40" spans="1:16" x14ac:dyDescent="0.25">
      <c r="A40" vm="581">
        <f ca="1"/>
        <v>44980</v>
      </c>
      <c r="B40" s="3">
        <f ca="1"/>
        <v>118.35755415409932</v>
      </c>
      <c r="C40" s="3">
        <f ca="1"/>
        <v>109.68031072602332</v>
      </c>
      <c r="D40" s="3">
        <f ca="1"/>
        <v>95.281969817315328</v>
      </c>
      <c r="E40" s="3">
        <f ca="1"/>
        <v>99.838344649207826</v>
      </c>
      <c r="F40" s="3">
        <f ca="1"/>
        <v>92.69644388731281</v>
      </c>
      <c r="G40" s="3">
        <f ca="1"/>
        <v>97.05738106915156</v>
      </c>
      <c r="H40" s="3">
        <f ca="1"/>
        <v>117.29028772119408</v>
      </c>
      <c r="I40" s="3">
        <f ca="1"/>
        <v>97.11787564766837</v>
      </c>
      <c r="J40" s="3">
        <f ca="1"/>
        <v>108.86469673405915</v>
      </c>
      <c r="K40" s="3">
        <f ca="1"/>
        <v>137.18133718133723</v>
      </c>
      <c r="L40" s="3">
        <f ca="1"/>
        <v>105.54014650451604</v>
      </c>
      <c r="M40" s="3">
        <f ca="1"/>
        <v>97.592267135325145</v>
      </c>
      <c r="N40" s="3">
        <f ca="1"/>
        <v>100.41882185412432</v>
      </c>
      <c r="O40" s="3">
        <f ca="1"/>
        <v>102.8388689407541</v>
      </c>
      <c r="P40" s="3">
        <f ca="1"/>
        <v>104.97954754153098</v>
      </c>
    </row>
    <row r="41" spans="1:16" x14ac:dyDescent="0.25">
      <c r="A41" vm="597">
        <f ca="1"/>
        <v>44981</v>
      </c>
      <c r="B41" s="3">
        <f ca="1"/>
        <v>119.62229229503708</v>
      </c>
      <c r="C41" s="3">
        <f ca="1"/>
        <v>109.56080071706005</v>
      </c>
      <c r="D41" s="3">
        <f ca="1"/>
        <v>95.456711675933306</v>
      </c>
      <c r="E41" s="3">
        <f ca="1"/>
        <v>101.22319215432691</v>
      </c>
      <c r="F41" s="3">
        <f ca="1"/>
        <v>92.399551362406839</v>
      </c>
      <c r="G41" s="3">
        <f ca="1"/>
        <v>97.474252084355101</v>
      </c>
      <c r="H41" s="3">
        <f ca="1"/>
        <v>121.68039983790352</v>
      </c>
      <c r="I41" s="3">
        <f ca="1"/>
        <v>99.255181347150227</v>
      </c>
      <c r="J41" s="3">
        <f ca="1"/>
        <v>111.35303265940908</v>
      </c>
      <c r="K41" s="3">
        <f ca="1"/>
        <v>137.91887125220464</v>
      </c>
      <c r="L41" s="3">
        <f ca="1"/>
        <v>113.51966431974967</v>
      </c>
      <c r="M41" s="3">
        <f ca="1"/>
        <v>99.121265377855892</v>
      </c>
      <c r="N41" s="3">
        <f ca="1"/>
        <v>100.32458693694635</v>
      </c>
      <c r="O41" s="3">
        <f ca="1"/>
        <v>101.9860861759426</v>
      </c>
      <c r="P41" s="3">
        <f ca="1"/>
        <v>106.34026212538606</v>
      </c>
    </row>
    <row r="42" spans="1:16" x14ac:dyDescent="0.25">
      <c r="A42" vm="613">
        <f ca="1"/>
        <v>44984</v>
      </c>
      <c r="B42" s="3">
        <f ca="1"/>
        <v>119.28639978064169</v>
      </c>
      <c r="C42" s="3">
        <f ca="1"/>
        <v>109.91079431473813</v>
      </c>
      <c r="D42" s="3">
        <f ca="1"/>
        <v>95.059571088165242</v>
      </c>
      <c r="E42" s="3">
        <f ca="1"/>
        <v>100.29636814311881</v>
      </c>
      <c r="F42" s="3">
        <f ca="1"/>
        <v>91.878340040905201</v>
      </c>
      <c r="G42" s="3">
        <f ca="1"/>
        <v>97.130946542422777</v>
      </c>
      <c r="H42" s="3">
        <f ca="1"/>
        <v>119.0193164933135</v>
      </c>
      <c r="I42" s="3">
        <f ca="1"/>
        <v>99.579015544041425</v>
      </c>
      <c r="J42" s="3">
        <f ca="1"/>
        <v>105.90979782270611</v>
      </c>
      <c r="K42" s="3">
        <f ca="1"/>
        <v>136.59611992945329</v>
      </c>
      <c r="L42" s="3">
        <f ca="1"/>
        <v>114.24507503022544</v>
      </c>
      <c r="M42" s="3">
        <f ca="1"/>
        <v>98.457820738137087</v>
      </c>
      <c r="N42" s="3">
        <f ca="1"/>
        <v>100.60100936066841</v>
      </c>
      <c r="O42" s="3">
        <f ca="1"/>
        <v>100.01122082585283</v>
      </c>
      <c r="P42" s="3">
        <f ca="1"/>
        <v>104.02370815593953</v>
      </c>
    </row>
    <row r="43" spans="1:16" x14ac:dyDescent="0.25">
      <c r="A43" vm="628">
        <f ca="1"/>
        <v>44985</v>
      </c>
      <c r="B43" s="3">
        <f ca="1"/>
        <v>120.12613106663019</v>
      </c>
      <c r="C43" s="3">
        <f ca="1"/>
        <v>110.5552947202185</v>
      </c>
      <c r="D43" s="3">
        <f ca="1"/>
        <v>95.027799841143789</v>
      </c>
      <c r="E43" s="3">
        <f ca="1"/>
        <v>101.4818407155943</v>
      </c>
      <c r="F43" s="3">
        <f ca="1"/>
        <v>91.799168700930267</v>
      </c>
      <c r="G43" s="3">
        <f ca="1"/>
        <v>97.253555664541452</v>
      </c>
      <c r="H43" s="3">
        <f ca="1"/>
        <v>117.92516547345667</v>
      </c>
      <c r="I43" s="3">
        <f ca="1"/>
        <v>99.643782383419676</v>
      </c>
      <c r="J43" s="3">
        <f ca="1"/>
        <v>107.69828926905137</v>
      </c>
      <c r="K43" s="3">
        <f ca="1"/>
        <v>135.91470258136928</v>
      </c>
      <c r="L43" s="3">
        <f ca="1"/>
        <v>115.85235758480904</v>
      </c>
      <c r="M43" s="3">
        <f ca="1"/>
        <v>98.721441124780327</v>
      </c>
      <c r="N43" s="3">
        <f ca="1"/>
        <v>100.41044541704184</v>
      </c>
      <c r="O43" s="3">
        <f ca="1"/>
        <v>100.84156193895878</v>
      </c>
      <c r="P43" s="3">
        <f ca="1"/>
        <v>104.41606144085479</v>
      </c>
    </row>
    <row r="44" spans="1:16" x14ac:dyDescent="0.25">
      <c r="A44" vm="644">
        <f ca="1"/>
        <v>44986</v>
      </c>
      <c r="B44" s="3">
        <f ca="1"/>
        <v>120.59569509185641</v>
      </c>
      <c r="C44" s="3">
        <f ca="1"/>
        <v>110.21383755175208</v>
      </c>
      <c r="D44" s="3">
        <f ca="1"/>
        <v>94.53534551231138</v>
      </c>
      <c r="E44" s="3">
        <f ca="1"/>
        <v>101.32018536480219</v>
      </c>
      <c r="F44" s="3">
        <f ca="1"/>
        <v>90.756746057927046</v>
      </c>
      <c r="G44" s="3">
        <f ca="1"/>
        <v>95.487984306032388</v>
      </c>
      <c r="H44" s="3">
        <f ca="1"/>
        <v>117.61448061596647</v>
      </c>
      <c r="I44" s="3">
        <f ca="1"/>
        <v>98.737046632124333</v>
      </c>
      <c r="J44" s="3">
        <f ca="1"/>
        <v>103.49922239502339</v>
      </c>
      <c r="K44" s="3">
        <f ca="1"/>
        <v>140.24370691037362</v>
      </c>
      <c r="L44" s="3">
        <f ca="1"/>
        <v>114.785577128227</v>
      </c>
      <c r="M44" s="3">
        <f ca="1"/>
        <v>98.286467486818992</v>
      </c>
      <c r="N44" s="3">
        <f ca="1"/>
        <v>99.315226268506663</v>
      </c>
      <c r="O44" s="3">
        <f ca="1"/>
        <v>101.05475763016165</v>
      </c>
      <c r="P44" s="3">
        <f ca="1"/>
        <v>104.10718757826191</v>
      </c>
    </row>
    <row r="45" spans="1:16" x14ac:dyDescent="0.25">
      <c r="A45" vm="659">
        <f ca="1"/>
        <v>44987</v>
      </c>
      <c r="B45" s="3">
        <f ca="1"/>
        <v>121.10981628735958</v>
      </c>
      <c r="C45" s="3">
        <f ca="1"/>
        <v>110.0943275427888</v>
      </c>
      <c r="D45" s="3">
        <f ca="1"/>
        <v>93.502779984114397</v>
      </c>
      <c r="E45" s="3">
        <f ca="1"/>
        <v>101.58422243776265</v>
      </c>
      <c r="F45" s="3">
        <f ca="1"/>
        <v>90.822722174572803</v>
      </c>
      <c r="G45" s="3">
        <f ca="1"/>
        <v>94.163805787150579</v>
      </c>
      <c r="H45" s="3">
        <f ca="1"/>
        <v>119.43806564906117</v>
      </c>
      <c r="I45" s="3">
        <f ca="1"/>
        <v>99.935233160621749</v>
      </c>
      <c r="J45" s="3">
        <f ca="1"/>
        <v>105.36547433903584</v>
      </c>
      <c r="K45" s="3">
        <f ca="1"/>
        <v>139.02517235850573</v>
      </c>
      <c r="L45" s="3">
        <f ca="1"/>
        <v>113.54099992888131</v>
      </c>
      <c r="M45" s="3">
        <f ca="1"/>
        <v>96.528998242530761</v>
      </c>
      <c r="N45" s="3">
        <f ca="1"/>
        <v>99.329885033401013</v>
      </c>
      <c r="O45" s="3">
        <f ca="1"/>
        <v>101.39138240574512</v>
      </c>
      <c r="P45" s="3">
        <f ca="1"/>
        <v>102.79238667668416</v>
      </c>
    </row>
    <row r="46" spans="1:16" x14ac:dyDescent="0.25">
      <c r="A46" vm="673">
        <f ca="1"/>
        <v>44988</v>
      </c>
      <c r="B46" s="3">
        <f ca="1"/>
        <v>121.84672333424743</v>
      </c>
      <c r="C46" s="3">
        <f ca="1"/>
        <v>111.37052370993209</v>
      </c>
      <c r="D46" s="3">
        <f ca="1"/>
        <v>94.868943606036567</v>
      </c>
      <c r="E46" s="3">
        <f ca="1"/>
        <v>101.50878327405965</v>
      </c>
      <c r="F46" s="3">
        <f ca="1"/>
        <v>92.320380022431877</v>
      </c>
      <c r="G46" s="3">
        <f ca="1"/>
        <v>94.801373222167754</v>
      </c>
      <c r="H46" s="3">
        <f ca="1"/>
        <v>120.26205592327432</v>
      </c>
      <c r="I46" s="3">
        <f ca="1"/>
        <v>101.29533678756475</v>
      </c>
      <c r="J46" s="3">
        <f ca="1"/>
        <v>103.81026438569212</v>
      </c>
      <c r="K46" s="3">
        <f ca="1"/>
        <v>139.91502324835662</v>
      </c>
      <c r="L46" s="3">
        <f ca="1"/>
        <v>113.82547471730319</v>
      </c>
      <c r="M46" s="3">
        <f ca="1"/>
        <v>97.425307557117776</v>
      </c>
      <c r="N46" s="3">
        <f ca="1"/>
        <v>100.16334052310846</v>
      </c>
      <c r="O46" s="3">
        <f ca="1"/>
        <v>103.23159784560148</v>
      </c>
      <c r="P46" s="3">
        <f ca="1"/>
        <v>104.81258869688619</v>
      </c>
    </row>
    <row r="47" spans="1:16" x14ac:dyDescent="0.25">
      <c r="A47" vm="689">
        <f ca="1"/>
        <v>44991</v>
      </c>
      <c r="B47" s="3">
        <f ca="1"/>
        <v>123.33767480120659</v>
      </c>
      <c r="C47" s="3">
        <f ca="1"/>
        <v>113.29548849716159</v>
      </c>
      <c r="D47" s="3">
        <f ca="1"/>
        <v>94.424146147736323</v>
      </c>
      <c r="E47" s="3">
        <f ca="1"/>
        <v>102.35477960987168</v>
      </c>
      <c r="F47" s="3">
        <f ca="1"/>
        <v>92.993336412218767</v>
      </c>
      <c r="G47" s="3">
        <f ca="1"/>
        <v>95.733202550269766</v>
      </c>
      <c r="H47" s="3">
        <f ca="1"/>
        <v>121.28866675672022</v>
      </c>
      <c r="I47" s="3">
        <f ca="1"/>
        <v>100.87435233160619</v>
      </c>
      <c r="J47" s="3">
        <f ca="1"/>
        <v>111.11975116640753</v>
      </c>
      <c r="K47" s="3">
        <f ca="1"/>
        <v>148.50889850889854</v>
      </c>
      <c r="L47" s="3">
        <f ca="1"/>
        <v>116.00881871844108</v>
      </c>
      <c r="M47" s="3">
        <f ca="1"/>
        <v>98.088752196836566</v>
      </c>
      <c r="N47" s="3">
        <f ca="1"/>
        <v>100.07538793374233</v>
      </c>
      <c r="O47" s="3">
        <f ca="1"/>
        <v>105.08303411131065</v>
      </c>
      <c r="P47" s="3">
        <f ca="1"/>
        <v>106.55730862342429</v>
      </c>
    </row>
    <row r="48" spans="1:16" x14ac:dyDescent="0.25">
      <c r="A48" vm="705">
        <f ca="1"/>
        <v>44992</v>
      </c>
      <c r="B48" s="3">
        <f ca="1"/>
        <v>123.56046065259127</v>
      </c>
      <c r="C48" s="3">
        <f ca="1"/>
        <v>112.80037560288525</v>
      </c>
      <c r="D48" s="3">
        <f ca="1"/>
        <v>95.885623510722823</v>
      </c>
      <c r="E48" s="3">
        <f ca="1"/>
        <v>100.31253367819802</v>
      </c>
      <c r="F48" s="3">
        <f ca="1"/>
        <v>92.597479712344125</v>
      </c>
      <c r="G48" s="3">
        <f ca="1"/>
        <v>95.610593428151091</v>
      </c>
      <c r="H48" s="3">
        <f ca="1"/>
        <v>121.00499797379436</v>
      </c>
      <c r="I48" s="3">
        <f ca="1"/>
        <v>98.898963730569918</v>
      </c>
      <c r="J48" s="3">
        <f ca="1"/>
        <v>111.04199066874035</v>
      </c>
      <c r="K48" s="3">
        <f ca="1"/>
        <v>148.22831489498159</v>
      </c>
      <c r="L48" s="3">
        <f ca="1"/>
        <v>116.18661546120474</v>
      </c>
      <c r="M48" s="3">
        <f ca="1"/>
        <v>96.898066783831283</v>
      </c>
      <c r="N48" s="3">
        <f ca="1"/>
        <v>100.55284484744409</v>
      </c>
      <c r="O48" s="3">
        <f ca="1"/>
        <v>106.74371633752249</v>
      </c>
      <c r="P48" s="3">
        <f ca="1"/>
        <v>107.21679605977123</v>
      </c>
    </row>
    <row r="49" spans="1:16" x14ac:dyDescent="0.25">
      <c r="A49" vm="720">
        <f ca="1"/>
        <v>44993</v>
      </c>
      <c r="B49" s="3">
        <f ca="1"/>
        <v>123.23142308746927</v>
      </c>
      <c r="C49" s="3">
        <f ca="1"/>
        <v>111.18272226727555</v>
      </c>
      <c r="D49" s="3">
        <f ca="1"/>
        <v>95.329626687847522</v>
      </c>
      <c r="E49" s="3">
        <f ca="1"/>
        <v>97.903868951395566</v>
      </c>
      <c r="F49" s="3">
        <f ca="1"/>
        <v>90.756746057927032</v>
      </c>
      <c r="G49" s="3">
        <f ca="1"/>
        <v>94.752329573320281</v>
      </c>
      <c r="H49" s="3">
        <f ca="1"/>
        <v>120.01891125219501</v>
      </c>
      <c r="I49" s="3">
        <f ca="1"/>
        <v>96.146373056994804</v>
      </c>
      <c r="J49" s="3">
        <f ca="1"/>
        <v>110.88646967340598</v>
      </c>
      <c r="K49" s="3">
        <f ca="1"/>
        <v>147.91566458233126</v>
      </c>
      <c r="L49" s="3">
        <f ca="1"/>
        <v>115.90214067278285</v>
      </c>
      <c r="M49" s="3">
        <f ca="1"/>
        <v>96.31810193321617</v>
      </c>
      <c r="N49" s="3">
        <f ca="1"/>
        <v>100.23663434758021</v>
      </c>
      <c r="O49" s="3">
        <f ca="1"/>
        <v>105.31867145421907</v>
      </c>
      <c r="P49" s="3">
        <f ca="1"/>
        <v>106.08147591618662</v>
      </c>
    </row>
    <row r="50" spans="1:16" x14ac:dyDescent="0.25">
      <c r="A50" vm="736">
        <f ca="1"/>
        <v>44994</v>
      </c>
      <c r="B50" s="3">
        <f ca="1"/>
        <v>124.30422264875251</v>
      </c>
      <c r="C50" s="3">
        <f ca="1"/>
        <v>112.59976951641123</v>
      </c>
      <c r="D50" s="3">
        <f ca="1"/>
        <v>95.377283558379688</v>
      </c>
      <c r="E50" s="3">
        <f ca="1"/>
        <v>97.149477314365711</v>
      </c>
      <c r="F50" s="3">
        <f ca="1"/>
        <v>90.769941281256195</v>
      </c>
      <c r="G50" s="3">
        <f ca="1"/>
        <v>93.967631191760688</v>
      </c>
      <c r="H50" s="3">
        <f ca="1"/>
        <v>122.69350263406723</v>
      </c>
      <c r="I50" s="3">
        <f ca="1"/>
        <v>98.024611398963714</v>
      </c>
      <c r="J50" s="3">
        <f ca="1"/>
        <v>110.57542768273724</v>
      </c>
      <c r="K50" s="3">
        <f ca="1"/>
        <v>148.28443161776499</v>
      </c>
      <c r="L50" s="3">
        <f ca="1"/>
        <v>115.51809970841333</v>
      </c>
      <c r="M50" s="3">
        <f ca="1"/>
        <v>96.353251318101954</v>
      </c>
      <c r="N50" s="3">
        <f ca="1"/>
        <v>100.41253952631243</v>
      </c>
      <c r="O50" s="3">
        <f ca="1"/>
        <v>105.75628366247761</v>
      </c>
      <c r="P50" s="3">
        <f ca="1"/>
        <v>105.89364721596121</v>
      </c>
    </row>
    <row r="51" spans="1:16" x14ac:dyDescent="0.25">
      <c r="A51" vm="751">
        <f ca="1"/>
        <v>44995</v>
      </c>
      <c r="B51" s="3">
        <f ca="1"/>
        <v>120.28036742528117</v>
      </c>
      <c r="C51" s="3">
        <f ca="1"/>
        <v>109.10410175423615</v>
      </c>
      <c r="D51" s="3">
        <f ca="1"/>
        <v>94.455917394757762</v>
      </c>
      <c r="E51" s="3">
        <f ca="1"/>
        <v>98.351115421920412</v>
      </c>
      <c r="F51" s="3">
        <f ca="1"/>
        <v>90.103582503133865</v>
      </c>
      <c r="G51" s="3">
        <f ca="1"/>
        <v>92.667974497302623</v>
      </c>
      <c r="H51" s="3">
        <f ca="1"/>
        <v>120.05943536404156</v>
      </c>
      <c r="I51" s="3">
        <f ca="1"/>
        <v>96.37305699481864</v>
      </c>
      <c r="J51" s="3">
        <f ca="1"/>
        <v>109.48678071539665</v>
      </c>
      <c r="K51" s="3">
        <f ca="1"/>
        <v>145.65496232162903</v>
      </c>
      <c r="L51" s="3">
        <f ca="1"/>
        <v>114.18106820283052</v>
      </c>
      <c r="M51" s="3">
        <f ca="1"/>
        <v>94.815465729349754</v>
      </c>
      <c r="N51" s="3">
        <f ca="1"/>
        <v>99.648189642535499</v>
      </c>
      <c r="O51" s="3">
        <f ca="1"/>
        <v>103.59066427289054</v>
      </c>
      <c r="P51" s="3">
        <f ca="1"/>
        <v>105.31763920193667</v>
      </c>
    </row>
    <row r="52" spans="1:16" x14ac:dyDescent="0.25">
      <c r="A52" vm="767">
        <f ca="1"/>
        <v>44998</v>
      </c>
      <c r="B52" s="3">
        <f ca="1"/>
        <v>116.00973402796831</v>
      </c>
      <c r="C52" s="3">
        <f ca="1"/>
        <v>103.76029706773652</v>
      </c>
      <c r="D52" s="3">
        <f ca="1"/>
        <v>94.058776806989684</v>
      </c>
      <c r="E52" s="3">
        <f ca="1"/>
        <v>95.646082551999072</v>
      </c>
      <c r="F52" s="3">
        <f ca="1"/>
        <v>90.512634426337669</v>
      </c>
      <c r="G52" s="3">
        <f ca="1"/>
        <v>93.035801863658676</v>
      </c>
      <c r="H52" s="3">
        <f ca="1"/>
        <v>117.85762528704576</v>
      </c>
      <c r="I52" s="3">
        <f ca="1"/>
        <v>95.498704663212422</v>
      </c>
      <c r="J52" s="3">
        <f ca="1"/>
        <v>104.43234836702962</v>
      </c>
      <c r="K52" s="3">
        <f ca="1"/>
        <v>143.90732724066061</v>
      </c>
      <c r="L52" s="3">
        <f ca="1"/>
        <v>111.90526989545549</v>
      </c>
      <c r="M52" s="3">
        <f ca="1"/>
        <v>93.145869947275941</v>
      </c>
      <c r="N52" s="3">
        <f ca="1"/>
        <v>99.574895818063723</v>
      </c>
      <c r="O52" s="3">
        <f ca="1"/>
        <v>101.69434470377026</v>
      </c>
      <c r="P52" s="3">
        <f ca="1"/>
        <v>103.76074797562397</v>
      </c>
    </row>
    <row r="53" spans="1:16" x14ac:dyDescent="0.25">
      <c r="A53" vm="782">
        <f ca="1"/>
        <v>44999</v>
      </c>
      <c r="B53" s="3">
        <f ca="1"/>
        <v>113.82300520976153</v>
      </c>
      <c r="C53" s="3">
        <f ca="1"/>
        <v>101.25485509411408</v>
      </c>
      <c r="D53" s="3">
        <f ca="1"/>
        <v>95.011914217633048</v>
      </c>
      <c r="E53" s="3">
        <f ca="1"/>
        <v>96.238818838236796</v>
      </c>
      <c r="F53" s="3">
        <f ca="1"/>
        <v>91.139407534472511</v>
      </c>
      <c r="G53" s="3">
        <f ca="1"/>
        <v>93.477194703285946</v>
      </c>
      <c r="H53" s="3">
        <f ca="1"/>
        <v>118.51951911387272</v>
      </c>
      <c r="I53" s="3">
        <f ca="1"/>
        <v>94.106217616580295</v>
      </c>
      <c r="J53" s="3">
        <f ca="1"/>
        <v>94.090202177293989</v>
      </c>
      <c r="K53" s="3">
        <f ca="1"/>
        <v>145.02164502164507</v>
      </c>
      <c r="L53" s="3">
        <f ca="1"/>
        <v>110.85271317829455</v>
      </c>
      <c r="M53" s="3">
        <f ca="1"/>
        <v>92.706502636203879</v>
      </c>
      <c r="N53" s="3">
        <f ca="1"/>
        <v>99.958117814587496</v>
      </c>
      <c r="O53" s="3">
        <f ca="1"/>
        <v>102.23294434470382</v>
      </c>
      <c r="P53" s="3">
        <f ca="1"/>
        <v>105.98547458051586</v>
      </c>
    </row>
    <row r="54" spans="1:16" x14ac:dyDescent="0.25">
      <c r="A54" vm="797">
        <f ca="1"/>
        <v>45000</v>
      </c>
      <c r="B54" s="3">
        <f ca="1"/>
        <v>114.55305730737604</v>
      </c>
      <c r="C54" s="3">
        <f ca="1"/>
        <v>101.29753724017239</v>
      </c>
      <c r="D54" s="3">
        <f ca="1"/>
        <v>95.361397934868961</v>
      </c>
      <c r="E54" s="3">
        <f ca="1"/>
        <v>96.206487768078375</v>
      </c>
      <c r="F54" s="3">
        <f ca="1"/>
        <v>92.267599129115254</v>
      </c>
      <c r="G54" s="3">
        <f ca="1"/>
        <v>93.526238352133433</v>
      </c>
      <c r="H54" s="3">
        <f ca="1"/>
        <v>120.61326489261107</v>
      </c>
      <c r="I54" s="3">
        <f ca="1"/>
        <v>94.753886010362692</v>
      </c>
      <c r="J54" s="3">
        <f ca="1"/>
        <v>94.712286158631471</v>
      </c>
      <c r="K54" s="3">
        <f ca="1"/>
        <v>155.53952220618893</v>
      </c>
      <c r="L54" s="3">
        <f ca="1"/>
        <v>113.60500675627621</v>
      </c>
      <c r="M54" s="3">
        <f ca="1"/>
        <v>94.485940246045715</v>
      </c>
      <c r="N54" s="3">
        <f ca="1"/>
        <v>100.28061064226324</v>
      </c>
      <c r="O54" s="3">
        <f ca="1"/>
        <v>105.4421005385997</v>
      </c>
      <c r="P54" s="3">
        <f ca="1"/>
        <v>108.85299273729022</v>
      </c>
    </row>
    <row r="55" spans="1:16" x14ac:dyDescent="0.25">
      <c r="A55" vm="811">
        <f ca="1"/>
        <v>45001</v>
      </c>
      <c r="B55" s="3">
        <f ca="1"/>
        <v>107.46503975870588</v>
      </c>
      <c r="C55" s="3">
        <f ca="1"/>
        <v>95.023261769601717</v>
      </c>
      <c r="D55" s="3">
        <f ca="1"/>
        <v>95.99682287529788</v>
      </c>
      <c r="E55" s="3">
        <f ca="1"/>
        <v>95.04795775406825</v>
      </c>
      <c r="F55" s="3">
        <f ca="1"/>
        <v>93.573926238701603</v>
      </c>
      <c r="G55" s="3">
        <f ca="1"/>
        <v>93.452672878862217</v>
      </c>
      <c r="H55" s="3">
        <f ca="1"/>
        <v>117.11468323652569</v>
      </c>
      <c r="I55" s="3">
        <f ca="1"/>
        <v>93.847150259067348</v>
      </c>
      <c r="J55" s="3">
        <f ca="1"/>
        <v>100.23328149300161</v>
      </c>
      <c r="K55" s="3">
        <f ca="1"/>
        <v>158.52974186307526</v>
      </c>
      <c r="L55" s="3">
        <f ca="1"/>
        <v>110.47578408363557</v>
      </c>
      <c r="M55" s="3">
        <f ca="1"/>
        <v>94.916520210896337</v>
      </c>
      <c r="N55" s="3">
        <f ca="1"/>
        <v>99.116285887797545</v>
      </c>
      <c r="O55" s="3">
        <f ca="1"/>
        <v>107.84335727109523</v>
      </c>
      <c r="P55" s="3">
        <f ca="1"/>
        <v>110.79388930628596</v>
      </c>
    </row>
    <row r="56" spans="1:16" x14ac:dyDescent="0.25">
      <c r="A56" vm="826">
        <f ca="1"/>
        <v>45002</v>
      </c>
      <c r="B56" s="3">
        <f ca="1"/>
        <v>107.62270359199353</v>
      </c>
      <c r="C56" s="3">
        <f ca="1"/>
        <v>95.744590037987052</v>
      </c>
      <c r="D56" s="3">
        <f ca="1"/>
        <v>95.790309769658478</v>
      </c>
      <c r="E56" s="3">
        <f ca="1"/>
        <v>96.303480978553651</v>
      </c>
      <c r="F56" s="3">
        <f ca="1"/>
        <v>94.273273075146804</v>
      </c>
      <c r="G56" s="3">
        <f ca="1"/>
        <v>93.624325649828364</v>
      </c>
      <c r="H56" s="3">
        <f ca="1"/>
        <v>120.62677292989324</v>
      </c>
      <c r="I56" s="3">
        <f ca="1"/>
        <v>94.980569948186499</v>
      </c>
      <c r="J56" s="3">
        <f ca="1"/>
        <v>96.423017107309533</v>
      </c>
      <c r="K56" s="3">
        <f ca="1"/>
        <v>164.28571428571436</v>
      </c>
      <c r="L56" s="3">
        <f ca="1"/>
        <v>111.80570371950785</v>
      </c>
      <c r="M56" s="3">
        <f ca="1"/>
        <v>94.749560632688954</v>
      </c>
      <c r="N56" s="3">
        <f ca="1"/>
        <v>99.101627122903196</v>
      </c>
      <c r="O56" s="3">
        <f ca="1"/>
        <v>112.56732495511677</v>
      </c>
      <c r="P56" s="3">
        <f ca="1"/>
        <v>115.28508222723094</v>
      </c>
    </row>
    <row r="57" spans="1:16" x14ac:dyDescent="0.25">
      <c r="A57" vm="841">
        <f ca="1"/>
        <v>45005</v>
      </c>
      <c r="B57" s="3">
        <f ca="1"/>
        <v>104.51055662188111</v>
      </c>
      <c r="C57" s="3">
        <f ca="1"/>
        <v>93.1367109138247</v>
      </c>
      <c r="D57" s="3">
        <f ca="1"/>
        <v>95.345512311358249</v>
      </c>
      <c r="E57" s="3">
        <f ca="1"/>
        <v>95.139562452850441</v>
      </c>
      <c r="F57" s="3">
        <f ca="1"/>
        <v>94.299663521805115</v>
      </c>
      <c r="G57" s="3">
        <f ca="1"/>
        <v>92.275625306522826</v>
      </c>
      <c r="H57" s="3">
        <f ca="1"/>
        <v>120.85640956369035</v>
      </c>
      <c r="I57" s="3">
        <f ca="1"/>
        <v>93.620466321243498</v>
      </c>
      <c r="J57" s="3">
        <f ca="1"/>
        <v>89.968895800933169</v>
      </c>
      <c r="K57" s="3">
        <f ca="1"/>
        <v>156.81417348084022</v>
      </c>
      <c r="L57" s="3">
        <f ca="1"/>
        <v>110.30509921058244</v>
      </c>
      <c r="M57" s="3">
        <f ca="1"/>
        <v>92.662565905096685</v>
      </c>
      <c r="N57" s="3">
        <f ca="1"/>
        <v>97.558268590454972</v>
      </c>
      <c r="O57" s="3">
        <f ca="1"/>
        <v>114.02603231597855</v>
      </c>
      <c r="P57" s="3">
        <f ca="1"/>
        <v>116.63327489773766</v>
      </c>
    </row>
    <row r="58" spans="1:16" x14ac:dyDescent="0.25">
      <c r="A58" vm="855">
        <f ca="1"/>
        <v>45006</v>
      </c>
      <c r="B58" s="3">
        <f ca="1"/>
        <v>108.24993145050736</v>
      </c>
      <c r="C58" s="3">
        <f ca="1"/>
        <v>94.357420291092183</v>
      </c>
      <c r="D58" s="3">
        <f ca="1"/>
        <v>96.26687847498016</v>
      </c>
      <c r="E58" s="3">
        <f ca="1"/>
        <v>97.67216294859351</v>
      </c>
      <c r="F58" s="3">
        <f ca="1"/>
        <v>95.751138088012141</v>
      </c>
      <c r="G58" s="3">
        <f ca="1"/>
        <v>93.035801863658676</v>
      </c>
      <c r="H58" s="3">
        <f ca="1"/>
        <v>121.62636768877478</v>
      </c>
      <c r="I58" s="3">
        <f ca="1"/>
        <v>94.494818652849716</v>
      </c>
      <c r="J58" s="3">
        <f ca="1"/>
        <v>90.979782270606563</v>
      </c>
      <c r="K58" s="3">
        <f ca="1"/>
        <v>158.57784191117531</v>
      </c>
      <c r="L58" s="3">
        <f ca="1"/>
        <v>111.8625986771922</v>
      </c>
      <c r="M58" s="3">
        <f ca="1"/>
        <v>94.639718804920932</v>
      </c>
      <c r="N58" s="3">
        <f ca="1"/>
        <v>99.616778003476128</v>
      </c>
      <c r="O58" s="3">
        <f ca="1"/>
        <v>113.57719928186724</v>
      </c>
      <c r="P58" s="3">
        <f ca="1"/>
        <v>113.62801569413136</v>
      </c>
    </row>
    <row r="59" spans="1:16" x14ac:dyDescent="0.25">
      <c r="A59" vm="870">
        <f ca="1"/>
        <v>45007</v>
      </c>
      <c r="B59" s="3">
        <f ca="1"/>
        <v>111.80765012338919</v>
      </c>
      <c r="C59" s="3">
        <f ca="1"/>
        <v>95.292159289769046</v>
      </c>
      <c r="D59" s="3">
        <f ca="1"/>
        <v>95.822081016679931</v>
      </c>
      <c r="E59" s="3">
        <f ca="1"/>
        <v>99.412652225455247</v>
      </c>
      <c r="F59" s="3">
        <f ca="1"/>
        <v>95.058388863231514</v>
      </c>
      <c r="G59" s="3">
        <f ca="1"/>
        <v>93.281020107896055</v>
      </c>
      <c r="H59" s="3">
        <f ca="1"/>
        <v>124.94934486019176</v>
      </c>
      <c r="I59" s="3">
        <f ca="1"/>
        <v>94.948186528497388</v>
      </c>
      <c r="J59" s="3">
        <f ca="1"/>
        <v>90.979782270606563</v>
      </c>
      <c r="K59" s="3">
        <f ca="1"/>
        <v>162.06509539842881</v>
      </c>
      <c r="L59" s="3">
        <f ca="1"/>
        <v>114.94203826185903</v>
      </c>
      <c r="M59" s="3">
        <f ca="1"/>
        <v>94.97803163444641</v>
      </c>
      <c r="N59" s="3">
        <f ca="1"/>
        <v>99.419931732037682</v>
      </c>
      <c r="O59" s="3">
        <f ca="1"/>
        <v>117.72890484739688</v>
      </c>
      <c r="P59" s="3">
        <f ca="1"/>
        <v>114.27498121712992</v>
      </c>
    </row>
    <row r="60" spans="1:16" x14ac:dyDescent="0.25">
      <c r="A60" vm="886">
        <f ca="1"/>
        <v>45008</v>
      </c>
      <c r="B60" s="3">
        <f ca="1"/>
        <v>110.40581299698394</v>
      </c>
      <c r="C60" s="3">
        <f ca="1"/>
        <v>92.965982329591483</v>
      </c>
      <c r="D60" s="3">
        <f ca="1"/>
        <v>95.393169181890414</v>
      </c>
      <c r="E60" s="3">
        <f ca="1"/>
        <v>97.769156159068771</v>
      </c>
      <c r="F60" s="3">
        <f ca="1"/>
        <v>94.999010358250317</v>
      </c>
      <c r="G60" s="3">
        <f ca="1"/>
        <v>92.128494359980422</v>
      </c>
      <c r="H60" s="3">
        <f ca="1"/>
        <v>125.11144130757796</v>
      </c>
      <c r="I60" s="3">
        <f ca="1"/>
        <v>91.612694300518115</v>
      </c>
      <c r="J60" s="3">
        <f ca="1"/>
        <v>89.813374805598798</v>
      </c>
      <c r="K60" s="3">
        <f ca="1"/>
        <v>160.1811768478436</v>
      </c>
      <c r="L60" s="3">
        <f ca="1"/>
        <v>112.76580613043167</v>
      </c>
      <c r="M60" s="3">
        <f ca="1"/>
        <v>94.086115992970136</v>
      </c>
      <c r="N60" s="3">
        <f ca="1"/>
        <v>98.192783699453344</v>
      </c>
      <c r="O60" s="3">
        <f ca="1"/>
        <v>115.98967684021555</v>
      </c>
      <c r="P60" s="3">
        <f ca="1"/>
        <v>113.65305952082808</v>
      </c>
    </row>
    <row r="61" spans="1:16" x14ac:dyDescent="0.25">
      <c r="A61" vm="902">
        <f ca="1"/>
        <v>45009</v>
      </c>
      <c r="B61" s="3">
        <f ca="1"/>
        <v>109.82314230874704</v>
      </c>
      <c r="C61" s="3">
        <f ca="1"/>
        <v>90.89589824576376</v>
      </c>
      <c r="D61" s="3">
        <f ca="1"/>
        <v>95.186656076251026</v>
      </c>
      <c r="E61" s="3">
        <f ca="1"/>
        <v>97.758379135682631</v>
      </c>
      <c r="F61" s="3">
        <f ca="1"/>
        <v>94.86705812495876</v>
      </c>
      <c r="G61" s="3">
        <f ca="1"/>
        <v>91.760666993624369</v>
      </c>
      <c r="H61" s="3">
        <f ca="1"/>
        <v>127.772524652168</v>
      </c>
      <c r="I61" s="3">
        <f ca="1"/>
        <v>90.932642487046607</v>
      </c>
      <c r="J61" s="3">
        <f ca="1"/>
        <v>85.925349922239548</v>
      </c>
      <c r="K61" s="3">
        <f ca="1"/>
        <v>163.76463043129718</v>
      </c>
      <c r="L61" s="3">
        <f ca="1"/>
        <v>113.05739278856409</v>
      </c>
      <c r="M61" s="3">
        <f ca="1"/>
        <v>94.459578207381398</v>
      </c>
      <c r="N61" s="3">
        <f ca="1"/>
        <v>97.983372772391178</v>
      </c>
      <c r="O61" s="3">
        <f ca="1"/>
        <v>118.4919210053861</v>
      </c>
      <c r="P61" s="3">
        <f ca="1"/>
        <v>115.89448201018445</v>
      </c>
    </row>
    <row r="62" spans="1:16" x14ac:dyDescent="0.25">
      <c r="A62" vm="917">
        <f ca="1"/>
        <v>45012</v>
      </c>
      <c r="B62" s="3">
        <f ca="1"/>
        <v>109.97737866739797</v>
      </c>
      <c r="C62" s="3">
        <f ca="1"/>
        <v>90.5074907166332</v>
      </c>
      <c r="D62" s="3">
        <f ca="1"/>
        <v>96.743447180301843</v>
      </c>
      <c r="E62" s="3">
        <f ca="1"/>
        <v>99.795236555663237</v>
      </c>
      <c r="F62" s="3">
        <f ca="1"/>
        <v>96.80015834267995</v>
      </c>
      <c r="G62" s="3">
        <f ca="1"/>
        <v>93.624325649828393</v>
      </c>
      <c r="H62" s="3">
        <f ca="1"/>
        <v>125.34107794137509</v>
      </c>
      <c r="I62" s="3">
        <f ca="1"/>
        <v>91.483160621761641</v>
      </c>
      <c r="J62" s="3">
        <f ca="1"/>
        <v>86.003110419906733</v>
      </c>
      <c r="K62" s="3">
        <f ca="1"/>
        <v>165.15151515151521</v>
      </c>
      <c r="L62" s="3">
        <f ca="1"/>
        <v>114.34464120617308</v>
      </c>
      <c r="M62" s="3">
        <f ca="1"/>
        <v>95.760105448154675</v>
      </c>
      <c r="N62" s="3">
        <f ca="1"/>
        <v>99.373861328084033</v>
      </c>
      <c r="O62" s="3">
        <f ca="1"/>
        <v>118.31238779174159</v>
      </c>
      <c r="P62" s="3">
        <f ca="1"/>
        <v>117.10910760497531</v>
      </c>
    </row>
    <row r="63" spans="1:16" x14ac:dyDescent="0.25">
      <c r="A63" vm="933">
        <f ca="1"/>
        <v>45013</v>
      </c>
      <c r="B63" s="3">
        <f ca="1"/>
        <v>111.27639155470261</v>
      </c>
      <c r="C63" s="3">
        <f ca="1"/>
        <v>92.80379017456994</v>
      </c>
      <c r="D63" s="3">
        <f ca="1"/>
        <v>97.45830023828438</v>
      </c>
      <c r="E63" s="3">
        <f ca="1"/>
        <v>100.39874986528712</v>
      </c>
      <c r="F63" s="3">
        <f ca="1"/>
        <v>96.292142244507488</v>
      </c>
      <c r="G63" s="3">
        <f ca="1"/>
        <v>94.654242275625364</v>
      </c>
      <c r="H63" s="3">
        <f ca="1"/>
        <v>122.46386600027012</v>
      </c>
      <c r="I63" s="3">
        <f ca="1"/>
        <v>93.102331606217604</v>
      </c>
      <c r="J63" s="3">
        <f ca="1"/>
        <v>88.102643856920736</v>
      </c>
      <c r="K63" s="3">
        <f ca="1"/>
        <v>162.61022927689601</v>
      </c>
      <c r="L63" s="3">
        <f ca="1"/>
        <v>115.5323234478344</v>
      </c>
      <c r="M63" s="3">
        <f ca="1"/>
        <v>96.436731107205659</v>
      </c>
      <c r="N63" s="3">
        <f ca="1"/>
        <v>99.133038761962524</v>
      </c>
      <c r="O63" s="3">
        <f ca="1"/>
        <v>114.96858168761231</v>
      </c>
      <c r="P63" s="3">
        <f ca="1"/>
        <v>115.36021370732108</v>
      </c>
    </row>
    <row r="64" spans="1:16" x14ac:dyDescent="0.25">
      <c r="A64" vm="949">
        <f ca="1"/>
        <v>45014</v>
      </c>
      <c r="B64" s="3">
        <f ca="1"/>
        <v>112.33205374280242</v>
      </c>
      <c r="C64" s="3">
        <f ca="1"/>
        <v>93.469631653079489</v>
      </c>
      <c r="D64" s="3">
        <f ca="1"/>
        <v>97.569499602859437</v>
      </c>
      <c r="E64" s="3">
        <f ca="1"/>
        <v>99.854510184287022</v>
      </c>
      <c r="F64" s="3">
        <f ca="1"/>
        <v>96.56264432275519</v>
      </c>
      <c r="G64" s="3">
        <f ca="1"/>
        <v>94.139283962726893</v>
      </c>
      <c r="H64" s="3">
        <f ca="1"/>
        <v>122.66648655950287</v>
      </c>
      <c r="I64" s="3">
        <f ca="1"/>
        <v>94.268134715025894</v>
      </c>
      <c r="J64" s="3">
        <f ca="1"/>
        <v>88.880248833592574</v>
      </c>
      <c r="K64" s="3">
        <f ca="1"/>
        <v>160.87862754529428</v>
      </c>
      <c r="L64" s="3">
        <f ca="1"/>
        <v>116.1226086338098</v>
      </c>
      <c r="M64" s="3">
        <f ca="1"/>
        <v>96.344463971880529</v>
      </c>
      <c r="N64" s="3">
        <f ca="1"/>
        <v>98.724687454191283</v>
      </c>
      <c r="O64" s="3">
        <f ca="1"/>
        <v>113.36400359066438</v>
      </c>
      <c r="P64" s="3">
        <f ca="1"/>
        <v>114.88020702896731</v>
      </c>
    </row>
    <row r="65" spans="1:16" x14ac:dyDescent="0.25">
      <c r="A65" vm="964">
        <f ca="1"/>
        <v>45015</v>
      </c>
      <c r="B65" s="3">
        <f ca="1"/>
        <v>114.53591993419261</v>
      </c>
      <c r="C65" s="3">
        <f ca="1"/>
        <v>95.074480344871716</v>
      </c>
      <c r="D65" s="3">
        <f ca="1"/>
        <v>98.268467037331234</v>
      </c>
      <c r="E65" s="3">
        <f ca="1"/>
        <v>101.01304019829716</v>
      </c>
      <c r="F65" s="3">
        <f ca="1"/>
        <v>96.859536847661175</v>
      </c>
      <c r="G65" s="3">
        <f ca="1"/>
        <v>94.825895046591526</v>
      </c>
      <c r="H65" s="3">
        <f ca="1"/>
        <v>125.30055382952854</v>
      </c>
      <c r="I65" s="3">
        <f ca="1"/>
        <v>95.82253886010362</v>
      </c>
      <c r="J65" s="3">
        <f ca="1"/>
        <v>91.718506998444838</v>
      </c>
      <c r="K65" s="3">
        <f ca="1"/>
        <v>164.62241462241468</v>
      </c>
      <c r="L65" s="3">
        <f ca="1"/>
        <v>117.67299623070905</v>
      </c>
      <c r="M65" s="3">
        <f ca="1"/>
        <v>98.277680140597582</v>
      </c>
      <c r="N65" s="3">
        <f ca="1"/>
        <v>99.300567503612257</v>
      </c>
      <c r="O65" s="3">
        <f ca="1"/>
        <v>113.76795332136456</v>
      </c>
      <c r="P65" s="3">
        <f ca="1"/>
        <v>117.0840637782786</v>
      </c>
    </row>
    <row r="66" spans="1:16" x14ac:dyDescent="0.25">
      <c r="A66" vm="980">
        <f ca="1"/>
        <v>45016</v>
      </c>
      <c r="B66" s="3">
        <f ca="1"/>
        <v>115.35851384699765</v>
      </c>
      <c r="C66" s="3">
        <f ca="1"/>
        <v>96.043365060395203</v>
      </c>
      <c r="D66" s="3">
        <f ca="1"/>
        <v>98.252581413820522</v>
      </c>
      <c r="E66" s="3">
        <f ca="1"/>
        <v>101.7351007651686</v>
      </c>
      <c r="F66" s="3">
        <f ca="1"/>
        <v>97.281783994194129</v>
      </c>
      <c r="G66" s="3">
        <f ca="1"/>
        <v>95.242766061795052</v>
      </c>
      <c r="H66" s="3">
        <f ca="1"/>
        <v>124.90882074834522</v>
      </c>
      <c r="I66" s="3">
        <f ca="1"/>
        <v>95.531088082901547</v>
      </c>
      <c r="J66" s="3">
        <f ca="1"/>
        <v>93.584758942457285</v>
      </c>
      <c r="K66" s="3">
        <f ca="1"/>
        <v>166.61856661856669</v>
      </c>
      <c r="L66" s="3">
        <f ca="1"/>
        <v>118.42685442002703</v>
      </c>
      <c r="M66" s="3">
        <f ca="1"/>
        <v>98.818101933216198</v>
      </c>
      <c r="N66" s="3">
        <f ca="1"/>
        <v>99.089062467279462</v>
      </c>
      <c r="O66" s="3">
        <f ca="1"/>
        <v>113.20691202872543</v>
      </c>
      <c r="P66" s="3">
        <f ca="1"/>
        <v>118.56164955338505</v>
      </c>
    </row>
    <row r="67" spans="1:16" x14ac:dyDescent="0.25">
      <c r="A67" vm="995">
        <f ca="1"/>
        <v>45019</v>
      </c>
      <c r="B67" s="3">
        <f ca="1"/>
        <v>115.20085001371002</v>
      </c>
      <c r="C67" s="3">
        <f ca="1"/>
        <v>96.49152759400738</v>
      </c>
      <c r="D67" s="3">
        <f ca="1"/>
        <v>98.538522637013529</v>
      </c>
      <c r="E67" s="3">
        <f ca="1"/>
        <v>103.07145166505005</v>
      </c>
      <c r="F67" s="3">
        <f ca="1"/>
        <v>98.099887840601738</v>
      </c>
      <c r="G67" s="3">
        <f ca="1"/>
        <v>94.825895046591512</v>
      </c>
      <c r="H67" s="3">
        <f ca="1"/>
        <v>125.65176279886528</v>
      </c>
      <c r="I67" s="3">
        <f ca="1"/>
        <v>96.955958549222785</v>
      </c>
      <c r="J67" s="3">
        <f ca="1"/>
        <v>93.934681181959618</v>
      </c>
      <c r="K67" s="3">
        <f ca="1"/>
        <v>169.90540323873662</v>
      </c>
      <c r="L67" s="3">
        <f ca="1"/>
        <v>118.51219685655359</v>
      </c>
      <c r="M67" s="3">
        <f ca="1"/>
        <v>99.24868189806682</v>
      </c>
      <c r="N67" s="3">
        <f ca="1"/>
        <v>98.99482755010149</v>
      </c>
      <c r="O67" s="3">
        <f ca="1"/>
        <v>116.39362657091574</v>
      </c>
      <c r="P67" s="3">
        <f ca="1"/>
        <v>120.335587277736</v>
      </c>
    </row>
    <row r="68" spans="1:16" x14ac:dyDescent="0.25">
      <c r="A68" vm="1011">
        <f ca="1"/>
        <v>45020</v>
      </c>
      <c r="B68" s="3">
        <f ca="1"/>
        <v>116.24965725253647</v>
      </c>
      <c r="C68" s="3">
        <f ca="1"/>
        <v>96.380554014255793</v>
      </c>
      <c r="D68" s="3">
        <f ca="1"/>
        <v>99.126290706910268</v>
      </c>
      <c r="E68" s="3">
        <f ca="1"/>
        <v>102.66192477637671</v>
      </c>
      <c r="F68" s="3">
        <f ca="1"/>
        <v>98.640891997097071</v>
      </c>
      <c r="G68" s="3">
        <f ca="1"/>
        <v>95.267287886218782</v>
      </c>
      <c r="H68" s="3">
        <f ca="1"/>
        <v>125.408618127786</v>
      </c>
      <c r="I68" s="3">
        <f ca="1"/>
        <v>96.664507772020713</v>
      </c>
      <c r="J68" s="3">
        <f ca="1"/>
        <v>93.157076205287765</v>
      </c>
      <c r="K68" s="3">
        <f ca="1"/>
        <v>170.81128747795421</v>
      </c>
      <c r="L68" s="3">
        <f ca="1"/>
        <v>117.9076879311571</v>
      </c>
      <c r="M68" s="3">
        <f ca="1"/>
        <v>99.042179261862955</v>
      </c>
      <c r="N68" s="3">
        <f ca="1"/>
        <v>101.90354532699509</v>
      </c>
      <c r="O68" s="3">
        <f ca="1"/>
        <v>117.10053859964104</v>
      </c>
      <c r="P68" s="3">
        <f ca="1"/>
        <v>119.88897236831117</v>
      </c>
    </row>
    <row r="69" spans="1:16" x14ac:dyDescent="0.25">
      <c r="A69" vm="1027">
        <f ca="1"/>
        <v>45021</v>
      </c>
      <c r="B69" s="3">
        <f ca="1"/>
        <v>109.89854675075416</v>
      </c>
      <c r="C69" s="3">
        <f ca="1"/>
        <v>90.584318579538134</v>
      </c>
      <c r="D69" s="3">
        <f ca="1"/>
        <v>98.824463860206535</v>
      </c>
      <c r="E69" s="3">
        <f ca="1"/>
        <v>103.06606315335699</v>
      </c>
      <c r="F69" s="3">
        <f ca="1"/>
        <v>99.115920036946648</v>
      </c>
      <c r="G69" s="3">
        <f ca="1"/>
        <v>94.678764100049094</v>
      </c>
      <c r="H69" s="3">
        <f ca="1"/>
        <v>124.50357962987974</v>
      </c>
      <c r="I69" s="3">
        <f ca="1"/>
        <v>95.563471502590659</v>
      </c>
      <c r="J69" s="3">
        <f ca="1"/>
        <v>90.046656298600368</v>
      </c>
      <c r="K69" s="3">
        <f ca="1"/>
        <v>172.13403880070555</v>
      </c>
      <c r="L69" s="3">
        <f ca="1"/>
        <v>115.67456084204538</v>
      </c>
      <c r="M69" s="3">
        <f ca="1"/>
        <v>95.883128295254863</v>
      </c>
      <c r="N69" s="3">
        <f ca="1"/>
        <v>102.30561430695447</v>
      </c>
      <c r="O69" s="3">
        <f ca="1"/>
        <v>117.50448833034122</v>
      </c>
      <c r="P69" s="3">
        <f ca="1"/>
        <v>119.86810251273057</v>
      </c>
    </row>
    <row r="70" spans="1:16" x14ac:dyDescent="0.25">
      <c r="A70" vm="1043">
        <f ca="1"/>
        <v>45022</v>
      </c>
      <c r="B70" s="3">
        <f ca="1"/>
        <v>107.13600219358389</v>
      </c>
      <c r="C70" s="3">
        <f ca="1"/>
        <v>88.283750906995564</v>
      </c>
      <c r="D70" s="3">
        <f ca="1"/>
        <v>99.761715647339159</v>
      </c>
      <c r="E70" s="3">
        <f ca="1"/>
        <v>103.59413729927788</v>
      </c>
      <c r="F70" s="3">
        <f ca="1"/>
        <v>99.79547403839814</v>
      </c>
      <c r="G70" s="3">
        <f ca="1"/>
        <v>95.684158901422322</v>
      </c>
      <c r="H70" s="3">
        <f ca="1"/>
        <v>121.84249628528971</v>
      </c>
      <c r="I70" s="3">
        <f ca="1"/>
        <v>94.851036269430026</v>
      </c>
      <c r="J70" s="3">
        <f ca="1"/>
        <v>91.757387247278444</v>
      </c>
      <c r="K70" s="3">
        <f ca="1"/>
        <v>169.53663620330295</v>
      </c>
      <c r="L70" s="3">
        <f ca="1"/>
        <v>113.72590854135552</v>
      </c>
      <c r="M70" s="3">
        <f ca="1"/>
        <v>97.293497363796163</v>
      </c>
      <c r="N70" s="3">
        <f ca="1"/>
        <v>102.60926015119463</v>
      </c>
      <c r="O70" s="3">
        <f ca="1"/>
        <v>117.22396768402164</v>
      </c>
      <c r="P70" s="3">
        <f ca="1"/>
        <v>118.68269471575252</v>
      </c>
    </row>
    <row r="71" spans="1:16" x14ac:dyDescent="0.25">
      <c r="A71" vm="1059">
        <f ca="1"/>
        <v>45026</v>
      </c>
      <c r="B71" s="3">
        <f ca="1"/>
        <v>107.09829997258035</v>
      </c>
      <c r="C71" s="3">
        <f ca="1"/>
        <v>87.754492295872595</v>
      </c>
      <c r="D71" s="3">
        <f ca="1"/>
        <v>99.825258141382065</v>
      </c>
      <c r="E71" s="3">
        <f ca="1"/>
        <v>104.05216079318886</v>
      </c>
      <c r="F71" s="3">
        <f ca="1"/>
        <v>100.42884475819758</v>
      </c>
      <c r="G71" s="3">
        <f ca="1"/>
        <v>95.978420794507173</v>
      </c>
      <c r="H71" s="3">
        <f ca="1"/>
        <v>121.89652843441843</v>
      </c>
      <c r="I71" s="3">
        <f ca="1"/>
        <v>97.215025906735718</v>
      </c>
      <c r="J71" s="3">
        <f ca="1"/>
        <v>93.312597200622136</v>
      </c>
      <c r="K71" s="3">
        <f ca="1"/>
        <v>173.24033990700667</v>
      </c>
      <c r="L71" s="3">
        <f ca="1"/>
        <v>113.17118270393287</v>
      </c>
      <c r="M71" s="3">
        <f ca="1"/>
        <v>98.699472759226751</v>
      </c>
      <c r="N71" s="3">
        <f ca="1"/>
        <v>102.64695411806584</v>
      </c>
      <c r="O71" s="3">
        <f ca="1"/>
        <v>121.65619389587084</v>
      </c>
      <c r="P71" s="3">
        <f ca="1"/>
        <v>121.71299774605555</v>
      </c>
    </row>
    <row r="72" spans="1:16" x14ac:dyDescent="0.25">
      <c r="A72" vm="1074">
        <f ca="1"/>
        <v>45027</v>
      </c>
      <c r="B72" s="3">
        <f ca="1"/>
        <v>108.02371812448602</v>
      </c>
      <c r="C72" s="3">
        <f ca="1"/>
        <v>89.862990311152799</v>
      </c>
      <c r="D72" s="3">
        <f ca="1"/>
        <v>99.586973788721224</v>
      </c>
      <c r="E72" s="3">
        <f ca="1"/>
        <v>103.58874878758482</v>
      </c>
      <c r="F72" s="3">
        <f ca="1"/>
        <v>99.597545688460841</v>
      </c>
      <c r="G72" s="3">
        <f ca="1"/>
        <v>95.880333496812227</v>
      </c>
      <c r="H72" s="3">
        <f ca="1"/>
        <v>120.24854788599211</v>
      </c>
      <c r="I72" s="3">
        <f ca="1"/>
        <v>97.117875647668356</v>
      </c>
      <c r="J72" s="3">
        <f ca="1"/>
        <v>91.213063763608147</v>
      </c>
      <c r="K72" s="3">
        <f ca="1"/>
        <v>172.15808882475559</v>
      </c>
      <c r="L72" s="3">
        <f ca="1"/>
        <v>114.88514330417468</v>
      </c>
      <c r="M72" s="3">
        <f ca="1"/>
        <v>98.681898066783873</v>
      </c>
      <c r="N72" s="3">
        <f ca="1"/>
        <v>104.02487801813493</v>
      </c>
      <c r="O72" s="3">
        <f ca="1"/>
        <v>119.43447037701985</v>
      </c>
      <c r="P72" s="3">
        <f ca="1"/>
        <v>120.79055012939304</v>
      </c>
    </row>
    <row r="73" spans="1:16" x14ac:dyDescent="0.25">
      <c r="A73" vm="1088">
        <f ca="1"/>
        <v>45028</v>
      </c>
      <c r="B73" s="3">
        <f ca="1"/>
        <v>108.98683849739525</v>
      </c>
      <c r="C73" s="3">
        <f ca="1"/>
        <v>89.956891032481067</v>
      </c>
      <c r="D73" s="3">
        <f ca="1"/>
        <v>99.412231930103275</v>
      </c>
      <c r="E73" s="3">
        <f ca="1"/>
        <v>105.26996443582279</v>
      </c>
      <c r="F73" s="3">
        <f ca="1"/>
        <v>99.399617338523512</v>
      </c>
      <c r="G73" s="3">
        <f ca="1"/>
        <v>96.24816086316828</v>
      </c>
      <c r="H73" s="3">
        <f ca="1"/>
        <v>120.54572470620013</v>
      </c>
      <c r="I73" s="3">
        <f ca="1"/>
        <v>98.154145077720173</v>
      </c>
      <c r="J73" s="3">
        <f ca="1"/>
        <v>95.645412130637709</v>
      </c>
      <c r="K73" s="3">
        <f ca="1"/>
        <v>171.43658810325488</v>
      </c>
      <c r="L73" s="3">
        <f ca="1"/>
        <v>116.44264277078446</v>
      </c>
      <c r="M73" s="3">
        <f ca="1"/>
        <v>100.2460456942004</v>
      </c>
      <c r="N73" s="3">
        <f ca="1"/>
        <v>102.15902665801094</v>
      </c>
      <c r="O73" s="3">
        <f ca="1"/>
        <v>118.21140035906652</v>
      </c>
      <c r="P73" s="3">
        <f ca="1"/>
        <v>118.0524250772184</v>
      </c>
    </row>
    <row r="74" spans="1:16" x14ac:dyDescent="0.25">
      <c r="A74" vm="1103">
        <f ca="1"/>
        <v>45029</v>
      </c>
      <c r="B74" s="3">
        <f ca="1"/>
        <v>111.228406909789</v>
      </c>
      <c r="C74" s="3">
        <f ca="1"/>
        <v>89.888599598787792</v>
      </c>
      <c r="D74" s="3">
        <f ca="1"/>
        <v>99.586973788721224</v>
      </c>
      <c r="E74" s="3">
        <f ca="1"/>
        <v>104.27308977260475</v>
      </c>
      <c r="F74" s="3">
        <f ca="1"/>
        <v>99.670119416771186</v>
      </c>
      <c r="G74" s="3">
        <f ca="1"/>
        <v>96.321726336439482</v>
      </c>
      <c r="H74" s="3">
        <f ca="1"/>
        <v>117.34431987032281</v>
      </c>
      <c r="I74" s="3">
        <f ca="1"/>
        <v>97.66839378238339</v>
      </c>
      <c r="J74" s="3">
        <f ca="1"/>
        <v>93.390357698289336</v>
      </c>
      <c r="K74" s="3">
        <f ca="1"/>
        <v>171.556838223505</v>
      </c>
      <c r="L74" s="3">
        <f ca="1"/>
        <v>117.34585022402392</v>
      </c>
      <c r="M74" s="3">
        <f ca="1"/>
        <v>99.481546572935017</v>
      </c>
      <c r="N74" s="3">
        <f ca="1"/>
        <v>102.21347349904711</v>
      </c>
      <c r="O74" s="3">
        <f ca="1"/>
        <v>117.41472172351894</v>
      </c>
      <c r="P74" s="3">
        <f ca="1"/>
        <v>118.32790717088231</v>
      </c>
    </row>
    <row r="75" spans="1:16" x14ac:dyDescent="0.25">
      <c r="A75" vm="1119">
        <f ca="1"/>
        <v>45030</v>
      </c>
      <c r="B75" s="3">
        <f ca="1"/>
        <v>109.52495201535523</v>
      </c>
      <c r="C75" s="3">
        <f ca="1"/>
        <v>89.969695676298556</v>
      </c>
      <c r="D75" s="3">
        <f ca="1"/>
        <v>100.31771247021447</v>
      </c>
      <c r="E75" s="3">
        <f ca="1"/>
        <v>105.14064015518908</v>
      </c>
      <c r="F75" s="3">
        <f ca="1"/>
        <v>100.13195223329161</v>
      </c>
      <c r="G75" s="3">
        <f ca="1"/>
        <v>96.051986267778375</v>
      </c>
      <c r="H75" s="3">
        <f ca="1"/>
        <v>117.58746454140208</v>
      </c>
      <c r="I75" s="3">
        <f ca="1"/>
        <v>98.510362694300483</v>
      </c>
      <c r="J75" s="3">
        <f ca="1"/>
        <v>96.111975116640807</v>
      </c>
      <c r="K75" s="3">
        <f ca="1"/>
        <v>176.64742664742676</v>
      </c>
      <c r="L75" s="3">
        <f ca="1"/>
        <v>117.3742977028661</v>
      </c>
      <c r="M75" s="3">
        <f ca="1"/>
        <v>99.38488576449916</v>
      </c>
      <c r="N75" s="3">
        <f ca="1"/>
        <v>103.05949364437828</v>
      </c>
      <c r="O75" s="3">
        <f ca="1"/>
        <v>120.54533213644535</v>
      </c>
      <c r="P75" s="3">
        <f ca="1"/>
        <v>120.97837882961842</v>
      </c>
    </row>
    <row r="76" spans="1:16" x14ac:dyDescent="0.25">
      <c r="A76" vm="1132">
        <f ca="1"/>
        <v>45033</v>
      </c>
      <c r="B76" s="3">
        <f ca="1"/>
        <v>109.37414313134097</v>
      </c>
      <c r="C76" s="3">
        <f ca="1"/>
        <v>90.008109607751038</v>
      </c>
      <c r="D76" s="3">
        <f ca="1"/>
        <v>100.15885623510725</v>
      </c>
      <c r="E76" s="3">
        <f ca="1"/>
        <v>100.51190861084163</v>
      </c>
      <c r="F76" s="3">
        <f ca="1"/>
        <v>99.623936135119138</v>
      </c>
      <c r="G76" s="3">
        <f ca="1"/>
        <v>95.880333496812213</v>
      </c>
      <c r="H76" s="3">
        <f ca="1"/>
        <v>117.79008510063483</v>
      </c>
      <c r="I76" s="3">
        <f ca="1"/>
        <v>98.63989637305697</v>
      </c>
      <c r="J76" s="3">
        <f ca="1"/>
        <v>96.111975116640807</v>
      </c>
      <c r="K76" s="3">
        <f ca="1"/>
        <v>177.56132756132769</v>
      </c>
      <c r="L76" s="3">
        <f ca="1"/>
        <v>118.0712609344997</v>
      </c>
      <c r="M76" s="3">
        <f ca="1"/>
        <v>100.27680140597543</v>
      </c>
      <c r="N76" s="3">
        <f ca="1"/>
        <v>102.19043829707026</v>
      </c>
      <c r="O76" s="3">
        <f ca="1"/>
        <v>122.16113105924607</v>
      </c>
      <c r="P76" s="3">
        <f ca="1"/>
        <v>119.43400951665407</v>
      </c>
    </row>
    <row r="77" spans="1:16" x14ac:dyDescent="0.25">
      <c r="A77" vm="1147">
        <f ca="1"/>
        <v>45034</v>
      </c>
      <c r="B77" s="3">
        <f ca="1"/>
        <v>111.53345215245422</v>
      </c>
      <c r="C77" s="3">
        <f ca="1"/>
        <v>92.564770156643434</v>
      </c>
      <c r="D77" s="3">
        <f ca="1"/>
        <v>100.81016679904688</v>
      </c>
      <c r="E77" s="3">
        <f ca="1"/>
        <v>101.37945899342594</v>
      </c>
      <c r="F77" s="3">
        <f ca="1"/>
        <v>99.656924193442038</v>
      </c>
      <c r="G77" s="3">
        <f ca="1"/>
        <v>96.959293771456629</v>
      </c>
      <c r="H77" s="3">
        <f ca="1"/>
        <v>118.85722004592725</v>
      </c>
      <c r="I77" s="3">
        <f ca="1"/>
        <v>98.607512953367845</v>
      </c>
      <c r="J77" s="3">
        <f ca="1"/>
        <v>99.533437013996959</v>
      </c>
      <c r="K77" s="3">
        <f ca="1"/>
        <v>175.45294211960891</v>
      </c>
      <c r="L77" s="3">
        <f ca="1"/>
        <v>118.66154612047509</v>
      </c>
      <c r="M77" s="3">
        <f ca="1"/>
        <v>100.91388400702991</v>
      </c>
      <c r="N77" s="3">
        <f ca="1"/>
        <v>102.53596632672284</v>
      </c>
      <c r="O77" s="3">
        <f ca="1"/>
        <v>118.90709156193905</v>
      </c>
      <c r="P77" s="3">
        <f ca="1"/>
        <v>120.54428583354196</v>
      </c>
    </row>
    <row r="78" spans="1:16" x14ac:dyDescent="0.25">
      <c r="A78" vm="1162">
        <f ca="1"/>
        <v>45035</v>
      </c>
      <c r="B78" s="3">
        <f ca="1"/>
        <v>111.29010145324938</v>
      </c>
      <c r="C78" s="3">
        <f ca="1"/>
        <v>92.859276964445726</v>
      </c>
      <c r="D78" s="3">
        <f ca="1"/>
        <v>100.96902303415412</v>
      </c>
      <c r="E78" s="3">
        <f ca="1"/>
        <v>99.024679383554201</v>
      </c>
      <c r="F78" s="3">
        <f ca="1"/>
        <v>99.762485980075269</v>
      </c>
      <c r="G78" s="3">
        <f ca="1"/>
        <v>96.763119176066738</v>
      </c>
      <c r="H78" s="3">
        <f ca="1"/>
        <v>119.05984060516001</v>
      </c>
      <c r="I78" s="3">
        <f ca="1"/>
        <v>98.477979274611371</v>
      </c>
      <c r="J78" s="3">
        <f ca="1"/>
        <v>97.822706065318883</v>
      </c>
      <c r="K78" s="3">
        <f ca="1"/>
        <v>174.67532467532476</v>
      </c>
      <c r="L78" s="3">
        <f ca="1"/>
        <v>119.3300618732665</v>
      </c>
      <c r="M78" s="3">
        <f ca="1"/>
        <v>99.890158172232006</v>
      </c>
      <c r="N78" s="3">
        <f ca="1"/>
        <v>105.00073293824462</v>
      </c>
      <c r="O78" s="3">
        <f ca="1"/>
        <v>117.25763016158</v>
      </c>
      <c r="P78" s="3">
        <f ca="1"/>
        <v>120.36480507554882</v>
      </c>
    </row>
    <row r="79" spans="1:16" x14ac:dyDescent="0.25">
      <c r="A79" vm="1178">
        <f ca="1"/>
        <v>45036</v>
      </c>
      <c r="B79" s="3">
        <f ca="1"/>
        <v>110.85481217439005</v>
      </c>
      <c r="C79" s="3">
        <f ca="1"/>
        <v>94.229373852917277</v>
      </c>
      <c r="D79" s="3">
        <f ca="1"/>
        <v>101.1596505162828</v>
      </c>
      <c r="E79" s="3">
        <f ca="1"/>
        <v>100.63045586808916</v>
      </c>
      <c r="F79" s="3">
        <f ca="1"/>
        <v>99.782278815069006</v>
      </c>
      <c r="G79" s="3">
        <f ca="1"/>
        <v>96.787641000490467</v>
      </c>
      <c r="H79" s="3">
        <f ca="1"/>
        <v>117.83060921248136</v>
      </c>
      <c r="I79" s="3">
        <f ca="1"/>
        <v>98.963730569948154</v>
      </c>
      <c r="J79" s="3">
        <f ca="1"/>
        <v>99.339035769828996</v>
      </c>
      <c r="K79" s="3">
        <f ca="1"/>
        <v>172.91967291967302</v>
      </c>
      <c r="L79" s="3">
        <f ca="1"/>
        <v>118.06414906478915</v>
      </c>
      <c r="M79" s="3">
        <f ca="1"/>
        <v>100.11862917398949</v>
      </c>
      <c r="N79" s="3">
        <f ca="1"/>
        <v>103.69191464410603</v>
      </c>
      <c r="O79" s="3">
        <f ca="1"/>
        <v>116.89856373429095</v>
      </c>
      <c r="P79" s="3">
        <f ca="1"/>
        <v>120.39819684447778</v>
      </c>
    </row>
    <row r="80" spans="1:16" x14ac:dyDescent="0.25">
      <c r="A80" vm="1192">
        <f ca="1"/>
        <v>45037</v>
      </c>
      <c r="B80" s="3">
        <f ca="1"/>
        <v>109.44954757334808</v>
      </c>
      <c r="C80" s="3">
        <f ca="1"/>
        <v>93.960476332749963</v>
      </c>
      <c r="D80" s="3">
        <f ca="1"/>
        <v>101.60444797458302</v>
      </c>
      <c r="E80" s="3">
        <f ca="1"/>
        <v>99.924560836296934</v>
      </c>
      <c r="F80" s="3">
        <f ca="1"/>
        <v>99.524971960150481</v>
      </c>
      <c r="G80" s="3">
        <f ca="1"/>
        <v>96.640510053948034</v>
      </c>
      <c r="H80" s="3">
        <f ca="1"/>
        <v>120.61326489261103</v>
      </c>
      <c r="I80" s="3">
        <f ca="1"/>
        <v>99.77331606217615</v>
      </c>
      <c r="J80" s="3">
        <f ca="1"/>
        <v>97.278382581648586</v>
      </c>
      <c r="K80" s="3">
        <f ca="1"/>
        <v>170.81128747795427</v>
      </c>
      <c r="L80" s="3">
        <f ca="1"/>
        <v>118.97446838773917</v>
      </c>
      <c r="M80" s="3">
        <f ca="1"/>
        <v>99.714411247803184</v>
      </c>
      <c r="N80" s="3">
        <f ca="1"/>
        <v>102.73700081670252</v>
      </c>
      <c r="O80" s="3">
        <f ca="1"/>
        <v>118.14407540394984</v>
      </c>
      <c r="P80" s="3">
        <f ca="1"/>
        <v>119.42148760330575</v>
      </c>
    </row>
    <row r="81" spans="1:16" x14ac:dyDescent="0.25">
      <c r="A81" vm="1208">
        <f ca="1"/>
        <v>45040</v>
      </c>
      <c r="B81" s="3">
        <f ca="1"/>
        <v>109.95338634494119</v>
      </c>
      <c r="C81" s="3">
        <f ca="1"/>
        <v>93.409876648597844</v>
      </c>
      <c r="D81" s="3">
        <f ca="1"/>
        <v>101.74741858617953</v>
      </c>
      <c r="E81" s="3">
        <f ca="1"/>
        <v>100.8028882422674</v>
      </c>
      <c r="F81" s="3">
        <f ca="1"/>
        <v>102.96892524905989</v>
      </c>
      <c r="G81" s="3">
        <f ca="1"/>
        <v>96.174595389897036</v>
      </c>
      <c r="H81" s="3">
        <f ca="1"/>
        <v>115.31811427799533</v>
      </c>
      <c r="I81" s="3">
        <f ca="1"/>
        <v>103.04404145077719</v>
      </c>
      <c r="J81" s="3">
        <f ca="1"/>
        <v>96.811819595645474</v>
      </c>
      <c r="K81" s="3">
        <f ca="1"/>
        <v>170.66698733365413</v>
      </c>
      <c r="L81" s="3">
        <f ca="1"/>
        <v>117.9147998008677</v>
      </c>
      <c r="M81" s="3">
        <f ca="1"/>
        <v>99.490333919156441</v>
      </c>
      <c r="N81" s="3">
        <f ca="1"/>
        <v>101.05124285385202</v>
      </c>
      <c r="O81" s="3">
        <f ca="1"/>
        <v>118.27872531418322</v>
      </c>
      <c r="P81" s="3">
        <f ca="1"/>
        <v>119.27539861424154</v>
      </c>
    </row>
    <row r="82" spans="1:16" x14ac:dyDescent="0.25">
      <c r="A82" vm="1223">
        <f ca="1"/>
        <v>45041</v>
      </c>
      <c r="B82" s="3">
        <f ca="1"/>
        <v>110.69372086646571</v>
      </c>
      <c r="C82" s="3">
        <f ca="1"/>
        <v>92.944641256562335</v>
      </c>
      <c r="D82" s="3">
        <f ca="1"/>
        <v>101.58856235107231</v>
      </c>
      <c r="E82" s="3">
        <f ca="1"/>
        <v>101.03459424506943</v>
      </c>
      <c r="F82" s="3">
        <f ca="1"/>
        <v>103.15365837566807</v>
      </c>
      <c r="G82" s="3">
        <f ca="1"/>
        <v>96.07650809220209</v>
      </c>
      <c r="H82" s="3">
        <f ca="1"/>
        <v>114.33202755639599</v>
      </c>
      <c r="I82" s="3">
        <f ca="1"/>
        <v>101.61917098445593</v>
      </c>
      <c r="J82" s="3">
        <f ca="1"/>
        <v>98.13374805598761</v>
      </c>
      <c r="K82" s="3">
        <f ca="1"/>
        <v>170.58682058682072</v>
      </c>
      <c r="L82" s="3">
        <f ca="1"/>
        <v>119.67143161937278</v>
      </c>
      <c r="M82" s="3">
        <f ca="1"/>
        <v>98.585237258348002</v>
      </c>
      <c r="N82" s="3">
        <f ca="1"/>
        <v>100.70990304274068</v>
      </c>
      <c r="O82" s="3">
        <f ca="1"/>
        <v>118.90709156193905</v>
      </c>
      <c r="P82" s="3">
        <f ca="1"/>
        <v>117.60998413890971</v>
      </c>
    </row>
    <row r="83" spans="1:16" x14ac:dyDescent="0.25">
      <c r="A83" vm="1239">
        <f ca="1"/>
        <v>45042</v>
      </c>
      <c r="B83" s="3">
        <f ca="1"/>
        <v>108.68864820400343</v>
      </c>
      <c r="C83" s="3">
        <f ca="1"/>
        <v>91.164795765931075</v>
      </c>
      <c r="D83" s="3">
        <f ca="1"/>
        <v>101.42970611596509</v>
      </c>
      <c r="E83" s="3">
        <f ca="1"/>
        <v>97.984696626791603</v>
      </c>
      <c r="F83" s="3">
        <f ca="1"/>
        <v>103.18004882232637</v>
      </c>
      <c r="G83" s="3">
        <f ca="1"/>
        <v>96.714075527219251</v>
      </c>
      <c r="H83" s="3">
        <f ca="1"/>
        <v>111.15763879508302</v>
      </c>
      <c r="I83" s="3">
        <f ca="1"/>
        <v>100.06476683937822</v>
      </c>
      <c r="J83" s="3">
        <f ca="1"/>
        <v>96.034214618973621</v>
      </c>
      <c r="K83" s="3">
        <f ca="1"/>
        <v>166.38608305274985</v>
      </c>
      <c r="L83" s="3">
        <f ca="1"/>
        <v>118.92468529976534</v>
      </c>
      <c r="M83" s="3">
        <f ca="1"/>
        <v>99.529876977152924</v>
      </c>
      <c r="N83" s="3">
        <f ca="1"/>
        <v>99.591648692228659</v>
      </c>
      <c r="O83" s="3">
        <f ca="1"/>
        <v>116.52827648114909</v>
      </c>
      <c r="P83" s="3">
        <f ca="1"/>
        <v>114.9595124801736</v>
      </c>
    </row>
    <row r="84" spans="1:16" x14ac:dyDescent="0.25">
      <c r="A84" vm="1254">
        <f ca="1"/>
        <v>45043</v>
      </c>
      <c r="B84" s="3">
        <f ca="1"/>
        <v>106.81724705237194</v>
      </c>
      <c r="C84" s="3">
        <f ca="1"/>
        <v>90.729437876136373</v>
      </c>
      <c r="D84" s="3">
        <f ca="1"/>
        <v>100.95313741064339</v>
      </c>
      <c r="E84" s="3">
        <f ca="1"/>
        <v>98.52893630779171</v>
      </c>
      <c r="F84" s="3">
        <f ca="1"/>
        <v>101.98588111103787</v>
      </c>
      <c r="G84" s="3">
        <f ca="1"/>
        <v>96.517900931829359</v>
      </c>
      <c r="H84" s="3">
        <f ca="1"/>
        <v>111.10360664595427</v>
      </c>
      <c r="I84" s="3">
        <f ca="1"/>
        <v>97.603626943005168</v>
      </c>
      <c r="J84" s="3">
        <f ca="1"/>
        <v>95.645412130637709</v>
      </c>
      <c r="K84" s="3">
        <f ca="1"/>
        <v>167.86916786916802</v>
      </c>
      <c r="L84" s="3">
        <f ca="1"/>
        <v>116.68444634094307</v>
      </c>
      <c r="M84" s="3">
        <f ca="1"/>
        <v>99.05096660808438</v>
      </c>
      <c r="N84" s="3">
        <f ca="1"/>
        <v>96.668272150440714</v>
      </c>
      <c r="O84" s="3">
        <f ca="1"/>
        <v>116.37118491921014</v>
      </c>
      <c r="P84" s="3">
        <f ca="1"/>
        <v>123.28658485683273</v>
      </c>
    </row>
    <row r="85" spans="1:16" x14ac:dyDescent="0.25">
      <c r="A85" vm="1268">
        <f ca="1"/>
        <v>45044</v>
      </c>
      <c r="B85" s="3">
        <f ca="1"/>
        <v>110.81025500411312</v>
      </c>
      <c r="C85" s="3">
        <f ca="1"/>
        <v>92.897690895898222</v>
      </c>
      <c r="D85" s="3">
        <f ca="1"/>
        <v>101.15965051628281</v>
      </c>
      <c r="E85" s="3">
        <f ca="1"/>
        <v>100.14548981571281</v>
      </c>
      <c r="F85" s="3">
        <f ca="1"/>
        <v>103.23282971564298</v>
      </c>
      <c r="G85" s="3">
        <f ca="1"/>
        <v>97.302599313388939</v>
      </c>
      <c r="H85" s="3">
        <f ca="1"/>
        <v>113.02174794002424</v>
      </c>
      <c r="I85" s="3">
        <f ca="1"/>
        <v>98.413212435233149</v>
      </c>
      <c r="J85" s="3">
        <f ca="1"/>
        <v>98.289269051321995</v>
      </c>
      <c r="K85" s="3">
        <f ca="1"/>
        <v>191.24579124579142</v>
      </c>
      <c r="L85" s="3">
        <f ca="1"/>
        <v>120.16926249911106</v>
      </c>
      <c r="M85" s="3">
        <f ca="1"/>
        <v>100.4217926186292</v>
      </c>
      <c r="N85" s="3">
        <f ca="1"/>
        <v>97.376081083910861</v>
      </c>
      <c r="O85" s="3">
        <f ca="1"/>
        <v>120.72486535008987</v>
      </c>
      <c r="P85" s="3">
        <f ca="1"/>
        <v>127.23516153268211</v>
      </c>
    </row>
    <row r="86" spans="1:16" x14ac:dyDescent="0.25">
      <c r="A86" vm="1281">
        <f ca="1"/>
        <v>45047</v>
      </c>
      <c r="B86" s="3">
        <f ca="1"/>
        <v>111.35179599670977</v>
      </c>
      <c r="C86" s="3">
        <f ca="1"/>
        <v>92.12941226684876</v>
      </c>
      <c r="D86" s="3">
        <f ca="1"/>
        <v>101.9062748212868</v>
      </c>
      <c r="E86" s="3">
        <f ca="1"/>
        <v>101.60038797284182</v>
      </c>
      <c r="F86" s="3">
        <f ca="1"/>
        <v>103.17345121066178</v>
      </c>
      <c r="G86" s="3">
        <f ca="1"/>
        <v>96.297204512015725</v>
      </c>
      <c r="H86" s="3">
        <f ca="1"/>
        <v>113.87275428880176</v>
      </c>
      <c r="I86" s="3">
        <f ca="1"/>
        <v>99.22279792746113</v>
      </c>
      <c r="J86" s="3">
        <f ca="1"/>
        <v>100.85536547433911</v>
      </c>
      <c r="K86" s="3">
        <f ca="1"/>
        <v>192.6567259900595</v>
      </c>
      <c r="L86" s="3">
        <f ca="1"/>
        <v>120.64575776971769</v>
      </c>
      <c r="M86" s="3">
        <f ca="1"/>
        <v>100.82161687170478</v>
      </c>
      <c r="N86" s="3">
        <f ca="1"/>
        <v>97.260905074026667</v>
      </c>
      <c r="O86" s="3">
        <f ca="1"/>
        <v>120.44434470377031</v>
      </c>
      <c r="P86" s="3">
        <f ca="1"/>
        <v>128.24943651389924</v>
      </c>
    </row>
    <row r="87" spans="1:16" x14ac:dyDescent="0.25">
      <c r="A87" vm="1296">
        <f ca="1"/>
        <v>45048</v>
      </c>
      <c r="B87" s="3">
        <f ca="1"/>
        <v>112.20523718124501</v>
      </c>
      <c r="C87" s="3">
        <f ca="1"/>
        <v>92.381236928592742</v>
      </c>
      <c r="D87" s="3">
        <f ca="1"/>
        <v>102.14455917394763</v>
      </c>
      <c r="E87" s="3">
        <f ca="1"/>
        <v>103.51869813557487</v>
      </c>
      <c r="F87" s="3">
        <f ca="1"/>
        <v>103.29880583228876</v>
      </c>
      <c r="G87" s="3">
        <f ca="1"/>
        <v>97.498773908778844</v>
      </c>
      <c r="H87" s="3">
        <f ca="1"/>
        <v>113.4404970957719</v>
      </c>
      <c r="I87" s="3">
        <f ca="1"/>
        <v>101.360103626943</v>
      </c>
      <c r="J87" s="3">
        <f ca="1"/>
        <v>98.13374805598761</v>
      </c>
      <c r="K87" s="3">
        <f ca="1"/>
        <v>194.94949494949515</v>
      </c>
      <c r="L87" s="3">
        <f ca="1"/>
        <v>120.33994737216419</v>
      </c>
      <c r="M87" s="3">
        <f ca="1"/>
        <v>101.15553602811953</v>
      </c>
      <c r="N87" s="3">
        <f ca="1"/>
        <v>98.303771490796294</v>
      </c>
      <c r="O87" s="3">
        <f ca="1"/>
        <v>120.28725314183136</v>
      </c>
      <c r="P87" s="3">
        <f ca="1"/>
        <v>127.53986142415887</v>
      </c>
    </row>
    <row r="88" spans="1:16" x14ac:dyDescent="0.25">
      <c r="A88" vm="1311">
        <f ca="1"/>
        <v>45049</v>
      </c>
      <c r="B88" s="3">
        <f ca="1"/>
        <v>111.39978064162339</v>
      </c>
      <c r="C88" s="3">
        <f ca="1"/>
        <v>90.456272141363243</v>
      </c>
      <c r="D88" s="3">
        <f ca="1"/>
        <v>101.68387609213669</v>
      </c>
      <c r="E88" s="3">
        <f ca="1"/>
        <v>102.40866472680237</v>
      </c>
      <c r="F88" s="3">
        <f ca="1"/>
        <v>103.2064392689847</v>
      </c>
      <c r="G88" s="3">
        <f ca="1"/>
        <v>96.738597351643008</v>
      </c>
      <c r="H88" s="3">
        <f ca="1"/>
        <v>112.06267729298924</v>
      </c>
      <c r="I88" s="3">
        <f ca="1"/>
        <v>100.61528497409326</v>
      </c>
      <c r="J88" s="3">
        <f ca="1"/>
        <v>101.08864696734065</v>
      </c>
      <c r="K88" s="3">
        <f ca="1"/>
        <v>191.79092512425865</v>
      </c>
      <c r="L88" s="3">
        <f ca="1"/>
        <v>119.56475357371458</v>
      </c>
      <c r="M88" s="3">
        <f ca="1"/>
        <v>100.4217926186292</v>
      </c>
      <c r="N88" s="3">
        <f ca="1"/>
        <v>96.096580319560985</v>
      </c>
      <c r="O88" s="3">
        <f ca="1"/>
        <v>118.17773788150818</v>
      </c>
      <c r="P88" s="3">
        <f ca="1"/>
        <v>127.47725185741707</v>
      </c>
    </row>
    <row r="89" spans="1:16" x14ac:dyDescent="0.25">
      <c r="A89" vm="1326">
        <f ca="1"/>
        <v>45050</v>
      </c>
      <c r="B89" s="3">
        <f ca="1"/>
        <v>110.78283520701963</v>
      </c>
      <c r="C89" s="3">
        <f ca="1"/>
        <v>90.96418967945705</v>
      </c>
      <c r="D89" s="3">
        <f ca="1"/>
        <v>101.11199364575066</v>
      </c>
      <c r="E89" s="3">
        <f ca="1"/>
        <v>101.13158745554469</v>
      </c>
      <c r="F89" s="3">
        <f ca="1"/>
        <v>103.07448703569314</v>
      </c>
      <c r="G89" s="3">
        <f ca="1"/>
        <v>98.700343305541963</v>
      </c>
      <c r="H89" s="3">
        <f ca="1"/>
        <v>111.7114683236525</v>
      </c>
      <c r="I89" s="3">
        <f ca="1"/>
        <v>100.16191709844558</v>
      </c>
      <c r="J89" s="3">
        <f ca="1"/>
        <v>102.56609642301716</v>
      </c>
      <c r="K89" s="3">
        <f ca="1"/>
        <v>190.01924001924021</v>
      </c>
      <c r="L89" s="3">
        <f ca="1"/>
        <v>119.63587227082004</v>
      </c>
      <c r="M89" s="3">
        <f ca="1"/>
        <v>99.077328646748711</v>
      </c>
      <c r="N89" s="3">
        <f ca="1"/>
        <v>94.877808724059136</v>
      </c>
      <c r="O89" s="3">
        <f ca="1"/>
        <v>118.27872531418322</v>
      </c>
      <c r="P89" s="3">
        <f ca="1"/>
        <v>127.05568077468894</v>
      </c>
    </row>
    <row r="90" spans="1:16" x14ac:dyDescent="0.25">
      <c r="A90" vm="1341">
        <f ca="1"/>
        <v>45051</v>
      </c>
      <c r="B90" s="3">
        <f ca="1"/>
        <v>110.46408006580768</v>
      </c>
      <c r="C90" s="3">
        <f ca="1"/>
        <v>89.52580135729221</v>
      </c>
      <c r="D90" s="3">
        <f ca="1"/>
        <v>101.22319301032572</v>
      </c>
      <c r="E90" s="3">
        <f ca="1"/>
        <v>101.77820885871311</v>
      </c>
      <c r="F90" s="3">
        <f ca="1"/>
        <v>102.59945899584358</v>
      </c>
      <c r="G90" s="3">
        <f ca="1"/>
        <v>100.14713094654248</v>
      </c>
      <c r="H90" s="3">
        <f ca="1"/>
        <v>112.77860326894495</v>
      </c>
      <c r="I90" s="3">
        <f ca="1"/>
        <v>101.39248704663213</v>
      </c>
      <c r="J90" s="3">
        <f ca="1"/>
        <v>116.25194401244173</v>
      </c>
      <c r="K90" s="3">
        <f ca="1"/>
        <v>187.20538720538741</v>
      </c>
      <c r="L90" s="3">
        <f ca="1"/>
        <v>117.59476566389307</v>
      </c>
      <c r="M90" s="3">
        <f ca="1"/>
        <v>97.719683655536059</v>
      </c>
      <c r="N90" s="3">
        <f ca="1"/>
        <v>94.639080267208257</v>
      </c>
      <c r="O90" s="3">
        <f ca="1"/>
        <v>117.47082585278287</v>
      </c>
      <c r="P90" s="3">
        <f ca="1"/>
        <v>127.47725185741706</v>
      </c>
    </row>
    <row r="91" spans="1:16" x14ac:dyDescent="0.25">
      <c r="A91" vm="1356">
        <f ca="1"/>
        <v>45054</v>
      </c>
      <c r="B91" s="3">
        <f ca="1"/>
        <v>114.23772964080082</v>
      </c>
      <c r="C91" s="3">
        <f ca="1"/>
        <v>91.160527551325245</v>
      </c>
      <c r="D91" s="3">
        <f ca="1"/>
        <v>101.6997617156474</v>
      </c>
      <c r="E91" s="3">
        <f ca="1"/>
        <v>101.93986420950523</v>
      </c>
      <c r="F91" s="3">
        <f ca="1"/>
        <v>102.94253480240161</v>
      </c>
      <c r="G91" s="3">
        <f ca="1"/>
        <v>101.32417851888185</v>
      </c>
      <c r="H91" s="3">
        <f ca="1"/>
        <v>114.77779278670802</v>
      </c>
      <c r="I91" s="3">
        <f ca="1"/>
        <v>103.17357512953369</v>
      </c>
      <c r="J91" s="3">
        <f ca="1"/>
        <v>118.31259720062212</v>
      </c>
      <c r="K91" s="3">
        <f ca="1"/>
        <v>186.61215327882013</v>
      </c>
      <c r="L91" s="3">
        <f ca="1"/>
        <v>121.66275513832589</v>
      </c>
      <c r="M91" s="3">
        <f ca="1"/>
        <v>98.172231985940272</v>
      </c>
      <c r="N91" s="3">
        <f ca="1"/>
        <v>95.395053713902698</v>
      </c>
      <c r="O91" s="3">
        <f ca="1"/>
        <v>118.45825852782774</v>
      </c>
      <c r="P91" s="3">
        <f ca="1"/>
        <v>129.66441272226388</v>
      </c>
    </row>
    <row r="92" spans="1:16" x14ac:dyDescent="0.25">
      <c r="A92" vm="1372">
        <f ca="1"/>
        <v>45055</v>
      </c>
      <c r="B92" s="3">
        <f ca="1"/>
        <v>114.76556073485071</v>
      </c>
      <c r="C92" s="3">
        <f ca="1"/>
        <v>90.452003926757399</v>
      </c>
      <c r="D92" s="3">
        <f ca="1"/>
        <v>101.54090548054018</v>
      </c>
      <c r="E92" s="3">
        <f ca="1"/>
        <v>101.83209397564382</v>
      </c>
      <c r="F92" s="3">
        <f ca="1"/>
        <v>102.46090915088746</v>
      </c>
      <c r="G92" s="3">
        <f ca="1"/>
        <v>100.73565473271215</v>
      </c>
      <c r="H92" s="3">
        <f ca="1"/>
        <v>115.54775091179246</v>
      </c>
      <c r="I92" s="3">
        <f ca="1"/>
        <v>103.23834196891193</v>
      </c>
      <c r="J92" s="3">
        <f ca="1"/>
        <v>121.15085536547438</v>
      </c>
      <c r="K92" s="3">
        <f ca="1"/>
        <v>187.00497033830388</v>
      </c>
      <c r="L92" s="3">
        <f ca="1"/>
        <v>120.10525567171612</v>
      </c>
      <c r="M92" s="3">
        <f ca="1"/>
        <v>100.26362038664325</v>
      </c>
      <c r="N92" s="3">
        <f ca="1"/>
        <v>94.435951667957923</v>
      </c>
      <c r="O92" s="3">
        <f ca="1"/>
        <v>120.92684021543994</v>
      </c>
      <c r="P92" s="3">
        <f ca="1"/>
        <v>128.8296184990399</v>
      </c>
    </row>
    <row r="93" spans="1:16" x14ac:dyDescent="0.25">
      <c r="A93" vm="1388">
        <f ca="1"/>
        <v>45056</v>
      </c>
      <c r="B93" s="3">
        <f ca="1"/>
        <v>116.22909240471637</v>
      </c>
      <c r="C93" s="3">
        <f ca="1"/>
        <v>89.978232105510244</v>
      </c>
      <c r="D93" s="3">
        <f ca="1"/>
        <v>100.69896743447185</v>
      </c>
      <c r="E93" s="3">
        <f ca="1"/>
        <v>100.82983080073274</v>
      </c>
      <c r="F93" s="3">
        <f ca="1"/>
        <v>101.41188889621965</v>
      </c>
      <c r="G93" s="3">
        <f ca="1"/>
        <v>100.24521824423741</v>
      </c>
      <c r="H93" s="3">
        <f ca="1"/>
        <v>114.89936512224769</v>
      </c>
      <c r="I93" s="3">
        <f ca="1"/>
        <v>103.69170984455961</v>
      </c>
      <c r="J93" s="3">
        <f ca="1"/>
        <v>120.99533437014001</v>
      </c>
      <c r="K93" s="3">
        <f ca="1"/>
        <v>187.08513708513732</v>
      </c>
      <c r="L93" s="3">
        <f ca="1"/>
        <v>121.61297205035207</v>
      </c>
      <c r="M93" s="3">
        <f ca="1"/>
        <v>99.059753954305833</v>
      </c>
      <c r="N93" s="3">
        <f ca="1"/>
        <v>94.662115469185082</v>
      </c>
      <c r="O93" s="3">
        <f ca="1"/>
        <v>120.45556552962306</v>
      </c>
      <c r="P93" s="3">
        <f ca="1"/>
        <v>128.14091326488014</v>
      </c>
    </row>
    <row r="94" spans="1:16" x14ac:dyDescent="0.25">
      <c r="A94" vm="1404">
        <f ca="1"/>
        <v>45057</v>
      </c>
      <c r="B94" s="3">
        <f ca="1"/>
        <v>112.03729092404731</v>
      </c>
      <c r="C94" s="3">
        <f ca="1"/>
        <v>88.945324170899283</v>
      </c>
      <c r="D94" s="3">
        <f ca="1"/>
        <v>100.87370929308979</v>
      </c>
      <c r="E94" s="3">
        <f ca="1"/>
        <v>102.0530229550597</v>
      </c>
      <c r="F94" s="3">
        <f ca="1"/>
        <v>101.62301246948613</v>
      </c>
      <c r="G94" s="3">
        <f ca="1"/>
        <v>99.75478175576265</v>
      </c>
      <c r="H94" s="3">
        <f ca="1"/>
        <v>114.68323652573277</v>
      </c>
      <c r="I94" s="3">
        <f ca="1"/>
        <v>103.01165803108809</v>
      </c>
      <c r="J94" s="3">
        <f ca="1"/>
        <v>119.90668740279942</v>
      </c>
      <c r="K94" s="3">
        <f ca="1"/>
        <v>186.85265351932043</v>
      </c>
      <c r="L94" s="3">
        <f ca="1"/>
        <v>121.9187824479056</v>
      </c>
      <c r="M94" s="3">
        <f ca="1"/>
        <v>99.380492091388419</v>
      </c>
      <c r="N94" s="3">
        <f ca="1"/>
        <v>94.894561598224072</v>
      </c>
      <c r="O94" s="3">
        <f ca="1"/>
        <v>125.39272890484747</v>
      </c>
      <c r="P94" s="3">
        <f ca="1"/>
        <v>130.35729192753979</v>
      </c>
    </row>
    <row r="95" spans="1:16" x14ac:dyDescent="0.25">
      <c r="A95" vm="1420">
        <f ca="1"/>
        <v>45058</v>
      </c>
      <c r="B95" s="3">
        <f ca="1"/>
        <v>111.25239923224582</v>
      </c>
      <c r="C95" s="3">
        <f ca="1"/>
        <v>88.625208075462012</v>
      </c>
      <c r="D95" s="3">
        <f ca="1"/>
        <v>101.44559173947582</v>
      </c>
      <c r="E95" s="3">
        <f ca="1"/>
        <v>112.08104321586366</v>
      </c>
      <c r="F95" s="3">
        <f ca="1"/>
        <v>101.8605264894109</v>
      </c>
      <c r="G95" s="3">
        <f ca="1"/>
        <v>99.681216282491434</v>
      </c>
      <c r="H95" s="3">
        <f ca="1"/>
        <v>112.69755504525187</v>
      </c>
      <c r="I95" s="3">
        <f ca="1"/>
        <v>102.94689119170985</v>
      </c>
      <c r="J95" s="3">
        <f ca="1"/>
        <v>125.66096423017112</v>
      </c>
      <c r="K95" s="3">
        <f ca="1"/>
        <v>189.0251723585059</v>
      </c>
      <c r="L95" s="3">
        <f ca="1"/>
        <v>122.03257236327434</v>
      </c>
      <c r="M95" s="3">
        <f ca="1"/>
        <v>98.800527240773306</v>
      </c>
      <c r="N95" s="3">
        <f ca="1"/>
        <v>94.379410717651126</v>
      </c>
      <c r="O95" s="3">
        <f ca="1"/>
        <v>130.80116696588877</v>
      </c>
      <c r="P95" s="3">
        <f ca="1"/>
        <v>129.43901828199341</v>
      </c>
    </row>
    <row r="96" spans="1:16" x14ac:dyDescent="0.25">
      <c r="A96" vm="1434">
        <f ca="1"/>
        <v>45061</v>
      </c>
      <c r="B96" s="3">
        <f ca="1"/>
        <v>111.04675075404457</v>
      </c>
      <c r="C96" s="3">
        <f ca="1"/>
        <v>89.662384224678803</v>
      </c>
      <c r="D96" s="3">
        <f ca="1"/>
        <v>101.84273232724389</v>
      </c>
      <c r="E96" s="3">
        <f ca="1"/>
        <v>113.61676904838872</v>
      </c>
      <c r="F96" s="3">
        <f ca="1"/>
        <v>102.89635152074958</v>
      </c>
      <c r="G96" s="3">
        <f ca="1"/>
        <v>99.705738106915177</v>
      </c>
      <c r="H96" s="3">
        <f ca="1"/>
        <v>112.69755504525187</v>
      </c>
      <c r="I96" s="3">
        <f ca="1"/>
        <v>103.04404145077721</v>
      </c>
      <c r="J96" s="3">
        <f ca="1"/>
        <v>124.57231726283052</v>
      </c>
      <c r="K96" s="3">
        <f ca="1"/>
        <v>187.43787077120433</v>
      </c>
      <c r="L96" s="3">
        <f ca="1"/>
        <v>123.63985491785795</v>
      </c>
      <c r="M96" s="3">
        <f ca="1"/>
        <v>100.06590509666083</v>
      </c>
      <c r="N96" s="3">
        <f ca="1"/>
        <v>94.40035181035735</v>
      </c>
      <c r="O96" s="3">
        <f ca="1"/>
        <v>131.85592459605036</v>
      </c>
      <c r="P96" s="3">
        <f ca="1"/>
        <v>128.96318557475576</v>
      </c>
    </row>
    <row r="97" spans="1:16" x14ac:dyDescent="0.25">
      <c r="A97" vm="1449">
        <f ca="1"/>
        <v>45062</v>
      </c>
      <c r="B97" s="3">
        <f ca="1"/>
        <v>112.31834384425569</v>
      </c>
      <c r="C97" s="3">
        <f ca="1"/>
        <v>91.105040761449473</v>
      </c>
      <c r="D97" s="3">
        <f ca="1"/>
        <v>101.5726767275616</v>
      </c>
      <c r="E97" s="3">
        <f ca="1"/>
        <v>113.60599202500259</v>
      </c>
      <c r="F97" s="3">
        <f ca="1"/>
        <v>102.92933957907246</v>
      </c>
      <c r="G97" s="3">
        <f ca="1"/>
        <v>98.504168710152072</v>
      </c>
      <c r="H97" s="3">
        <f ca="1"/>
        <v>115.70984735917865</v>
      </c>
      <c r="I97" s="3">
        <f ca="1"/>
        <v>103.65932642487046</v>
      </c>
      <c r="J97" s="3">
        <f ca="1"/>
        <v>125.11664074650083</v>
      </c>
      <c r="K97" s="3">
        <f ca="1"/>
        <v>191.48629148629172</v>
      </c>
      <c r="L97" s="3">
        <f ca="1"/>
        <v>124.32259441007047</v>
      </c>
      <c r="M97" s="3">
        <f ca="1"/>
        <v>101.19947275922674</v>
      </c>
      <c r="N97" s="3">
        <f ca="1"/>
        <v>94.636986157937613</v>
      </c>
      <c r="O97" s="3">
        <f ca="1"/>
        <v>130.73384201077207</v>
      </c>
      <c r="P97" s="3">
        <f ca="1"/>
        <v>129.16771015944562</v>
      </c>
    </row>
    <row r="98" spans="1:16" x14ac:dyDescent="0.25">
      <c r="A98" vm="1465">
        <f ca="1"/>
        <v>45063</v>
      </c>
      <c r="B98" s="3">
        <f ca="1"/>
        <v>110.20701946805607</v>
      </c>
      <c r="C98" s="3">
        <f ca="1"/>
        <v>87.818515514960083</v>
      </c>
      <c r="D98" s="3">
        <f ca="1"/>
        <v>100.42891183478956</v>
      </c>
      <c r="E98" s="3">
        <f ca="1"/>
        <v>112.04332363401218</v>
      </c>
      <c r="F98" s="3">
        <f ca="1"/>
        <v>102.75120406412888</v>
      </c>
      <c r="G98" s="3">
        <f ca="1"/>
        <v>95.635115252574835</v>
      </c>
      <c r="H98" s="3">
        <f ca="1"/>
        <v>116.00702417938668</v>
      </c>
      <c r="I98" s="3">
        <f ca="1"/>
        <v>102.59067357512953</v>
      </c>
      <c r="J98" s="3">
        <f ca="1"/>
        <v>123.56143079315714</v>
      </c>
      <c r="K98" s="3">
        <f ca="1"/>
        <v>191.45422478755836</v>
      </c>
      <c r="L98" s="3">
        <f ca="1"/>
        <v>120.68131711827044</v>
      </c>
      <c r="M98" s="3">
        <f ca="1"/>
        <v>99.60017574692445</v>
      </c>
      <c r="N98" s="3">
        <f ca="1"/>
        <v>93.759554373547104</v>
      </c>
      <c r="O98" s="3">
        <f ca="1"/>
        <v>134.10008976660691</v>
      </c>
      <c r="P98" s="3">
        <f ca="1"/>
        <v>130.11937557392096</v>
      </c>
    </row>
    <row r="99" spans="1:16" x14ac:dyDescent="0.25">
      <c r="A99" vm="1478">
        <f ca="1"/>
        <v>45064</v>
      </c>
      <c r="B99" s="3">
        <f ca="1"/>
        <v>113.42199067726912</v>
      </c>
      <c r="C99" s="3">
        <f ca="1"/>
        <v>89.76482137521873</v>
      </c>
      <c r="D99" s="3">
        <f ca="1"/>
        <v>100.3177124702145</v>
      </c>
      <c r="E99" s="3">
        <f ca="1"/>
        <v>110.90634766677432</v>
      </c>
      <c r="F99" s="3">
        <f ca="1"/>
        <v>102.31576169426677</v>
      </c>
      <c r="G99" s="3">
        <f ca="1"/>
        <v>95.4144188327612</v>
      </c>
      <c r="H99" s="3">
        <f ca="1"/>
        <v>122.76104282047812</v>
      </c>
      <c r="I99" s="3">
        <f ca="1"/>
        <v>103.46502590673575</v>
      </c>
      <c r="J99" s="3">
        <f ca="1"/>
        <v>122.93934681181966</v>
      </c>
      <c r="K99" s="3">
        <f ca="1"/>
        <v>194.39233605900299</v>
      </c>
      <c r="L99" s="3">
        <f ca="1"/>
        <v>120.73110020624426</v>
      </c>
      <c r="M99" s="3">
        <f ca="1"/>
        <v>101.37082601054485</v>
      </c>
      <c r="N99" s="3">
        <f ca="1"/>
        <v>95.763616945532107</v>
      </c>
      <c r="O99" s="3">
        <f ca="1"/>
        <v>135.59245960502702</v>
      </c>
      <c r="P99" s="3">
        <f ca="1"/>
        <v>131.06269304616404</v>
      </c>
    </row>
    <row r="100" spans="1:16" x14ac:dyDescent="0.25">
      <c r="A100" vm="1492">
        <f ca="1"/>
        <v>45065</v>
      </c>
      <c r="B100" s="3">
        <f ca="1"/>
        <v>114.87181244858799</v>
      </c>
      <c r="C100" s="3">
        <f ca="1"/>
        <v>91.779418669170667</v>
      </c>
      <c r="D100" s="3">
        <f ca="1"/>
        <v>99.761715647339201</v>
      </c>
      <c r="E100" s="3">
        <f ca="1"/>
        <v>111.41825627761602</v>
      </c>
      <c r="F100" s="3">
        <f ca="1"/>
        <v>100.63337071979952</v>
      </c>
      <c r="G100" s="3">
        <f ca="1"/>
        <v>95.4144188327612</v>
      </c>
      <c r="H100" s="3">
        <f ca="1"/>
        <v>125.1519654194245</v>
      </c>
      <c r="I100" s="3">
        <f ca="1"/>
        <v>104.88989637305698</v>
      </c>
      <c r="J100" s="3">
        <f ca="1"/>
        <v>125.27216174183519</v>
      </c>
      <c r="K100" s="3">
        <f ca="1"/>
        <v>197.8916145582815</v>
      </c>
      <c r="L100" s="3">
        <f ca="1"/>
        <v>122.24592845459075</v>
      </c>
      <c r="M100" s="3">
        <f ca="1"/>
        <v>101.99912126537788</v>
      </c>
      <c r="N100" s="3">
        <f ca="1"/>
        <v>95.439030008585732</v>
      </c>
      <c r="O100" s="3">
        <f ca="1"/>
        <v>137.82540394973077</v>
      </c>
      <c r="P100" s="3">
        <f ca="1"/>
        <v>132.94932799065023</v>
      </c>
    </row>
    <row r="101" spans="1:16" x14ac:dyDescent="0.25">
      <c r="A101" vm="1507">
        <f ca="1"/>
        <v>45068</v>
      </c>
      <c r="B101" s="3">
        <f ca="1"/>
        <v>114.08006580751312</v>
      </c>
      <c r="C101" s="3">
        <f ca="1"/>
        <v>90.618464296384801</v>
      </c>
      <c r="D101" s="3">
        <f ca="1"/>
        <v>99.809372517871381</v>
      </c>
      <c r="E101" s="3">
        <f ca="1"/>
        <v>110.84168552645748</v>
      </c>
      <c r="F101" s="3">
        <f ca="1"/>
        <v>101.05561786633245</v>
      </c>
      <c r="G101" s="3">
        <f ca="1"/>
        <v>95.806768023540997</v>
      </c>
      <c r="H101" s="3">
        <f ca="1"/>
        <v>125.0574091584492</v>
      </c>
      <c r="I101" s="3">
        <f ca="1"/>
        <v>104.63082901554404</v>
      </c>
      <c r="J101" s="3">
        <f ca="1"/>
        <v>121.0730948678072</v>
      </c>
      <c r="K101" s="3">
        <f ca="1"/>
        <v>196.9215969215972</v>
      </c>
      <c r="L101" s="3">
        <f ca="1"/>
        <v>122.11791479980093</v>
      </c>
      <c r="M101" s="3">
        <f ca="1"/>
        <v>103.37873462214412</v>
      </c>
      <c r="N101" s="3">
        <f ca="1"/>
        <v>95.175172240487399</v>
      </c>
      <c r="O101" s="3">
        <f ca="1"/>
        <v>137.74685816876129</v>
      </c>
      <c r="P101" s="3">
        <f ca="1"/>
        <v>132.87419651056007</v>
      </c>
    </row>
    <row r="102" spans="1:16" x14ac:dyDescent="0.25">
      <c r="A102" vm="1523">
        <f ca="1"/>
        <v>45069</v>
      </c>
      <c r="B102" s="3">
        <f ca="1"/>
        <v>114.52563751028254</v>
      </c>
      <c r="C102" s="3">
        <f ca="1"/>
        <v>91.079431473814481</v>
      </c>
      <c r="D102" s="3">
        <f ca="1"/>
        <v>97.712470214455976</v>
      </c>
      <c r="E102" s="3">
        <f ca="1"/>
        <v>111.49908395301208</v>
      </c>
      <c r="F102" s="3">
        <f ca="1"/>
        <v>98.409975588836915</v>
      </c>
      <c r="G102" s="3">
        <f ca="1"/>
        <v>94.997547817557674</v>
      </c>
      <c r="H102" s="3">
        <f ca="1"/>
        <v>123.89571795218149</v>
      </c>
      <c r="I102" s="3">
        <f ca="1"/>
        <v>103.30310880829013</v>
      </c>
      <c r="J102" s="3">
        <f ca="1"/>
        <v>120.13996889580098</v>
      </c>
      <c r="K102" s="3">
        <f ca="1"/>
        <v>199.07006573673269</v>
      </c>
      <c r="L102" s="3">
        <f ca="1"/>
        <v>121.60586018064156</v>
      </c>
      <c r="M102" s="3">
        <f ca="1"/>
        <v>103.45342706502639</v>
      </c>
      <c r="N102" s="3">
        <f ca="1"/>
        <v>95.223336753711706</v>
      </c>
      <c r="O102" s="3">
        <f ca="1"/>
        <v>140.31642728904853</v>
      </c>
      <c r="P102" s="3">
        <f ca="1"/>
        <v>134.05960430753811</v>
      </c>
    </row>
    <row r="103" spans="1:16" x14ac:dyDescent="0.25">
      <c r="A103" vm="1539">
        <f ca="1"/>
        <v>45070</v>
      </c>
      <c r="B103" s="3">
        <f ca="1"/>
        <v>112.68851110501792</v>
      </c>
      <c r="C103" s="3">
        <f ca="1"/>
        <v>90.259934269495048</v>
      </c>
      <c r="D103" s="3">
        <f ca="1"/>
        <v>97.537728355838027</v>
      </c>
      <c r="E103" s="3">
        <f ca="1"/>
        <v>108.78327405970461</v>
      </c>
      <c r="F103" s="3">
        <f ca="1"/>
        <v>97.347760110839957</v>
      </c>
      <c r="G103" s="3">
        <f ca="1"/>
        <v>94.874938695438985</v>
      </c>
      <c r="H103" s="3">
        <f ca="1"/>
        <v>122.16668918006208</v>
      </c>
      <c r="I103" s="3">
        <f ca="1"/>
        <v>102.36398963730568</v>
      </c>
      <c r="J103" s="3">
        <f ca="1"/>
        <v>122.39502332814936</v>
      </c>
      <c r="K103" s="3">
        <f ca="1"/>
        <v>197.80343113676477</v>
      </c>
      <c r="L103" s="3">
        <f ca="1"/>
        <v>118.49086124742202</v>
      </c>
      <c r="M103" s="3">
        <f ca="1"/>
        <v>103.6511423550088</v>
      </c>
      <c r="N103" s="3">
        <f ca="1"/>
        <v>94.785667916151766</v>
      </c>
      <c r="O103" s="3">
        <f ca="1"/>
        <v>137.52244165170563</v>
      </c>
      <c r="P103" s="3">
        <f ca="1"/>
        <v>131.58861340679513</v>
      </c>
    </row>
    <row r="104" spans="1:16" x14ac:dyDescent="0.25">
      <c r="A104" vm="1555">
        <f ca="1"/>
        <v>45071</v>
      </c>
      <c r="B104" s="3">
        <f ca="1"/>
        <v>110.36811077598037</v>
      </c>
      <c r="C104" s="3">
        <f ca="1"/>
        <v>90.089205685261831</v>
      </c>
      <c r="D104" s="3">
        <f ca="1"/>
        <v>96.711675933280446</v>
      </c>
      <c r="E104" s="3">
        <f ca="1"/>
        <v>108.22286884362531</v>
      </c>
      <c r="F104" s="3">
        <f ca="1"/>
        <v>96.54285148776151</v>
      </c>
      <c r="G104" s="3">
        <f ca="1"/>
        <v>94.948504168710201</v>
      </c>
      <c r="H104" s="3">
        <f ca="1"/>
        <v>121.74794002431442</v>
      </c>
      <c r="I104" s="3">
        <f ca="1"/>
        <v>100.0323834196891</v>
      </c>
      <c r="J104" s="3">
        <f ca="1"/>
        <v>119.44012441679632</v>
      </c>
      <c r="K104" s="3">
        <f ca="1"/>
        <v>199.78354978355009</v>
      </c>
      <c r="L104" s="3">
        <f ca="1"/>
        <v>118.45530189886927</v>
      </c>
      <c r="M104" s="3">
        <f ca="1"/>
        <v>102.06502636203869</v>
      </c>
      <c r="N104" s="3">
        <f ca="1"/>
        <v>94.80451489958736</v>
      </c>
      <c r="O104" s="3">
        <f ca="1"/>
        <v>135.65978456014369</v>
      </c>
      <c r="P104" s="3">
        <f ca="1"/>
        <v>131.00008347942224</v>
      </c>
    </row>
    <row r="105" spans="1:16" x14ac:dyDescent="0.25">
      <c r="A105" vm="1569">
        <f ca="1"/>
        <v>45072</v>
      </c>
      <c r="B105" s="3">
        <f ca="1"/>
        <v>112.12297778996447</v>
      </c>
      <c r="C105" s="3">
        <f ca="1"/>
        <v>91.894660463528083</v>
      </c>
      <c r="D105" s="3">
        <f ca="1"/>
        <v>95.96505162827647</v>
      </c>
      <c r="E105" s="3">
        <f ca="1"/>
        <v>108.42224377626891</v>
      </c>
      <c r="F105" s="3">
        <f ca="1"/>
        <v>95.922675991291214</v>
      </c>
      <c r="G105" s="3">
        <f ca="1"/>
        <v>93.820500245218298</v>
      </c>
      <c r="H105" s="3">
        <f ca="1"/>
        <v>136.36363636363632</v>
      </c>
      <c r="I105" s="3">
        <f ca="1"/>
        <v>100.12953367875646</v>
      </c>
      <c r="J105" s="3">
        <f ca="1"/>
        <v>115.86314152410581</v>
      </c>
      <c r="K105" s="3">
        <f ca="1"/>
        <v>202.57335257335285</v>
      </c>
      <c r="L105" s="3">
        <f ca="1"/>
        <v>122.92866794680326</v>
      </c>
      <c r="M105" s="3">
        <f ca="1"/>
        <v>101.99472759226715</v>
      </c>
      <c r="N105" s="3">
        <f ca="1"/>
        <v>92.733440830942456</v>
      </c>
      <c r="O105" s="3">
        <f ca="1"/>
        <v>138.55475763016165</v>
      </c>
      <c r="P105" s="3">
        <f ca="1"/>
        <v>136.03806661657893</v>
      </c>
    </row>
    <row r="106" spans="1:16" x14ac:dyDescent="0.25">
      <c r="A106" vm="1584">
        <f ca="1"/>
        <v>45076</v>
      </c>
      <c r="B106" s="3">
        <f ca="1"/>
        <v>114.09377570605989</v>
      </c>
      <c r="C106" s="3">
        <f ca="1"/>
        <v>92.547697298220143</v>
      </c>
      <c r="D106" s="3">
        <f ca="1"/>
        <v>95.726767275615629</v>
      </c>
      <c r="E106" s="3">
        <f ca="1"/>
        <v>108.00732837590249</v>
      </c>
      <c r="F106" s="3">
        <f ca="1"/>
        <v>95.929273602955789</v>
      </c>
      <c r="G106" s="3">
        <f ca="1"/>
        <v>94.016674840608204</v>
      </c>
      <c r="H106" s="3">
        <f ca="1"/>
        <v>139.41645278940965</v>
      </c>
      <c r="I106" s="3">
        <f ca="1"/>
        <v>99.77331606217615</v>
      </c>
      <c r="J106" s="3">
        <f ca="1"/>
        <v>120.91757387247284</v>
      </c>
      <c r="K106" s="3">
        <f ca="1"/>
        <v>210.06894340227706</v>
      </c>
      <c r="L106" s="3">
        <f ca="1"/>
        <v>123.74653296351616</v>
      </c>
      <c r="M106" s="3">
        <f ca="1"/>
        <v>102.31985940246048</v>
      </c>
      <c r="N106" s="3">
        <f ca="1"/>
        <v>93.910330241031886</v>
      </c>
      <c r="O106" s="3">
        <f ca="1"/>
        <v>139.82271095152609</v>
      </c>
      <c r="P106" s="3">
        <f ca="1"/>
        <v>138.94732448451447</v>
      </c>
    </row>
    <row r="107" spans="1:16" x14ac:dyDescent="0.25">
      <c r="A107" vm="1600">
        <f ca="1"/>
        <v>45077</v>
      </c>
      <c r="B107" s="3">
        <f ca="1"/>
        <v>113.19234987661103</v>
      </c>
      <c r="C107" s="3">
        <f ca="1"/>
        <v>92.13794869606042</v>
      </c>
      <c r="D107" s="3">
        <f ca="1"/>
        <v>94.96425734710094</v>
      </c>
      <c r="E107" s="3">
        <f ca="1"/>
        <v>107.52775083521924</v>
      </c>
      <c r="F107" s="3">
        <f ca="1"/>
        <v>94.4646038134196</v>
      </c>
      <c r="G107" s="3">
        <f ca="1"/>
        <v>92.815105443845084</v>
      </c>
      <c r="H107" s="3">
        <f ca="1"/>
        <v>137.75496420370118</v>
      </c>
      <c r="I107" s="3">
        <f ca="1"/>
        <v>100.29145077720204</v>
      </c>
      <c r="J107" s="3">
        <f ca="1"/>
        <v>117.65163297045108</v>
      </c>
      <c r="K107" s="3">
        <f ca="1"/>
        <v>210.4537437870774</v>
      </c>
      <c r="L107" s="3">
        <f ca="1"/>
        <v>128.84574354597828</v>
      </c>
      <c r="M107" s="3">
        <f ca="1"/>
        <v>104.15641476274168</v>
      </c>
      <c r="N107" s="3">
        <f ca="1"/>
        <v>93.809812996042055</v>
      </c>
      <c r="O107" s="3">
        <f ca="1"/>
        <v>138.7679533213645</v>
      </c>
      <c r="P107" s="3">
        <f ca="1"/>
        <v>138.24609733700632</v>
      </c>
    </row>
    <row r="108" spans="1:16" x14ac:dyDescent="0.25">
      <c r="A108" vm="1616">
        <f ca="1"/>
        <v>45078</v>
      </c>
      <c r="B108" s="3">
        <f ca="1"/>
        <v>109.82999725802041</v>
      </c>
      <c r="C108" s="3">
        <f ca="1"/>
        <v>90.673951086260601</v>
      </c>
      <c r="D108" s="3">
        <f ca="1"/>
        <v>94.77362986497225</v>
      </c>
      <c r="E108" s="3">
        <f ca="1"/>
        <v>107.75406832632818</v>
      </c>
      <c r="F108" s="3">
        <f ca="1"/>
        <v>94.015966220228336</v>
      </c>
      <c r="G108" s="3">
        <f ca="1"/>
        <v>93.722412947523352</v>
      </c>
      <c r="H108" s="3">
        <f ca="1"/>
        <v>133.17573956504117</v>
      </c>
      <c r="I108" s="3">
        <f ca="1"/>
        <v>99.319948186528478</v>
      </c>
      <c r="J108" s="3">
        <f ca="1"/>
        <v>122.62830482115092</v>
      </c>
      <c r="K108" s="3">
        <f ca="1"/>
        <v>212.21741221741254</v>
      </c>
      <c r="L108" s="3">
        <f ca="1"/>
        <v>126.29258231989196</v>
      </c>
      <c r="M108" s="3">
        <f ca="1"/>
        <v>106.75307557117753</v>
      </c>
      <c r="N108" s="3">
        <f ca="1"/>
        <v>92.980545724875839</v>
      </c>
      <c r="O108" s="3">
        <f ca="1"/>
        <v>137.8702872531419</v>
      </c>
      <c r="P108" s="3">
        <f ca="1"/>
        <v>137.06903748226051</v>
      </c>
    </row>
    <row r="109" spans="1:16" x14ac:dyDescent="0.25">
      <c r="A109" vm="1630">
        <f ca="1"/>
        <v>45079</v>
      </c>
      <c r="B109" s="3">
        <f ca="1"/>
        <v>111.73224568138208</v>
      </c>
      <c r="C109" s="3">
        <f ca="1"/>
        <v>92.406846216227748</v>
      </c>
      <c r="D109" s="3">
        <f ca="1"/>
        <v>95.313741064336838</v>
      </c>
      <c r="E109" s="3">
        <f ca="1"/>
        <v>109.07425369113041</v>
      </c>
      <c r="F109" s="3">
        <f ca="1"/>
        <v>94.979217523256636</v>
      </c>
      <c r="G109" s="3">
        <f ca="1"/>
        <v>93.648847474252136</v>
      </c>
      <c r="H109" s="3">
        <f ca="1"/>
        <v>133.51344049709576</v>
      </c>
      <c r="I109" s="3">
        <f ca="1"/>
        <v>101.61917098445593</v>
      </c>
      <c r="J109" s="3">
        <f ca="1"/>
        <v>127.68273716951798</v>
      </c>
      <c r="K109" s="3">
        <f ca="1"/>
        <v>218.54256854256889</v>
      </c>
      <c r="L109" s="3">
        <f ca="1"/>
        <v>125.20446625417829</v>
      </c>
      <c r="M109" s="3">
        <f ca="1"/>
        <v>106.63444639718807</v>
      </c>
      <c r="N109" s="3">
        <f ca="1"/>
        <v>94.165811572047758</v>
      </c>
      <c r="O109" s="3">
        <f ca="1"/>
        <v>138.82405745062843</v>
      </c>
      <c r="P109" s="3">
        <f ca="1"/>
        <v>138.81793137991474</v>
      </c>
    </row>
    <row r="110" spans="1:16" x14ac:dyDescent="0.25">
      <c r="A110" vm="1644">
        <f ca="1"/>
        <v>45082</v>
      </c>
      <c r="B110" s="3">
        <f ca="1"/>
        <v>116.78434329585974</v>
      </c>
      <c r="C110" s="3">
        <f ca="1"/>
        <v>96.431772589525806</v>
      </c>
      <c r="D110" s="3">
        <f ca="1"/>
        <v>97.156473391580676</v>
      </c>
      <c r="E110" s="3">
        <f ca="1"/>
        <v>110.71774975751687</v>
      </c>
      <c r="F110" s="3">
        <f ca="1"/>
        <v>96.66820610938845</v>
      </c>
      <c r="G110" s="3">
        <f ca="1"/>
        <v>94.433545855811715</v>
      </c>
      <c r="H110" s="3">
        <f ca="1"/>
        <v>133.64852086991758</v>
      </c>
      <c r="I110" s="3">
        <f ca="1"/>
        <v>103.36787564766837</v>
      </c>
      <c r="J110" s="3">
        <f ca="1"/>
        <v>133.2814930015553</v>
      </c>
      <c r="K110" s="3">
        <f ca="1"/>
        <v>218.54256854256889</v>
      </c>
      <c r="L110" s="3">
        <f ca="1"/>
        <v>128.0705497475287</v>
      </c>
      <c r="M110" s="3">
        <f ca="1"/>
        <v>107.82952548330405</v>
      </c>
      <c r="N110" s="3">
        <f ca="1"/>
        <v>95.175172240487427</v>
      </c>
      <c r="O110" s="3">
        <f ca="1"/>
        <v>139.89003590664282</v>
      </c>
      <c r="P110" s="3">
        <f ca="1"/>
        <v>139.99499123466055</v>
      </c>
    </row>
    <row r="111" spans="1:16" x14ac:dyDescent="0.25">
      <c r="A111" vm="1660">
        <f ca="1"/>
        <v>45083</v>
      </c>
      <c r="B111" s="3">
        <f ca="1"/>
        <v>115.63613929256935</v>
      </c>
      <c r="C111" s="3">
        <f ca="1"/>
        <v>95.834222544709547</v>
      </c>
      <c r="D111" s="3">
        <f ca="1"/>
        <v>96.505162827641044</v>
      </c>
      <c r="E111" s="3">
        <f ca="1"/>
        <v>111.03028343571496</v>
      </c>
      <c r="F111" s="3">
        <f ca="1"/>
        <v>96.285544632842957</v>
      </c>
      <c r="G111" s="3">
        <f ca="1"/>
        <v>93.330063756743556</v>
      </c>
      <c r="H111" s="3">
        <f ca="1"/>
        <v>132.44630555180331</v>
      </c>
      <c r="I111" s="3">
        <f ca="1"/>
        <v>104.04792746113986</v>
      </c>
      <c r="J111" s="3">
        <f ca="1"/>
        <v>128.538102643857</v>
      </c>
      <c r="K111" s="3">
        <f ca="1"/>
        <v>217.56453423120121</v>
      </c>
      <c r="L111" s="3">
        <f ca="1"/>
        <v>127.4660408221322</v>
      </c>
      <c r="M111" s="3">
        <f ca="1"/>
        <v>107.28031634446398</v>
      </c>
      <c r="N111" s="3">
        <f ca="1"/>
        <v>95.217054425899846</v>
      </c>
      <c r="O111" s="3">
        <f ca="1"/>
        <v>141.39362657091573</v>
      </c>
      <c r="P111" s="3">
        <f ca="1"/>
        <v>140.22038567493101</v>
      </c>
    </row>
    <row r="112" spans="1:16" x14ac:dyDescent="0.25">
      <c r="A112" vm="1674">
        <f ca="1"/>
        <v>45084</v>
      </c>
      <c r="B112" s="3">
        <f ca="1"/>
        <v>118.78941595832202</v>
      </c>
      <c r="C112" s="3">
        <f ca="1"/>
        <v>96.65371974902898</v>
      </c>
      <c r="D112" s="3">
        <f ca="1"/>
        <v>95.806195393169247</v>
      </c>
      <c r="E112" s="3">
        <f ca="1"/>
        <v>111.70384739734877</v>
      </c>
      <c r="F112" s="3">
        <f ca="1"/>
        <v>95.328890941479244</v>
      </c>
      <c r="G112" s="3">
        <f ca="1"/>
        <v>92.667974497302652</v>
      </c>
      <c r="H112" s="3">
        <f ca="1"/>
        <v>134.83722815074967</v>
      </c>
      <c r="I112" s="3">
        <f ca="1"/>
        <v>103.43264248704659</v>
      </c>
      <c r="J112" s="3">
        <f ca="1"/>
        <v>133.2814930015553</v>
      </c>
      <c r="K112" s="3">
        <f ca="1"/>
        <v>217.34808401475101</v>
      </c>
      <c r="L112" s="3">
        <f ca="1"/>
        <v>129.16577768295292</v>
      </c>
      <c r="M112" s="3">
        <f ca="1"/>
        <v>106.54657293497365</v>
      </c>
      <c r="N112" s="3">
        <f ca="1"/>
        <v>96.042133478524804</v>
      </c>
      <c r="O112" s="3">
        <f ca="1"/>
        <v>142.85233393177748</v>
      </c>
      <c r="P112" s="3">
        <f ca="1"/>
        <v>139.27706820268793</v>
      </c>
    </row>
    <row r="113" spans="1:16" x14ac:dyDescent="0.25">
      <c r="A113" vm="1689">
        <f ca="1"/>
        <v>45085</v>
      </c>
      <c r="B113" s="3">
        <f ca="1"/>
        <v>123.02577460926801</v>
      </c>
      <c r="C113" s="3">
        <f ca="1"/>
        <v>98.851850271031623</v>
      </c>
      <c r="D113" s="3">
        <f ca="1"/>
        <v>95.663224781572737</v>
      </c>
      <c r="E113" s="3">
        <f ca="1"/>
        <v>112.0433236340122</v>
      </c>
      <c r="F113" s="3">
        <f ca="1"/>
        <v>95.533416903081147</v>
      </c>
      <c r="G113" s="3">
        <f ca="1"/>
        <v>90.608141245708737</v>
      </c>
      <c r="H113" s="3">
        <f ca="1"/>
        <v>135.47210590301228</v>
      </c>
      <c r="I113" s="3">
        <f ca="1"/>
        <v>105.5051813471502</v>
      </c>
      <c r="J113" s="3">
        <f ca="1"/>
        <v>135.03110419906696</v>
      </c>
      <c r="K113" s="3">
        <f ca="1"/>
        <v>211.31954465287834</v>
      </c>
      <c r="L113" s="3">
        <f ca="1"/>
        <v>130.80861958608926</v>
      </c>
      <c r="M113" s="3">
        <f ca="1"/>
        <v>106.90685413005272</v>
      </c>
      <c r="N113" s="3">
        <f ca="1"/>
        <v>96.695495570958784</v>
      </c>
      <c r="O113" s="3">
        <f ca="1"/>
        <v>137.45511669658896</v>
      </c>
      <c r="P113" s="3">
        <f ca="1"/>
        <v>134.97787795308446</v>
      </c>
    </row>
    <row r="114" spans="1:16" x14ac:dyDescent="0.25">
      <c r="A114" vm="1705">
        <f ca="1"/>
        <v>45086</v>
      </c>
      <c r="B114" s="3">
        <f ca="1"/>
        <v>121.95982999725814</v>
      </c>
      <c r="C114" s="3">
        <f ca="1"/>
        <v>99.696956762986048</v>
      </c>
      <c r="D114" s="3">
        <f ca="1"/>
        <v>95.901509134233578</v>
      </c>
      <c r="E114" s="3">
        <f ca="1"/>
        <v>111.1164996228041</v>
      </c>
      <c r="F114" s="3">
        <f ca="1"/>
        <v>96.615425216071827</v>
      </c>
      <c r="G114" s="3">
        <f ca="1"/>
        <v>91.19666503187841</v>
      </c>
      <c r="H114" s="3">
        <f ca="1"/>
        <v>134.99932459813587</v>
      </c>
      <c r="I114" s="3">
        <f ca="1"/>
        <v>105.44041450777198</v>
      </c>
      <c r="J114" s="3">
        <f ca="1"/>
        <v>136.39191290824272</v>
      </c>
      <c r="K114" s="3">
        <f ca="1"/>
        <v>212.10517877184574</v>
      </c>
      <c r="L114" s="3">
        <f ca="1"/>
        <v>130.41035488229863</v>
      </c>
      <c r="M114" s="3">
        <f ca="1"/>
        <v>107.38576449912127</v>
      </c>
      <c r="N114" s="3">
        <f ca="1"/>
        <v>97.202270014449255</v>
      </c>
      <c r="O114" s="3">
        <f ca="1"/>
        <v>137.0511669658888</v>
      </c>
      <c r="P114" s="3">
        <f ca="1"/>
        <v>135.76258452291501</v>
      </c>
    </row>
    <row r="115" spans="1:16" x14ac:dyDescent="0.25">
      <c r="A115" vm="1720">
        <f ca="1"/>
        <v>45089</v>
      </c>
      <c r="B115" s="3">
        <f ca="1"/>
        <v>122.06265423635877</v>
      </c>
      <c r="C115" s="3">
        <f ca="1"/>
        <v>99.304281019249643</v>
      </c>
      <c r="D115" s="3">
        <f ca="1"/>
        <v>96.060365369340815</v>
      </c>
      <c r="E115" s="3">
        <f ca="1"/>
        <v>111.5314150231705</v>
      </c>
      <c r="F115" s="3">
        <f ca="1"/>
        <v>96.694596556046747</v>
      </c>
      <c r="G115" s="3">
        <f ca="1"/>
        <v>90.436488474742575</v>
      </c>
      <c r="H115" s="3">
        <f ca="1"/>
        <v>138.86262326084019</v>
      </c>
      <c r="I115" s="3">
        <f ca="1"/>
        <v>104.63082901554399</v>
      </c>
      <c r="J115" s="3">
        <f ca="1"/>
        <v>134.13685847589437</v>
      </c>
      <c r="K115" s="3">
        <f ca="1"/>
        <v>212.40179573512935</v>
      </c>
      <c r="L115" s="3">
        <f ca="1"/>
        <v>130.02631391792909</v>
      </c>
      <c r="M115" s="3">
        <f ca="1"/>
        <v>106.15553602811951</v>
      </c>
      <c r="N115" s="3">
        <f ca="1"/>
        <v>96.892341842397229</v>
      </c>
      <c r="O115" s="3">
        <f ca="1"/>
        <v>137.15215439856382</v>
      </c>
      <c r="P115" s="3">
        <f ca="1"/>
        <v>136.40120210368136</v>
      </c>
    </row>
    <row r="116" spans="1:16" x14ac:dyDescent="0.25">
      <c r="A116" vm="1734">
        <f ca="1"/>
        <v>45090</v>
      </c>
      <c r="B116" s="3">
        <f ca="1"/>
        <v>122.90581299698393</v>
      </c>
      <c r="C116" s="3">
        <f ca="1"/>
        <v>100.6316957616629</v>
      </c>
      <c r="D116" s="3">
        <f ca="1"/>
        <v>95.647339158062024</v>
      </c>
      <c r="E116" s="3">
        <f ca="1"/>
        <v>112.02176958723992</v>
      </c>
      <c r="F116" s="3">
        <f ca="1"/>
        <v>95.935871214620349</v>
      </c>
      <c r="G116" s="3">
        <f ca="1"/>
        <v>89.700833742030454</v>
      </c>
      <c r="H116" s="3">
        <f ca="1"/>
        <v>144.61704714305012</v>
      </c>
      <c r="I116" s="3">
        <f ca="1"/>
        <v>104.92227979274607</v>
      </c>
      <c r="J116" s="3">
        <f ca="1"/>
        <v>134.83670295489904</v>
      </c>
      <c r="K116" s="3">
        <f ca="1"/>
        <v>217.29196729196761</v>
      </c>
      <c r="L116" s="3">
        <f ca="1"/>
        <v>131.83984069411852</v>
      </c>
      <c r="M116" s="3">
        <f ca="1"/>
        <v>107.39894551845342</v>
      </c>
      <c r="N116" s="3">
        <f ca="1"/>
        <v>96.301803028081906</v>
      </c>
      <c r="O116" s="3">
        <f ca="1"/>
        <v>138.73429084380618</v>
      </c>
      <c r="P116" s="3">
        <f ca="1"/>
        <v>138.51323148843801</v>
      </c>
    </row>
    <row r="117" spans="1:16" x14ac:dyDescent="0.25">
      <c r="A117" vm="1749">
        <f ca="1"/>
        <v>45091</v>
      </c>
      <c r="B117" s="3">
        <f ca="1"/>
        <v>126.20989854675086</v>
      </c>
      <c r="C117" s="3">
        <f ca="1"/>
        <v>101.39997439071237</v>
      </c>
      <c r="D117" s="3">
        <f ca="1"/>
        <v>96.028594122319376</v>
      </c>
      <c r="E117" s="3">
        <f ca="1"/>
        <v>111.86011423644781</v>
      </c>
      <c r="F117" s="3">
        <f ca="1"/>
        <v>95.704954806360135</v>
      </c>
      <c r="G117" s="3">
        <f ca="1"/>
        <v>90.240313879352684</v>
      </c>
      <c r="H117" s="3">
        <f ca="1"/>
        <v>144.26583817371335</v>
      </c>
      <c r="I117" s="3">
        <f ca="1"/>
        <v>105.76424870466316</v>
      </c>
      <c r="J117" s="3">
        <f ca="1"/>
        <v>137.01399688958023</v>
      </c>
      <c r="K117" s="3">
        <f ca="1"/>
        <v>217.50841750841784</v>
      </c>
      <c r="L117" s="3">
        <f ca="1"/>
        <v>131.56958964511773</v>
      </c>
      <c r="M117" s="3">
        <f ca="1"/>
        <v>108.70386643233742</v>
      </c>
      <c r="N117" s="3">
        <f ca="1"/>
        <v>94.731221075115599</v>
      </c>
      <c r="O117" s="3">
        <f ca="1"/>
        <v>138.94748653500903</v>
      </c>
      <c r="P117" s="3">
        <f ca="1"/>
        <v>139.53168044077125</v>
      </c>
    </row>
    <row r="118" spans="1:16" x14ac:dyDescent="0.25">
      <c r="A118" vm="1763">
        <f ca="1"/>
        <v>45092</v>
      </c>
      <c r="B118" s="3">
        <f ca="1"/>
        <v>125.97683027145611</v>
      </c>
      <c r="C118" s="3">
        <f ca="1"/>
        <v>100.77254684365531</v>
      </c>
      <c r="D118" s="3">
        <f ca="1"/>
        <v>96.679904686259007</v>
      </c>
      <c r="E118" s="3">
        <f ca="1"/>
        <v>114.83996120271573</v>
      </c>
      <c r="F118" s="3">
        <f ca="1"/>
        <v>96.60222999274265</v>
      </c>
      <c r="G118" s="3">
        <f ca="1"/>
        <v>89.921530161844103</v>
      </c>
      <c r="H118" s="3">
        <f ca="1"/>
        <v>145.08982844792649</v>
      </c>
      <c r="I118" s="3">
        <f ca="1"/>
        <v>107.1567357512953</v>
      </c>
      <c r="J118" s="3">
        <f ca="1"/>
        <v>137.40279937791615</v>
      </c>
      <c r="K118" s="3">
        <f ca="1"/>
        <v>219.13580246913617</v>
      </c>
      <c r="L118" s="3">
        <f ca="1"/>
        <v>131.63359647251264</v>
      </c>
      <c r="M118" s="3">
        <f ca="1"/>
        <v>108.5281195079086</v>
      </c>
      <c r="N118" s="3">
        <f ca="1"/>
        <v>94.768915041986801</v>
      </c>
      <c r="O118" s="3">
        <f ca="1"/>
        <v>138.76795332136453</v>
      </c>
      <c r="P118" s="3">
        <f ca="1"/>
        <v>140.8047416311878</v>
      </c>
    </row>
    <row r="119" spans="1:16" x14ac:dyDescent="0.25">
      <c r="A119" vm="1779">
        <f ca="1"/>
        <v>45093</v>
      </c>
      <c r="B119" s="3">
        <f ca="1"/>
        <v>128.20126131066641</v>
      </c>
      <c r="C119" s="3">
        <f ca="1"/>
        <v>102.64202484100902</v>
      </c>
      <c r="D119" s="3">
        <f ca="1"/>
        <v>97.267672756155733</v>
      </c>
      <c r="E119" s="3">
        <f ca="1"/>
        <v>115.06089018213162</v>
      </c>
      <c r="F119" s="3">
        <f ca="1"/>
        <v>97.94154516065187</v>
      </c>
      <c r="G119" s="3">
        <f ca="1"/>
        <v>90.411966650318845</v>
      </c>
      <c r="H119" s="3">
        <f ca="1"/>
        <v>142.0775361339997</v>
      </c>
      <c r="I119" s="3">
        <f ca="1"/>
        <v>108.6787564766839</v>
      </c>
      <c r="J119" s="3">
        <f ca="1"/>
        <v>137.48055987558331</v>
      </c>
      <c r="K119" s="3">
        <f ca="1"/>
        <v>225.93394260060958</v>
      </c>
      <c r="L119" s="3">
        <f ca="1"/>
        <v>132.13853922196148</v>
      </c>
      <c r="M119" s="3">
        <f ca="1"/>
        <v>109.48594024604569</v>
      </c>
      <c r="N119" s="3">
        <f ca="1"/>
        <v>95.480912193998179</v>
      </c>
      <c r="O119" s="3">
        <f ca="1"/>
        <v>140.36131059245969</v>
      </c>
      <c r="P119" s="3">
        <f ca="1"/>
        <v>145.29593455213279</v>
      </c>
    </row>
    <row r="120" spans="1:16" x14ac:dyDescent="0.25">
      <c r="A120" vm="1793">
        <f ca="1"/>
        <v>45097</v>
      </c>
      <c r="B120" s="3">
        <f ca="1"/>
        <v>126.50808884014269</v>
      </c>
      <c r="C120" s="3">
        <f ca="1"/>
        <v>102.25788552648429</v>
      </c>
      <c r="D120" s="3">
        <f ca="1"/>
        <v>97.966640190627544</v>
      </c>
      <c r="E120" s="3">
        <f ca="1"/>
        <v>115.10399827567618</v>
      </c>
      <c r="F120" s="3">
        <f ca="1"/>
        <v>98.660684832090823</v>
      </c>
      <c r="G120" s="3">
        <f ca="1"/>
        <v>90.706228543403697</v>
      </c>
      <c r="H120" s="3">
        <f ca="1"/>
        <v>141.25354585978653</v>
      </c>
      <c r="I120" s="3">
        <f ca="1"/>
        <v>107.54533678756472</v>
      </c>
      <c r="J120" s="3">
        <f ca="1"/>
        <v>137.01399688958023</v>
      </c>
      <c r="K120" s="3">
        <f ca="1"/>
        <v>225.26855860189227</v>
      </c>
      <c r="L120" s="3">
        <f ca="1"/>
        <v>132.24521726761967</v>
      </c>
      <c r="M120" s="3">
        <f ca="1"/>
        <v>108.09753954305799</v>
      </c>
      <c r="N120" s="3">
        <f ca="1"/>
        <v>96.155215379138383</v>
      </c>
      <c r="O120" s="3">
        <f ca="1"/>
        <v>138.61086175942557</v>
      </c>
      <c r="P120" s="3">
        <f ca="1"/>
        <v>142.88755321813161</v>
      </c>
    </row>
    <row r="121" spans="1:16" x14ac:dyDescent="0.25">
      <c r="A121" vm="1808">
        <f ca="1"/>
        <v>45098</v>
      </c>
      <c r="B121" s="3">
        <f ca="1"/>
        <v>127.4506443652318</v>
      </c>
      <c r="C121" s="3">
        <f ca="1"/>
        <v>102.24934909727263</v>
      </c>
      <c r="D121" s="3">
        <f ca="1"/>
        <v>97.315329626687898</v>
      </c>
      <c r="E121" s="3">
        <f ca="1"/>
        <v>115.09322125229004</v>
      </c>
      <c r="F121" s="3">
        <f ca="1"/>
        <v>97.750214422379145</v>
      </c>
      <c r="G121" s="3">
        <f ca="1"/>
        <v>89.798921039725414</v>
      </c>
      <c r="H121" s="3">
        <f ca="1"/>
        <v>140.45657166013774</v>
      </c>
      <c r="I121" s="3">
        <f ca="1"/>
        <v>106.57383419689114</v>
      </c>
      <c r="J121" s="3">
        <f ca="1"/>
        <v>140.59097978227072</v>
      </c>
      <c r="K121" s="3">
        <f ca="1"/>
        <v>227.93811127144494</v>
      </c>
      <c r="L121" s="3">
        <f ca="1"/>
        <v>132.10297987340874</v>
      </c>
      <c r="M121" s="3">
        <f ca="1"/>
        <v>107.09138840070298</v>
      </c>
      <c r="N121" s="3">
        <f ca="1"/>
        <v>95.989780746759266</v>
      </c>
      <c r="O121" s="3">
        <f ca="1"/>
        <v>138.12836624775591</v>
      </c>
      <c r="P121" s="3">
        <f ca="1"/>
        <v>141.10109358043232</v>
      </c>
    </row>
    <row r="122" spans="1:16" x14ac:dyDescent="0.25">
      <c r="A122" vm="1823">
        <f ca="1"/>
        <v>45099</v>
      </c>
      <c r="B122" s="3">
        <f ca="1"/>
        <v>128.27323827803681</v>
      </c>
      <c r="C122" s="3">
        <f ca="1"/>
        <v>103.16274702292033</v>
      </c>
      <c r="D122" s="3">
        <f ca="1"/>
        <v>97.585385226370178</v>
      </c>
      <c r="E122" s="3">
        <f ca="1"/>
        <v>114.27416747494334</v>
      </c>
      <c r="F122" s="3">
        <f ca="1"/>
        <v>98.594708715445066</v>
      </c>
      <c r="G122" s="3">
        <f ca="1"/>
        <v>88.450220696419876</v>
      </c>
      <c r="H122" s="3">
        <f ca="1"/>
        <v>137.29569093610692</v>
      </c>
      <c r="I122" s="3">
        <f ca="1"/>
        <v>107.28626943005179</v>
      </c>
      <c r="J122" s="3">
        <f ca="1"/>
        <v>143.07931570762065</v>
      </c>
      <c r="K122" s="3">
        <f ca="1"/>
        <v>225.78162578162613</v>
      </c>
      <c r="L122" s="3">
        <f ca="1"/>
        <v>135.79404025318257</v>
      </c>
      <c r="M122" s="3">
        <f ca="1"/>
        <v>108.207381370826</v>
      </c>
      <c r="N122" s="3">
        <f ca="1"/>
        <v>97.593868448055517</v>
      </c>
      <c r="O122" s="3">
        <f ca="1"/>
        <v>135.2670556552963</v>
      </c>
      <c r="P122" s="3">
        <f ca="1"/>
        <v>139.2269805492945</v>
      </c>
    </row>
    <row r="123" spans="1:16" x14ac:dyDescent="0.25">
      <c r="A123" vm="1836">
        <f ca="1"/>
        <v>45100</v>
      </c>
      <c r="B123" s="3">
        <f ca="1"/>
        <v>127.16273649575</v>
      </c>
      <c r="C123" s="3">
        <f ca="1"/>
        <v>102.7914123522131</v>
      </c>
      <c r="D123" s="3">
        <f ca="1"/>
        <v>98.25258141382055</v>
      </c>
      <c r="E123" s="3">
        <f ca="1"/>
        <v>114.36038366203248</v>
      </c>
      <c r="F123" s="3">
        <f ca="1"/>
        <v>98.931186910338511</v>
      </c>
      <c r="G123" s="3">
        <f ca="1"/>
        <v>88.450220696419876</v>
      </c>
      <c r="H123" s="3">
        <f ca="1"/>
        <v>139.30838849115216</v>
      </c>
      <c r="I123" s="3">
        <f ca="1"/>
        <v>107.22150259067354</v>
      </c>
      <c r="J123" s="3">
        <f ca="1"/>
        <v>146.03421461897372</v>
      </c>
      <c r="K123" s="3">
        <f ca="1"/>
        <v>228.37902837902871</v>
      </c>
      <c r="L123" s="3">
        <f ca="1"/>
        <v>134.63480549036342</v>
      </c>
      <c r="M123" s="3">
        <f ca="1"/>
        <v>107.76362038664323</v>
      </c>
      <c r="N123" s="3">
        <f ca="1"/>
        <v>97.047305928423242</v>
      </c>
      <c r="O123" s="3">
        <f ca="1"/>
        <v>138.18447037701984</v>
      </c>
      <c r="P123" s="3">
        <f ca="1"/>
        <v>141.79397278570821</v>
      </c>
    </row>
    <row r="124" spans="1:16" x14ac:dyDescent="0.25">
      <c r="A124" vm="1851">
        <f ca="1"/>
        <v>45103</v>
      </c>
      <c r="B124" s="3">
        <f ca="1"/>
        <v>126.85769125308479</v>
      </c>
      <c r="C124" s="3">
        <f ca="1"/>
        <v>103.14567416449701</v>
      </c>
      <c r="D124" s="3">
        <f ca="1"/>
        <v>97.220015885623567</v>
      </c>
      <c r="E124" s="3">
        <f ca="1"/>
        <v>113.59521500161648</v>
      </c>
      <c r="F124" s="3">
        <f ca="1"/>
        <v>97.948142772316487</v>
      </c>
      <c r="G124" s="3">
        <f ca="1"/>
        <v>88.057871505640065</v>
      </c>
      <c r="H124" s="3">
        <f ca="1"/>
        <v>137.66040794272584</v>
      </c>
      <c r="I124" s="3">
        <f ca="1"/>
        <v>106.02331606217614</v>
      </c>
      <c r="J124" s="3">
        <f ca="1"/>
        <v>137.09175738724741</v>
      </c>
      <c r="K124" s="3">
        <f ca="1"/>
        <v>231.46544813211514</v>
      </c>
      <c r="L124" s="3">
        <f ca="1"/>
        <v>132.71460066851577</v>
      </c>
      <c r="M124" s="3">
        <f ca="1"/>
        <v>106.49384885764498</v>
      </c>
      <c r="N124" s="3">
        <f ca="1"/>
        <v>96.195003455280201</v>
      </c>
      <c r="O124" s="3">
        <f ca="1"/>
        <v>137.27558348294443</v>
      </c>
      <c r="P124" s="3">
        <f ca="1"/>
        <v>139.83638033224798</v>
      </c>
    </row>
    <row r="125" spans="1:16" x14ac:dyDescent="0.25">
      <c r="A125" vm="1865">
        <f ca="1"/>
        <v>45104</v>
      </c>
      <c r="B125" s="3">
        <f ca="1"/>
        <v>128.69139018371271</v>
      </c>
      <c r="C125" s="3">
        <f ca="1"/>
        <v>102.89384950275301</v>
      </c>
      <c r="D125" s="3">
        <f ca="1"/>
        <v>97.251787132645006</v>
      </c>
      <c r="E125" s="3">
        <f ca="1"/>
        <v>114.23644789309186</v>
      </c>
      <c r="F125" s="3">
        <f ca="1"/>
        <v>98.047106947285158</v>
      </c>
      <c r="G125" s="3">
        <f ca="1"/>
        <v>87.175085826385526</v>
      </c>
      <c r="H125" s="3">
        <f ca="1"/>
        <v>135.22896123193291</v>
      </c>
      <c r="I125" s="3">
        <f ca="1"/>
        <v>107.22150259067352</v>
      </c>
      <c r="J125" s="3">
        <f ca="1"/>
        <v>139.03576982892704</v>
      </c>
      <c r="K125" s="3">
        <f ca="1"/>
        <v>223.24033990700693</v>
      </c>
      <c r="L125" s="3">
        <f ca="1"/>
        <v>135.48822985562904</v>
      </c>
      <c r="M125" s="3">
        <f ca="1"/>
        <v>106.51142355008786</v>
      </c>
      <c r="N125" s="3">
        <f ca="1"/>
        <v>94.821267773752339</v>
      </c>
      <c r="O125" s="3">
        <f ca="1"/>
        <v>132.78725314183131</v>
      </c>
      <c r="P125" s="3">
        <f ca="1"/>
        <v>137.15669087569904</v>
      </c>
    </row>
    <row r="126" spans="1:16" x14ac:dyDescent="0.25">
      <c r="A126" vm="1880">
        <f ca="1"/>
        <v>45105</v>
      </c>
      <c r="B126" s="3">
        <f ca="1"/>
        <v>130.30915821222931</v>
      </c>
      <c r="C126" s="3">
        <f ca="1"/>
        <v>105.76635793247688</v>
      </c>
      <c r="D126" s="3">
        <f ca="1"/>
        <v>97.045274027005618</v>
      </c>
      <c r="E126" s="3">
        <f ca="1"/>
        <v>116.83371052915177</v>
      </c>
      <c r="F126" s="3">
        <f ca="1"/>
        <v>98.977370191990573</v>
      </c>
      <c r="G126" s="3">
        <f ca="1"/>
        <v>87.248651299656743</v>
      </c>
      <c r="H126" s="3">
        <f ca="1"/>
        <v>137.89004457652294</v>
      </c>
      <c r="I126" s="3">
        <f ca="1"/>
        <v>108.38730569948183</v>
      </c>
      <c r="J126" s="3">
        <f ca="1"/>
        <v>148.05598755832054</v>
      </c>
      <c r="K126" s="3">
        <f ca="1"/>
        <v>230.11864678531381</v>
      </c>
      <c r="L126" s="3">
        <f ca="1"/>
        <v>138.43965578550603</v>
      </c>
      <c r="M126" s="3">
        <f ca="1"/>
        <v>108.51933216168715</v>
      </c>
      <c r="N126" s="3">
        <f ca="1"/>
        <v>94.894561598224101</v>
      </c>
      <c r="O126" s="3">
        <f ca="1"/>
        <v>132.77603231597851</v>
      </c>
      <c r="P126" s="3">
        <f ca="1"/>
        <v>139.64855163202259</v>
      </c>
    </row>
    <row r="127" spans="1:16" x14ac:dyDescent="0.25">
      <c r="A127" vm="1896">
        <f ca="1"/>
        <v>45106</v>
      </c>
      <c r="B127" s="3">
        <f ca="1"/>
        <v>131.08376748012071</v>
      </c>
      <c r="C127" s="3">
        <f ca="1"/>
        <v>105.9925733065859</v>
      </c>
      <c r="D127" s="3">
        <f ca="1"/>
        <v>96.139793486894419</v>
      </c>
      <c r="E127" s="3">
        <f ca="1"/>
        <v>116.87143011100328</v>
      </c>
      <c r="F127" s="3">
        <f ca="1"/>
        <v>98.95757735699685</v>
      </c>
      <c r="G127" s="3">
        <f ca="1"/>
        <v>85.875429131927476</v>
      </c>
      <c r="H127" s="3">
        <f ca="1"/>
        <v>136.32311225178972</v>
      </c>
      <c r="I127" s="3">
        <f ca="1"/>
        <v>108.77590673575128</v>
      </c>
      <c r="J127" s="3">
        <f ca="1"/>
        <v>145.17884914463471</v>
      </c>
      <c r="K127" s="3">
        <f ca="1"/>
        <v>228.70771204104574</v>
      </c>
      <c r="L127" s="3">
        <f ca="1"/>
        <v>137.77114003271464</v>
      </c>
      <c r="M127" s="3">
        <f ca="1"/>
        <v>108.42706502636202</v>
      </c>
      <c r="N127" s="3">
        <f ca="1"/>
        <v>94.163717462777129</v>
      </c>
      <c r="O127" s="3">
        <f ca="1"/>
        <v>134.85188509874334</v>
      </c>
      <c r="P127" s="3">
        <f ca="1"/>
        <v>140.18281993488594</v>
      </c>
    </row>
    <row r="128" spans="1:16" x14ac:dyDescent="0.25">
      <c r="A128" vm="1909">
        <f ca="1"/>
        <v>45107</v>
      </c>
      <c r="B128" s="3">
        <f ca="1"/>
        <v>132.55758157389641</v>
      </c>
      <c r="C128" s="3">
        <f ca="1"/>
        <v>109.11690639805373</v>
      </c>
      <c r="D128" s="3">
        <f ca="1"/>
        <v>95.345512311358277</v>
      </c>
      <c r="E128" s="3">
        <f ca="1"/>
        <v>119.08071990516216</v>
      </c>
      <c r="F128" s="3">
        <f ca="1"/>
        <v>98.55512304545762</v>
      </c>
      <c r="G128" s="3">
        <f ca="1"/>
        <v>85.875429131927476</v>
      </c>
      <c r="H128" s="3">
        <f ca="1"/>
        <v>135.9448872078886</v>
      </c>
      <c r="I128" s="3">
        <f ca="1"/>
        <v>109.68264248704659</v>
      </c>
      <c r="J128" s="3">
        <f ca="1"/>
        <v>147.2006220839815</v>
      </c>
      <c r="K128" s="3">
        <f ca="1"/>
        <v>225.69344236010934</v>
      </c>
      <c r="L128" s="3">
        <f ca="1"/>
        <v>138.57478131000644</v>
      </c>
      <c r="M128" s="3">
        <f ca="1"/>
        <v>108.45782073813707</v>
      </c>
      <c r="N128" s="3">
        <f ca="1"/>
        <v>95.79293447532082</v>
      </c>
      <c r="O128" s="3">
        <f ca="1"/>
        <v>133.64003590664279</v>
      </c>
      <c r="P128" s="3">
        <f ca="1"/>
        <v>139.84890224559635</v>
      </c>
    </row>
    <row r="129" spans="1:16" x14ac:dyDescent="0.25">
      <c r="A129" vm="1922">
        <f ca="1"/>
        <v>45110</v>
      </c>
      <c r="B129" s="3">
        <f ca="1"/>
        <v>133.68522072936668</v>
      </c>
      <c r="C129" s="3">
        <f ca="1"/>
        <v>109.49250928336679</v>
      </c>
      <c r="D129" s="3">
        <f ca="1"/>
        <v>95.663224781572723</v>
      </c>
      <c r="E129" s="3">
        <f ca="1"/>
        <v>121.23073607069722</v>
      </c>
      <c r="F129" s="3">
        <f ca="1"/>
        <v>100.1121593982979</v>
      </c>
      <c r="G129" s="3">
        <f ca="1"/>
        <v>87.052476704266837</v>
      </c>
      <c r="H129" s="3">
        <f ca="1"/>
        <v>136.32311225178972</v>
      </c>
      <c r="I129" s="3">
        <f ca="1"/>
        <v>110.42746113989635</v>
      </c>
      <c r="J129" s="3">
        <f ca="1"/>
        <v>147.7449455676518</v>
      </c>
      <c r="K129" s="3">
        <f ca="1"/>
        <v>230.06253006253041</v>
      </c>
      <c r="L129" s="3">
        <f ca="1"/>
        <v>139.71268046369397</v>
      </c>
      <c r="M129" s="3">
        <f ca="1"/>
        <v>108.14147627416519</v>
      </c>
      <c r="N129" s="3">
        <f ca="1"/>
        <v>96.408602600883611</v>
      </c>
      <c r="O129" s="3">
        <f ca="1"/>
        <v>134.31328545780977</v>
      </c>
      <c r="P129" s="3">
        <f ca="1"/>
        <v>142.14041238834616</v>
      </c>
    </row>
    <row r="130" spans="1:16" x14ac:dyDescent="0.25">
      <c r="A130" vm="1938">
        <f ca="1"/>
        <v>45112</v>
      </c>
      <c r="B130" s="3">
        <f ca="1"/>
        <v>134.01768576912536</v>
      </c>
      <c r="C130" s="3">
        <f ca="1"/>
        <v>110.07725468436556</v>
      </c>
      <c r="D130" s="3">
        <f ca="1"/>
        <v>96.235107227958736</v>
      </c>
      <c r="E130" s="3">
        <f ca="1"/>
        <v>118.08384524194412</v>
      </c>
      <c r="F130" s="3">
        <f ca="1"/>
        <v>100.61357788480578</v>
      </c>
      <c r="G130" s="3">
        <f ca="1"/>
        <v>87.812653261402687</v>
      </c>
      <c r="H130" s="3">
        <f ca="1"/>
        <v>139.33540456571652</v>
      </c>
      <c r="I130" s="3">
        <f ca="1"/>
        <v>111.20466321243522</v>
      </c>
      <c r="J130" s="3">
        <f ca="1"/>
        <v>148.60031104199084</v>
      </c>
      <c r="K130" s="3">
        <f ca="1"/>
        <v>229.29292929292961</v>
      </c>
      <c r="L130" s="3">
        <f ca="1"/>
        <v>139.1864021051135</v>
      </c>
      <c r="M130" s="3">
        <f ca="1"/>
        <v>108.73022847100175</v>
      </c>
      <c r="N130" s="3">
        <f ca="1"/>
        <v>96.86930664042039</v>
      </c>
      <c r="O130" s="3">
        <f ca="1"/>
        <v>134.53770197486543</v>
      </c>
      <c r="P130" s="3">
        <f ca="1"/>
        <v>141.07604975373559</v>
      </c>
    </row>
    <row r="131" spans="1:16" x14ac:dyDescent="0.25">
      <c r="A131" vm="1953">
        <f ca="1"/>
        <v>45113</v>
      </c>
      <c r="B131" s="3">
        <f ca="1"/>
        <v>131.22086646558822</v>
      </c>
      <c r="C131" s="3">
        <f ca="1"/>
        <v>109.29190319689278</v>
      </c>
      <c r="D131" s="3">
        <f ca="1"/>
        <v>96.949960285941259</v>
      </c>
      <c r="E131" s="3">
        <f ca="1"/>
        <v>117.96529798469658</v>
      </c>
      <c r="F131" s="3">
        <f ca="1"/>
        <v>100.44203998152678</v>
      </c>
      <c r="G131" s="3">
        <f ca="1"/>
        <v>87.910740559097647</v>
      </c>
      <c r="H131" s="3">
        <f ca="1"/>
        <v>136.417668512765</v>
      </c>
      <c r="I131" s="3">
        <f ca="1"/>
        <v>109.68264248704661</v>
      </c>
      <c r="J131" s="3">
        <f ca="1"/>
        <v>144.32348367029564</v>
      </c>
      <c r="K131" s="3">
        <f ca="1"/>
        <v>235.98685265351966</v>
      </c>
      <c r="L131" s="3">
        <f ca="1"/>
        <v>138.78813740132287</v>
      </c>
      <c r="M131" s="3">
        <f ca="1"/>
        <v>110.28119507908612</v>
      </c>
      <c r="N131" s="3">
        <f ca="1"/>
        <v>96.907000607291593</v>
      </c>
      <c r="O131" s="3">
        <f ca="1"/>
        <v>136.61355475763023</v>
      </c>
      <c r="P131" s="3">
        <f ca="1"/>
        <v>141.14283329159349</v>
      </c>
    </row>
    <row r="132" spans="1:16" x14ac:dyDescent="0.25">
      <c r="A132" vm="1969">
        <f ca="1"/>
        <v>45114</v>
      </c>
      <c r="B132" s="3">
        <f ca="1"/>
        <v>129.8875788319167</v>
      </c>
      <c r="C132" s="3">
        <f ca="1"/>
        <v>107.62303128601309</v>
      </c>
      <c r="D132" s="3">
        <f ca="1"/>
        <v>96.203335980937297</v>
      </c>
      <c r="E132" s="3">
        <f ca="1"/>
        <v>117.71203793512227</v>
      </c>
      <c r="F132" s="3">
        <f ca="1"/>
        <v>100.27709968991235</v>
      </c>
      <c r="G132" s="3">
        <f ca="1"/>
        <v>87.444825895046634</v>
      </c>
      <c r="H132" s="3">
        <f ca="1"/>
        <v>134.2833986221801</v>
      </c>
      <c r="I132" s="3">
        <f ca="1"/>
        <v>108.35492227979273</v>
      </c>
      <c r="J132" s="3">
        <f ca="1"/>
        <v>140.97978227060671</v>
      </c>
      <c r="K132" s="3">
        <f ca="1"/>
        <v>234.07888407888441</v>
      </c>
      <c r="L132" s="3">
        <f ca="1"/>
        <v>136.92482753715956</v>
      </c>
      <c r="M132" s="3">
        <f ca="1"/>
        <v>110.97978910369068</v>
      </c>
      <c r="N132" s="3">
        <f ca="1"/>
        <v>96.672460368981959</v>
      </c>
      <c r="O132" s="3">
        <f ca="1"/>
        <v>134.77333931777383</v>
      </c>
      <c r="P132" s="3">
        <f ca="1"/>
        <v>142.44511227982287</v>
      </c>
    </row>
    <row r="133" spans="1:16" x14ac:dyDescent="0.25">
      <c r="A133" vm="1985">
        <f ca="1"/>
        <v>45117</v>
      </c>
      <c r="B133" s="3">
        <f ca="1"/>
        <v>131.673293117631</v>
      </c>
      <c r="C133" s="3">
        <f ca="1"/>
        <v>109.78701609116909</v>
      </c>
      <c r="D133" s="3">
        <f ca="1"/>
        <v>94.932486100079473</v>
      </c>
      <c r="E133" s="3">
        <f ca="1"/>
        <v>117.38872723353805</v>
      </c>
      <c r="F133" s="3">
        <f ca="1"/>
        <v>98.172461568912141</v>
      </c>
      <c r="G133" s="3">
        <f ca="1"/>
        <v>86.954389406571906</v>
      </c>
      <c r="H133" s="3">
        <f ca="1"/>
        <v>135.39105767931912</v>
      </c>
      <c r="I133" s="3">
        <f ca="1"/>
        <v>107.83678756476682</v>
      </c>
      <c r="J133" s="3">
        <f ca="1"/>
        <v>144.86780715396597</v>
      </c>
      <c r="K133" s="3">
        <f ca="1"/>
        <v>232.90844957511655</v>
      </c>
      <c r="L133" s="3">
        <f ca="1"/>
        <v>137.68579759618808</v>
      </c>
      <c r="M133" s="3">
        <f ca="1"/>
        <v>111.37521968365553</v>
      </c>
      <c r="N133" s="3">
        <f ca="1"/>
        <v>96.058886352689782</v>
      </c>
      <c r="O133" s="3">
        <f ca="1"/>
        <v>134.06642728904853</v>
      </c>
      <c r="P133" s="3">
        <f ca="1"/>
        <v>140.75465397779433</v>
      </c>
    </row>
    <row r="134" spans="1:16" x14ac:dyDescent="0.25">
      <c r="A134" vm="2000">
        <f ca="1"/>
        <v>45118</v>
      </c>
      <c r="B134" s="3">
        <f ca="1"/>
        <v>134.57636413490548</v>
      </c>
      <c r="C134" s="3">
        <f ca="1"/>
        <v>111.14857655042898</v>
      </c>
      <c r="D134" s="3">
        <f ca="1"/>
        <v>94.217633042096949</v>
      </c>
      <c r="E134" s="3">
        <f ca="1"/>
        <v>120.19075331393464</v>
      </c>
      <c r="F134" s="3">
        <f ca="1"/>
        <v>98.212047238899615</v>
      </c>
      <c r="G134" s="3">
        <f ca="1"/>
        <v>86.807258460029473</v>
      </c>
      <c r="H134" s="3">
        <f ca="1"/>
        <v>134.76968796433869</v>
      </c>
      <c r="I134" s="3">
        <f ca="1"/>
        <v>108.84067357512951</v>
      </c>
      <c r="J134" s="3">
        <f ca="1"/>
        <v>143.39035769828948</v>
      </c>
      <c r="K134" s="3">
        <f ca="1"/>
        <v>235.77040243706946</v>
      </c>
      <c r="L134" s="3">
        <f ca="1"/>
        <v>142.08804494701664</v>
      </c>
      <c r="M134" s="3">
        <f ca="1"/>
        <v>110.59753954305799</v>
      </c>
      <c r="N134" s="3">
        <f ca="1"/>
        <v>96.408602600883611</v>
      </c>
      <c r="O134" s="3">
        <f ca="1"/>
        <v>130.66651705565536</v>
      </c>
      <c r="P134" s="3">
        <f ca="1"/>
        <v>138.50488354620569</v>
      </c>
    </row>
    <row r="135" spans="1:16" x14ac:dyDescent="0.25">
      <c r="A135" vm="2015">
        <f ca="1"/>
        <v>45119</v>
      </c>
      <c r="B135" s="3">
        <f ca="1"/>
        <v>136.65341376473822</v>
      </c>
      <c r="C135" s="3">
        <f ca="1"/>
        <v>111.94673268171925</v>
      </c>
      <c r="D135" s="3">
        <f ca="1"/>
        <v>94.551231135822121</v>
      </c>
      <c r="E135" s="3">
        <f ca="1"/>
        <v>120.70266192477632</v>
      </c>
      <c r="F135" s="3">
        <f ca="1"/>
        <v>97.697433529062579</v>
      </c>
      <c r="G135" s="3">
        <f ca="1"/>
        <v>87.371260421775432</v>
      </c>
      <c r="H135" s="3">
        <f ca="1"/>
        <v>136.78238551938395</v>
      </c>
      <c r="I135" s="3">
        <f ca="1"/>
        <v>109.35880829015542</v>
      </c>
      <c r="J135" s="3">
        <f ca="1"/>
        <v>143.62363919129103</v>
      </c>
      <c r="K135" s="3">
        <f ca="1"/>
        <v>239.12938912938949</v>
      </c>
      <c r="L135" s="3">
        <f ca="1"/>
        <v>142.20183486238537</v>
      </c>
      <c r="M135" s="3">
        <f ca="1"/>
        <v>110.92706502636203</v>
      </c>
      <c r="N135" s="3">
        <f ca="1"/>
        <v>97.646221179821069</v>
      </c>
      <c r="O135" s="3">
        <f ca="1"/>
        <v>131.44075403949736</v>
      </c>
      <c r="P135" s="3">
        <f ca="1"/>
        <v>138.77201769763738</v>
      </c>
    </row>
    <row r="136" spans="1:16" x14ac:dyDescent="0.25">
      <c r="A136" vm="2030">
        <f ca="1"/>
        <v>45120</v>
      </c>
      <c r="B136" s="3">
        <f ca="1"/>
        <v>136.1015903482315</v>
      </c>
      <c r="C136" s="3">
        <f ca="1"/>
        <v>112.67659737931628</v>
      </c>
      <c r="D136" s="3">
        <f ca="1"/>
        <v>95.059571088165256</v>
      </c>
      <c r="E136" s="3">
        <f ca="1"/>
        <v>122.15756008190533</v>
      </c>
      <c r="F136" s="3">
        <f ca="1"/>
        <v>98.205449627235012</v>
      </c>
      <c r="G136" s="3">
        <f ca="1"/>
        <v>87.690044139283998</v>
      </c>
      <c r="H136" s="3">
        <f ca="1"/>
        <v>140.34850736188025</v>
      </c>
      <c r="I136" s="3">
        <f ca="1"/>
        <v>108.58160621761657</v>
      </c>
      <c r="J136" s="3">
        <f ca="1"/>
        <v>147.66718506998464</v>
      </c>
      <c r="K136" s="3">
        <f ca="1"/>
        <v>247.98781465448164</v>
      </c>
      <c r="L136" s="3">
        <f ca="1"/>
        <v>141.12083066638226</v>
      </c>
      <c r="M136" s="3">
        <f ca="1"/>
        <v>110.23725834797891</v>
      </c>
      <c r="N136" s="3">
        <f ca="1"/>
        <v>96.739471865641846</v>
      </c>
      <c r="O136" s="3">
        <f ca="1"/>
        <v>133.44928186714549</v>
      </c>
      <c r="P136" s="3">
        <f ca="1"/>
        <v>140.74630603556207</v>
      </c>
    </row>
    <row r="137" spans="1:16" x14ac:dyDescent="0.25">
      <c r="A137" vm="2044">
        <f ca="1"/>
        <v>45121</v>
      </c>
      <c r="B137" s="3">
        <f ca="1"/>
        <v>136.6397038661915</v>
      </c>
      <c r="C137" s="3">
        <f ca="1"/>
        <v>114.55888002048745</v>
      </c>
      <c r="D137" s="3">
        <f ca="1"/>
        <v>95.869737887212125</v>
      </c>
      <c r="E137" s="3">
        <f ca="1"/>
        <v>123.2568164672917</v>
      </c>
      <c r="F137" s="3">
        <f ca="1"/>
        <v>98.271425743880783</v>
      </c>
      <c r="G137" s="3">
        <f ca="1"/>
        <v>87.395782246199161</v>
      </c>
      <c r="H137" s="3">
        <f ca="1"/>
        <v>142.60434958800477</v>
      </c>
      <c r="I137" s="3">
        <f ca="1"/>
        <v>109.19689119170981</v>
      </c>
      <c r="J137" s="3">
        <f ca="1"/>
        <v>147.58942457231748</v>
      </c>
      <c r="K137" s="3">
        <f ca="1"/>
        <v>251.25060125060162</v>
      </c>
      <c r="L137" s="3">
        <f ca="1"/>
        <v>141.00704075101351</v>
      </c>
      <c r="M137" s="3">
        <f ca="1"/>
        <v>111.0500878734622</v>
      </c>
      <c r="N137" s="3">
        <f ca="1"/>
        <v>97.665068163256663</v>
      </c>
      <c r="O137" s="3">
        <f ca="1"/>
        <v>139.74416517055661</v>
      </c>
      <c r="P137" s="3">
        <f ca="1"/>
        <v>143.02529426496355</v>
      </c>
    </row>
    <row r="138" spans="1:16" x14ac:dyDescent="0.25">
      <c r="A138" vm="2058">
        <f ca="1"/>
        <v>45124</v>
      </c>
      <c r="B138" s="3">
        <f ca="1"/>
        <v>135.79654510556631</v>
      </c>
      <c r="C138" s="3">
        <f ca="1"/>
        <v>113.94852533185373</v>
      </c>
      <c r="D138" s="3">
        <f ca="1"/>
        <v>96.743447180301885</v>
      </c>
      <c r="E138" s="3">
        <f ca="1"/>
        <v>123.44002586485611</v>
      </c>
      <c r="F138" s="3">
        <f ca="1"/>
        <v>98.997163026984325</v>
      </c>
      <c r="G138" s="3">
        <f ca="1"/>
        <v>87.910740559097633</v>
      </c>
      <c r="H138" s="3">
        <f ca="1"/>
        <v>142.02350398487093</v>
      </c>
      <c r="I138" s="3">
        <f ca="1"/>
        <v>108.90544041450775</v>
      </c>
      <c r="J138" s="3">
        <f ca="1"/>
        <v>140.66874027993799</v>
      </c>
      <c r="K138" s="3">
        <f ca="1"/>
        <v>247.61103094436461</v>
      </c>
      <c r="L138" s="3">
        <f ca="1"/>
        <v>139.48510063295646</v>
      </c>
      <c r="M138" s="3">
        <f ca="1"/>
        <v>112.2451669595782</v>
      </c>
      <c r="N138" s="3">
        <f ca="1"/>
        <v>97.231587544237954</v>
      </c>
      <c r="O138" s="3">
        <f ca="1"/>
        <v>140.7315978456015</v>
      </c>
      <c r="P138" s="3">
        <f ca="1"/>
        <v>144.10217881292249</v>
      </c>
    </row>
    <row r="139" spans="1:16" x14ac:dyDescent="0.25">
      <c r="A139" vm="2072">
        <f ca="1"/>
        <v>45125</v>
      </c>
      <c r="B139" s="3">
        <f ca="1"/>
        <v>137.42459555799297</v>
      </c>
      <c r="C139" s="3">
        <f ca="1"/>
        <v>114.7039993170857</v>
      </c>
      <c r="D139" s="3">
        <f ca="1"/>
        <v>96.600476568705375</v>
      </c>
      <c r="E139" s="3">
        <f ca="1"/>
        <v>123.04666451126195</v>
      </c>
      <c r="F139" s="3">
        <f ca="1"/>
        <v>98.297816190539123</v>
      </c>
      <c r="G139" s="3">
        <f ca="1"/>
        <v>87.076998528690567</v>
      </c>
      <c r="H139" s="3">
        <f ca="1"/>
        <v>141.55072267999455</v>
      </c>
      <c r="I139" s="3">
        <f ca="1"/>
        <v>107.57772020725385</v>
      </c>
      <c r="J139" s="3">
        <f ca="1"/>
        <v>146.03421461897381</v>
      </c>
      <c r="K139" s="3">
        <f ca="1"/>
        <v>249.01394901394937</v>
      </c>
      <c r="L139" s="3">
        <f ca="1"/>
        <v>141.74667520091037</v>
      </c>
      <c r="M139" s="3">
        <f ca="1"/>
        <v>111.84534270650262</v>
      </c>
      <c r="N139" s="3">
        <f ca="1"/>
        <v>98.416853391409873</v>
      </c>
      <c r="O139" s="3">
        <f ca="1"/>
        <v>139.86759425493722</v>
      </c>
      <c r="P139" s="3">
        <f ca="1"/>
        <v>144.30670339761238</v>
      </c>
    </row>
    <row r="140" spans="1:16" x14ac:dyDescent="0.25">
      <c r="A140" vm="2085">
        <f ca="1"/>
        <v>45126</v>
      </c>
      <c r="B140" s="3">
        <f ca="1"/>
        <v>140.03290375651233</v>
      </c>
      <c r="C140" s="3">
        <f ca="1"/>
        <v>114.93021469119471</v>
      </c>
      <c r="D140" s="3">
        <f ca="1"/>
        <v>96.219221604448023</v>
      </c>
      <c r="E140" s="3">
        <f ca="1"/>
        <v>122.2922728742321</v>
      </c>
      <c r="F140" s="3">
        <f ca="1"/>
        <v>98.482549317147289</v>
      </c>
      <c r="G140" s="3">
        <f ca="1"/>
        <v>87.076998528690567</v>
      </c>
      <c r="H140" s="3">
        <f ca="1"/>
        <v>139.33540456571654</v>
      </c>
      <c r="I140" s="3">
        <f ca="1"/>
        <v>109.29404145077716</v>
      </c>
      <c r="J140" s="3">
        <f ca="1"/>
        <v>147.90046656298625</v>
      </c>
      <c r="K140" s="3">
        <f ca="1"/>
        <v>250.1603334936672</v>
      </c>
      <c r="L140" s="3">
        <f ca="1"/>
        <v>141.9600312922268</v>
      </c>
      <c r="M140" s="3">
        <f ca="1"/>
        <v>111.74428822495605</v>
      </c>
      <c r="N140" s="3">
        <f ca="1"/>
        <v>95.428559462232641</v>
      </c>
      <c r="O140" s="3">
        <f ca="1"/>
        <v>138.86894075403956</v>
      </c>
      <c r="P140" s="3">
        <f ca="1"/>
        <v>150.05008765339335</v>
      </c>
    </row>
    <row r="141" spans="1:16" x14ac:dyDescent="0.25">
      <c r="A141" vm="2100">
        <f ca="1"/>
        <v>45127</v>
      </c>
      <c r="B141" s="3">
        <f ca="1"/>
        <v>138.36029613380873</v>
      </c>
      <c r="C141" s="3">
        <f ca="1"/>
        <v>114.75521789235567</v>
      </c>
      <c r="D141" s="3">
        <f ca="1"/>
        <v>97.918983320095364</v>
      </c>
      <c r="E141" s="3">
        <f ca="1"/>
        <v>122.55630994719255</v>
      </c>
      <c r="F141" s="3">
        <f ca="1"/>
        <v>99.155505706934164</v>
      </c>
      <c r="G141" s="3">
        <f ca="1"/>
        <v>88.62187346738601</v>
      </c>
      <c r="H141" s="3">
        <f ca="1"/>
        <v>139.21383223017691</v>
      </c>
      <c r="I141" s="3">
        <f ca="1"/>
        <v>109.45595854922274</v>
      </c>
      <c r="J141" s="3">
        <f ca="1"/>
        <v>146.18973561430818</v>
      </c>
      <c r="K141" s="3">
        <f ca="1"/>
        <v>253.33493666827033</v>
      </c>
      <c r="L141" s="3">
        <f ca="1"/>
        <v>142.20183486238537</v>
      </c>
      <c r="M141" s="3">
        <f ca="1"/>
        <v>117.71968365553602</v>
      </c>
      <c r="N141" s="3">
        <f ca="1"/>
        <v>94.551127677842132</v>
      </c>
      <c r="O141" s="3">
        <f ca="1"/>
        <v>136.92773788150814</v>
      </c>
      <c r="P141" s="3">
        <f ca="1"/>
        <v>148.20936639118446</v>
      </c>
    </row>
    <row r="142" spans="1:16" x14ac:dyDescent="0.25">
      <c r="A142" vm="2116">
        <f ca="1"/>
        <v>45128</v>
      </c>
      <c r="B142" s="3">
        <f ca="1"/>
        <v>138.0621058404169</v>
      </c>
      <c r="C142" s="3">
        <f ca="1"/>
        <v>114.70826753169153</v>
      </c>
      <c r="D142" s="3">
        <f ca="1"/>
        <v>99.11040508339957</v>
      </c>
      <c r="E142" s="3">
        <f ca="1"/>
        <v>124.01659661601461</v>
      </c>
      <c r="F142" s="3">
        <f ca="1"/>
        <v>99.33364122187777</v>
      </c>
      <c r="G142" s="3">
        <f ca="1"/>
        <v>89.259440902403171</v>
      </c>
      <c r="H142" s="3">
        <f ca="1"/>
        <v>132.18965284344179</v>
      </c>
      <c r="I142" s="3">
        <f ca="1"/>
        <v>109.16450777202068</v>
      </c>
      <c r="J142" s="3">
        <f ca="1"/>
        <v>149.84447900466586</v>
      </c>
      <c r="K142" s="3">
        <f ca="1"/>
        <v>242.52044252044283</v>
      </c>
      <c r="L142" s="3">
        <f ca="1"/>
        <v>142.22317047151699</v>
      </c>
      <c r="M142" s="3">
        <f ca="1"/>
        <v>118.27768014059752</v>
      </c>
      <c r="N142" s="3">
        <f ca="1"/>
        <v>95.493476849621928</v>
      </c>
      <c r="O142" s="3">
        <f ca="1"/>
        <v>133.75224416517062</v>
      </c>
      <c r="P142" s="3">
        <f ca="1"/>
        <v>144.78253610485004</v>
      </c>
    </row>
    <row r="143" spans="1:16" x14ac:dyDescent="0.25">
      <c r="A143" vm="2132">
        <f ca="1"/>
        <v>45131</v>
      </c>
      <c r="B143" s="3">
        <f ca="1"/>
        <v>136.29352892788606</v>
      </c>
      <c r="C143" s="3">
        <f ca="1"/>
        <v>115.06679755858129</v>
      </c>
      <c r="D143" s="3">
        <f ca="1"/>
        <v>99.189833200953174</v>
      </c>
      <c r="E143" s="3">
        <f ca="1"/>
        <v>125.06196788447026</v>
      </c>
      <c r="F143" s="3">
        <f ca="1"/>
        <v>100.89727518638261</v>
      </c>
      <c r="G143" s="3">
        <f ca="1"/>
        <v>89.063266307013279</v>
      </c>
      <c r="H143" s="3">
        <f ca="1"/>
        <v>131.36566256922862</v>
      </c>
      <c r="I143" s="3">
        <f ca="1"/>
        <v>105.11658031088079</v>
      </c>
      <c r="J143" s="3">
        <f ca="1"/>
        <v>145.80093312597222</v>
      </c>
      <c r="K143" s="3">
        <f ca="1"/>
        <v>235.89866923200287</v>
      </c>
      <c r="L143" s="3">
        <f ca="1"/>
        <v>143.29706279780959</v>
      </c>
      <c r="M143" s="3">
        <f ca="1"/>
        <v>118.40949033391914</v>
      </c>
      <c r="N143" s="3">
        <f ca="1"/>
        <v>95.23171319079421</v>
      </c>
      <c r="O143" s="3">
        <f ca="1"/>
        <v>134.67235188509881</v>
      </c>
      <c r="P143" s="3">
        <f ca="1"/>
        <v>143.48860505885287</v>
      </c>
    </row>
    <row r="144" spans="1:16" x14ac:dyDescent="0.25">
      <c r="A144" vm="2147">
        <f ca="1"/>
        <v>45132</v>
      </c>
      <c r="B144" s="3">
        <f ca="1"/>
        <v>136.3689333698932</v>
      </c>
      <c r="C144" s="3">
        <f ca="1"/>
        <v>113.82901532289048</v>
      </c>
      <c r="D144" s="3">
        <f ca="1"/>
        <v>99.221604447974627</v>
      </c>
      <c r="E144" s="3">
        <f ca="1"/>
        <v>125.10507597801481</v>
      </c>
      <c r="F144" s="3">
        <f ca="1"/>
        <v>101.22055815794688</v>
      </c>
      <c r="G144" s="3">
        <f ca="1"/>
        <v>89.136831780284481</v>
      </c>
      <c r="H144" s="3">
        <f ca="1"/>
        <v>132.71646629744691</v>
      </c>
      <c r="I144" s="3">
        <f ca="1"/>
        <v>105.3108808290155</v>
      </c>
      <c r="J144" s="3">
        <f ca="1"/>
        <v>147.90046656298622</v>
      </c>
      <c r="K144" s="3">
        <f ca="1"/>
        <v>233.77425044091743</v>
      </c>
      <c r="L144" s="3">
        <f ca="1"/>
        <v>144.94701657065647</v>
      </c>
      <c r="M144" s="3">
        <f ca="1"/>
        <v>119.18277680140594</v>
      </c>
      <c r="N144" s="3">
        <f ca="1"/>
        <v>95.658911482001045</v>
      </c>
      <c r="O144" s="3">
        <f ca="1"/>
        <v>136.36669658886902</v>
      </c>
      <c r="P144" s="3">
        <f ca="1"/>
        <v>144.04791718841292</v>
      </c>
    </row>
    <row r="145" spans="1:16" x14ac:dyDescent="0.25">
      <c r="A145" vm="2162">
        <f ca="1"/>
        <v>45133</v>
      </c>
      <c r="B145" s="3">
        <f ca="1"/>
        <v>136.44433781190031</v>
      </c>
      <c r="C145" s="3">
        <f ca="1"/>
        <v>114.72534039011487</v>
      </c>
      <c r="D145" s="3">
        <f ca="1"/>
        <v>98.888006354249441</v>
      </c>
      <c r="E145" s="3">
        <f ca="1"/>
        <v>125.56309947192581</v>
      </c>
      <c r="F145" s="3">
        <f ca="1"/>
        <v>101.45807217787168</v>
      </c>
      <c r="G145" s="3">
        <f ca="1"/>
        <v>89.627268268759209</v>
      </c>
      <c r="H145" s="3">
        <f ca="1"/>
        <v>135.51263001485876</v>
      </c>
      <c r="I145" s="3">
        <f ca="1"/>
        <v>107.41580310880825</v>
      </c>
      <c r="J145" s="3">
        <f ca="1"/>
        <v>144.94556765163318</v>
      </c>
      <c r="K145" s="3">
        <f ca="1"/>
        <v>236.06701940035308</v>
      </c>
      <c r="L145" s="3">
        <f ca="1"/>
        <v>146.07780385463343</v>
      </c>
      <c r="M145" s="3">
        <f ca="1"/>
        <v>119.23550087873458</v>
      </c>
      <c r="N145" s="3">
        <f ca="1"/>
        <v>95.103972525286281</v>
      </c>
      <c r="O145" s="3">
        <f ca="1"/>
        <v>137.12971274685825</v>
      </c>
      <c r="P145" s="3">
        <f ca="1"/>
        <v>146.49803823357527</v>
      </c>
    </row>
    <row r="146" spans="1:16" x14ac:dyDescent="0.25">
      <c r="A146" vm="2176">
        <f ca="1"/>
        <v>45134</v>
      </c>
      <c r="B146" s="3">
        <f ca="1"/>
        <v>134.96024129421454</v>
      </c>
      <c r="C146" s="3">
        <f ca="1"/>
        <v>116.69298732340266</v>
      </c>
      <c r="D146" s="3">
        <f ca="1"/>
        <v>100.15885623510727</v>
      </c>
      <c r="E146" s="3">
        <f ca="1"/>
        <v>124.93803211552965</v>
      </c>
      <c r="F146" s="3">
        <f ca="1"/>
        <v>101.56363396450492</v>
      </c>
      <c r="G146" s="3">
        <f ca="1"/>
        <v>89.161353604708211</v>
      </c>
      <c r="H146" s="3">
        <f ca="1"/>
        <v>134.28339862218013</v>
      </c>
      <c r="I146" s="3">
        <f ca="1"/>
        <v>106.70336787564763</v>
      </c>
      <c r="J146" s="3">
        <f ca="1"/>
        <v>148.75583203732526</v>
      </c>
      <c r="K146" s="3">
        <f ca="1"/>
        <v>239.35385602052298</v>
      </c>
      <c r="L146" s="3">
        <f ca="1"/>
        <v>144.12203968423304</v>
      </c>
      <c r="M146" s="3">
        <f ca="1"/>
        <v>119.59578207381367</v>
      </c>
      <c r="N146" s="3">
        <f ca="1"/>
        <v>94.823361883022969</v>
      </c>
      <c r="O146" s="3">
        <f ca="1"/>
        <v>145.05161579892291</v>
      </c>
      <c r="P146" s="3">
        <f ca="1"/>
        <v>140.9842223891809</v>
      </c>
    </row>
    <row r="147" spans="1:16" x14ac:dyDescent="0.25">
      <c r="A147" vm="2190">
        <f ca="1"/>
        <v>45135</v>
      </c>
      <c r="B147" s="3">
        <f ca="1"/>
        <v>136.17699479023869</v>
      </c>
      <c r="C147" s="3">
        <f ca="1"/>
        <v>118.13991207477918</v>
      </c>
      <c r="D147" s="3">
        <f ca="1"/>
        <v>99.189833200953174</v>
      </c>
      <c r="E147" s="3">
        <f ca="1"/>
        <v>123.817221683371</v>
      </c>
      <c r="F147" s="3">
        <f ca="1"/>
        <v>100.35627102988725</v>
      </c>
      <c r="G147" s="3">
        <f ca="1"/>
        <v>88.769004413928428</v>
      </c>
      <c r="H147" s="3">
        <f ca="1"/>
        <v>134.20235039848703</v>
      </c>
      <c r="I147" s="3">
        <f ca="1"/>
        <v>106.96243523316058</v>
      </c>
      <c r="J147" s="3">
        <f ca="1"/>
        <v>145.10108864696755</v>
      </c>
      <c r="K147" s="3">
        <f ca="1"/>
        <v>249.88776655443351</v>
      </c>
      <c r="L147" s="3">
        <f ca="1"/>
        <v>143.39662897375726</v>
      </c>
      <c r="M147" s="3">
        <f ca="1"/>
        <v>118.87961335676621</v>
      </c>
      <c r="N147" s="3">
        <f ca="1"/>
        <v>93.950118317173704</v>
      </c>
      <c r="O147" s="3">
        <f ca="1"/>
        <v>145.19748653500909</v>
      </c>
      <c r="P147" s="3">
        <f ca="1"/>
        <v>138.04157275231643</v>
      </c>
    </row>
    <row r="148" spans="1:16" x14ac:dyDescent="0.25">
      <c r="A148" vm="2205">
        <f ca="1"/>
        <v>45138</v>
      </c>
      <c r="B148" s="3">
        <f ca="1"/>
        <v>136.95160405813013</v>
      </c>
      <c r="C148" s="3">
        <f ca="1"/>
        <v>118.40880959494648</v>
      </c>
      <c r="D148" s="3">
        <f ca="1"/>
        <v>99.253375694996066</v>
      </c>
      <c r="E148" s="3">
        <f ca="1"/>
        <v>123.95732298739082</v>
      </c>
      <c r="F148" s="3">
        <f ca="1"/>
        <v>103.19324404565553</v>
      </c>
      <c r="G148" s="3">
        <f ca="1"/>
        <v>88.670917116233468</v>
      </c>
      <c r="H148" s="3">
        <f ca="1"/>
        <v>136.24206402809665</v>
      </c>
      <c r="I148" s="3">
        <f ca="1"/>
        <v>109.45595854922274</v>
      </c>
      <c r="J148" s="3">
        <f ca="1"/>
        <v>150.07776049766741</v>
      </c>
      <c r="K148" s="3">
        <f ca="1"/>
        <v>260.92672759339462</v>
      </c>
      <c r="L148" s="3">
        <f ca="1"/>
        <v>142.57876395704437</v>
      </c>
      <c r="M148" s="3">
        <f ca="1"/>
        <v>119.72759226713528</v>
      </c>
      <c r="N148" s="3">
        <f ca="1"/>
        <v>94.025506250916081</v>
      </c>
      <c r="O148" s="3">
        <f ca="1"/>
        <v>148.76570915619402</v>
      </c>
      <c r="P148" s="3">
        <f ca="1"/>
        <v>141.23466065614812</v>
      </c>
    </row>
    <row r="149" spans="1:16" x14ac:dyDescent="0.25">
      <c r="A149" vm="2220">
        <f ca="1"/>
        <v>45139</v>
      </c>
      <c r="B149" s="3">
        <f ca="1"/>
        <v>140.52988757883207</v>
      </c>
      <c r="C149" s="3">
        <f ca="1"/>
        <v>118.31490887361819</v>
      </c>
      <c r="D149" s="3">
        <f ca="1"/>
        <v>98.37966640190632</v>
      </c>
      <c r="E149" s="3">
        <f ca="1"/>
        <v>121.53788123720224</v>
      </c>
      <c r="F149" s="3">
        <f ca="1"/>
        <v>103.12067031734519</v>
      </c>
      <c r="G149" s="3">
        <f ca="1"/>
        <v>88.719960765080955</v>
      </c>
      <c r="H149" s="3">
        <f ca="1"/>
        <v>133.93218965284339</v>
      </c>
      <c r="I149" s="3">
        <f ca="1"/>
        <v>107.90155440414503</v>
      </c>
      <c r="J149" s="3">
        <f ca="1"/>
        <v>149.84447900466586</v>
      </c>
      <c r="K149" s="3">
        <f ca="1"/>
        <v>255.41125541125575</v>
      </c>
      <c r="L149" s="3">
        <f ca="1"/>
        <v>143.38951710404672</v>
      </c>
      <c r="M149" s="3">
        <f ca="1"/>
        <v>119.85940246045689</v>
      </c>
      <c r="N149" s="3">
        <f ca="1"/>
        <v>93.474755512742561</v>
      </c>
      <c r="O149" s="3">
        <f ca="1"/>
        <v>148.92280071813298</v>
      </c>
      <c r="P149" s="3">
        <f ca="1"/>
        <v>140.21203773269875</v>
      </c>
    </row>
    <row r="150" spans="1:16" x14ac:dyDescent="0.25">
      <c r="A150" vm="2236">
        <f ca="1"/>
        <v>45140</v>
      </c>
      <c r="B150" s="3">
        <f ca="1"/>
        <v>141.95571702769416</v>
      </c>
      <c r="C150" s="3">
        <f ca="1"/>
        <v>118.79294890947119</v>
      </c>
      <c r="D150" s="3">
        <f ca="1"/>
        <v>98.125496425734752</v>
      </c>
      <c r="E150" s="3">
        <f ca="1"/>
        <v>120.70805043646939</v>
      </c>
      <c r="F150" s="3">
        <f ca="1"/>
        <v>103.08768225902229</v>
      </c>
      <c r="G150" s="3">
        <f ca="1"/>
        <v>87.984306032368849</v>
      </c>
      <c r="H150" s="3">
        <f ca="1"/>
        <v>132.91908685667968</v>
      </c>
      <c r="I150" s="3">
        <f ca="1"/>
        <v>107.86917098445592</v>
      </c>
      <c r="J150" s="3">
        <f ca="1"/>
        <v>152.48833592535013</v>
      </c>
      <c r="K150" s="3">
        <f ca="1"/>
        <v>258.70610870610903</v>
      </c>
      <c r="L150" s="3">
        <f ca="1"/>
        <v>143.58153758623146</v>
      </c>
      <c r="M150" s="3">
        <f ca="1"/>
        <v>118.64235500878729</v>
      </c>
      <c r="N150" s="3">
        <f ca="1"/>
        <v>94.502963164617839</v>
      </c>
      <c r="O150" s="3">
        <f ca="1"/>
        <v>147.60996409335741</v>
      </c>
      <c r="P150" s="3">
        <f ca="1"/>
        <v>140.38734451957575</v>
      </c>
    </row>
    <row r="151" spans="1:16" x14ac:dyDescent="0.25">
      <c r="A151" vm="2251">
        <f ca="1"/>
        <v>45141</v>
      </c>
      <c r="B151" s="3">
        <f ca="1"/>
        <v>139.11091307924337</v>
      </c>
      <c r="C151" s="3">
        <f ca="1"/>
        <v>118.78868069486538</v>
      </c>
      <c r="D151" s="3">
        <f ca="1"/>
        <v>98.427323272438485</v>
      </c>
      <c r="E151" s="3">
        <f ca="1"/>
        <v>122.75029636814308</v>
      </c>
      <c r="F151" s="3">
        <f ca="1"/>
        <v>103.31200105561791</v>
      </c>
      <c r="G151" s="3">
        <f ca="1"/>
        <v>89.063266307013279</v>
      </c>
      <c r="H151" s="3">
        <f ca="1"/>
        <v>129.27191679049031</v>
      </c>
      <c r="I151" s="3">
        <f ca="1"/>
        <v>106.73575129533675</v>
      </c>
      <c r="J151" s="3">
        <f ca="1"/>
        <v>152.95489891135327</v>
      </c>
      <c r="K151" s="3">
        <f ca="1"/>
        <v>251.97210197210234</v>
      </c>
      <c r="L151" s="3">
        <f ca="1"/>
        <v>143.88734798378499</v>
      </c>
      <c r="M151" s="3">
        <f ca="1"/>
        <v>118.42267135325126</v>
      </c>
      <c r="N151" s="3">
        <f ca="1"/>
        <v>93.933365443008739</v>
      </c>
      <c r="O151" s="3">
        <f ca="1"/>
        <v>144.05296229802525</v>
      </c>
      <c r="P151" s="3">
        <f ca="1"/>
        <v>136.6975540529258</v>
      </c>
    </row>
    <row r="152" spans="1:16" x14ac:dyDescent="0.25">
      <c r="A152" vm="2264">
        <f ca="1"/>
        <v>45142</v>
      </c>
      <c r="B152" s="3">
        <f ca="1"/>
        <v>143.3301343570059</v>
      </c>
      <c r="C152" s="3">
        <f ca="1"/>
        <v>118.8313628409237</v>
      </c>
      <c r="D152" s="3">
        <f ca="1"/>
        <v>97.91898332009535</v>
      </c>
      <c r="E152" s="3">
        <f ca="1"/>
        <v>121.51093867873689</v>
      </c>
      <c r="F152" s="3">
        <f ca="1"/>
        <v>103.58250313386557</v>
      </c>
      <c r="G152" s="3">
        <f ca="1"/>
        <v>87.224129475232999</v>
      </c>
      <c r="H152" s="3">
        <f ca="1"/>
        <v>128.29933810617314</v>
      </c>
      <c r="I152" s="3">
        <f ca="1"/>
        <v>106.57383419689114</v>
      </c>
      <c r="J152" s="3">
        <f ca="1"/>
        <v>151.01088646967364</v>
      </c>
      <c r="K152" s="3">
        <f ca="1"/>
        <v>251.0742344075681</v>
      </c>
      <c r="L152" s="3">
        <f ca="1"/>
        <v>144.61275869426078</v>
      </c>
      <c r="M152" s="3">
        <f ca="1"/>
        <v>118.07117750439365</v>
      </c>
      <c r="N152" s="3">
        <f ca="1"/>
        <v>93.79934244968895</v>
      </c>
      <c r="O152" s="3">
        <f ca="1"/>
        <v>144.13150807899473</v>
      </c>
      <c r="P152" s="3">
        <f ca="1"/>
        <v>136.34694047917174</v>
      </c>
    </row>
    <row r="153" spans="1:16" x14ac:dyDescent="0.25">
      <c r="A153" vm="2280">
        <f ca="1"/>
        <v>45145</v>
      </c>
      <c r="B153" s="3">
        <f ca="1"/>
        <v>141.94886207842075</v>
      </c>
      <c r="C153" s="3">
        <f ca="1"/>
        <v>121.07217550898464</v>
      </c>
      <c r="D153" s="3">
        <f ca="1"/>
        <v>96.441620333598124</v>
      </c>
      <c r="E153" s="3">
        <f ca="1"/>
        <v>121.78575277508348</v>
      </c>
      <c r="F153" s="3">
        <f ca="1"/>
        <v>102.44771392755825</v>
      </c>
      <c r="G153" s="3">
        <f ca="1"/>
        <v>86.512996566944622</v>
      </c>
      <c r="H153" s="3">
        <f ca="1"/>
        <v>129.89328650547071</v>
      </c>
      <c r="I153" s="3">
        <f ca="1"/>
        <v>102.07253886010359</v>
      </c>
      <c r="J153" s="3">
        <f ca="1"/>
        <v>144.09020217729415</v>
      </c>
      <c r="K153" s="3">
        <f ca="1"/>
        <v>249.10213243546613</v>
      </c>
      <c r="L153" s="3">
        <f ca="1"/>
        <v>142.43652656283342</v>
      </c>
      <c r="M153" s="3">
        <f ca="1"/>
        <v>117.75922671353247</v>
      </c>
      <c r="N153" s="3">
        <f ca="1"/>
        <v>93.338638410152171</v>
      </c>
      <c r="O153" s="3">
        <f ca="1"/>
        <v>143.75000000000014</v>
      </c>
      <c r="P153" s="3">
        <f ca="1"/>
        <v>136.81442524417713</v>
      </c>
    </row>
    <row r="154" spans="1:16" x14ac:dyDescent="0.25">
      <c r="A154" vm="2295">
        <f ca="1"/>
        <v>45146</v>
      </c>
      <c r="B154" s="3">
        <f ca="1"/>
        <v>145.65053468604344</v>
      </c>
      <c r="C154" s="3">
        <f ca="1"/>
        <v>121.94715950317985</v>
      </c>
      <c r="D154" s="3">
        <f ca="1"/>
        <v>97.204130262112812</v>
      </c>
      <c r="E154" s="3">
        <f ca="1"/>
        <v>121.88274598555874</v>
      </c>
      <c r="F154" s="3">
        <f ca="1"/>
        <v>103.52972224054895</v>
      </c>
      <c r="G154" s="3">
        <f ca="1"/>
        <v>85.826385483079974</v>
      </c>
      <c r="H154" s="3">
        <f ca="1"/>
        <v>130.14993921383217</v>
      </c>
      <c r="I154" s="3">
        <f ca="1"/>
        <v>102.91450777202068</v>
      </c>
      <c r="J154" s="3">
        <f ca="1"/>
        <v>141.60186625194422</v>
      </c>
      <c r="K154" s="3">
        <f ca="1"/>
        <v>253.77585377585413</v>
      </c>
      <c r="L154" s="3">
        <f ca="1"/>
        <v>143.74511058957404</v>
      </c>
      <c r="M154" s="3">
        <f ca="1"/>
        <v>118.90597539543054</v>
      </c>
      <c r="N154" s="3">
        <f ca="1"/>
        <v>94.188846774024583</v>
      </c>
      <c r="O154" s="3">
        <f ca="1"/>
        <v>147.58752244165183</v>
      </c>
      <c r="P154" s="3">
        <f ca="1"/>
        <v>137.78696051423307</v>
      </c>
    </row>
    <row r="155" spans="1:16" x14ac:dyDescent="0.25">
      <c r="A155" vm="2309">
        <f ca="1"/>
        <v>45147</v>
      </c>
      <c r="B155" s="3">
        <f ca="1"/>
        <v>145.70880175486715</v>
      </c>
      <c r="C155" s="3">
        <f ca="1"/>
        <v>121.69106662683005</v>
      </c>
      <c r="D155" s="3">
        <f ca="1"/>
        <v>96.77521842732331</v>
      </c>
      <c r="E155" s="3">
        <f ca="1"/>
        <v>121.37083737471707</v>
      </c>
      <c r="F155" s="3">
        <f ca="1"/>
        <v>103.64188163884677</v>
      </c>
      <c r="G155" s="3">
        <f ca="1"/>
        <v>84.502206964198166</v>
      </c>
      <c r="H155" s="3">
        <f ca="1"/>
        <v>127.63744427934616</v>
      </c>
      <c r="I155" s="3">
        <f ca="1"/>
        <v>101.39248704663207</v>
      </c>
      <c r="J155" s="3">
        <f ca="1"/>
        <v>147.66718506998464</v>
      </c>
      <c r="K155" s="3">
        <f ca="1"/>
        <v>250.6333172999843</v>
      </c>
      <c r="L155" s="3">
        <f ca="1"/>
        <v>144.15759903278575</v>
      </c>
      <c r="M155" s="3">
        <f ca="1"/>
        <v>119.06414762741649</v>
      </c>
      <c r="N155" s="3">
        <f ca="1"/>
        <v>94.123929386635311</v>
      </c>
      <c r="O155" s="3">
        <f ca="1"/>
        <v>147.44165170556565</v>
      </c>
      <c r="P155" s="3">
        <f ca="1"/>
        <v>136.09232824108841</v>
      </c>
    </row>
    <row r="156" spans="1:16" x14ac:dyDescent="0.25">
      <c r="A156" vm="2323">
        <f ca="1"/>
        <v>45148</v>
      </c>
      <c r="B156" s="3">
        <f ca="1"/>
        <v>144.72854400877446</v>
      </c>
      <c r="C156" s="3">
        <f ca="1"/>
        <v>121.73801698749419</v>
      </c>
      <c r="D156" s="3">
        <f ca="1"/>
        <v>96.997617156473439</v>
      </c>
      <c r="E156" s="3">
        <f ca="1"/>
        <v>122.30304989761824</v>
      </c>
      <c r="F156" s="3">
        <f ca="1"/>
        <v>103.5099294055552</v>
      </c>
      <c r="G156" s="3">
        <f ca="1"/>
        <v>84.649337910740599</v>
      </c>
      <c r="H156" s="3">
        <f ca="1"/>
        <v>126.94853437795484</v>
      </c>
      <c r="I156" s="3">
        <f ca="1"/>
        <v>100.74481865284969</v>
      </c>
      <c r="J156" s="3">
        <f ca="1"/>
        <v>144.40124416796289</v>
      </c>
      <c r="K156" s="3">
        <f ca="1"/>
        <v>244.67692801026166</v>
      </c>
      <c r="L156" s="3">
        <f ca="1"/>
        <v>144.68387739136622</v>
      </c>
      <c r="M156" s="3">
        <f ca="1"/>
        <v>118.87082601054477</v>
      </c>
      <c r="N156" s="3">
        <f ca="1"/>
        <v>94.823361883022969</v>
      </c>
      <c r="O156" s="3">
        <f ca="1"/>
        <v>145.48922800718145</v>
      </c>
      <c r="P156" s="3">
        <f ca="1"/>
        <v>134.49787127473061</v>
      </c>
    </row>
    <row r="157" spans="1:16" x14ac:dyDescent="0.25">
      <c r="A157" vm="2337">
        <f ca="1"/>
        <v>45149</v>
      </c>
      <c r="B157" s="3">
        <f ca="1"/>
        <v>141.47244310392114</v>
      </c>
      <c r="C157" s="3">
        <f ca="1"/>
        <v>121.98557343463234</v>
      </c>
      <c r="D157" s="3">
        <f ca="1"/>
        <v>96.775218427323324</v>
      </c>
      <c r="E157" s="3">
        <f ca="1"/>
        <v>122.44315120163806</v>
      </c>
      <c r="F157" s="3">
        <f ca="1"/>
        <v>102.99531569571818</v>
      </c>
      <c r="G157" s="3">
        <f ca="1"/>
        <v>84.330554193232004</v>
      </c>
      <c r="H157" s="3">
        <f ca="1"/>
        <v>128.0561934350938</v>
      </c>
      <c r="I157" s="3">
        <f ca="1"/>
        <v>100.12953367875643</v>
      </c>
      <c r="J157" s="3">
        <f ca="1"/>
        <v>143.15707620528792</v>
      </c>
      <c r="K157" s="3">
        <f ca="1"/>
        <v>245.10181176847877</v>
      </c>
      <c r="L157" s="3">
        <f ca="1"/>
        <v>142.54320460849161</v>
      </c>
      <c r="M157" s="3">
        <f ca="1"/>
        <v>118.01845342706498</v>
      </c>
      <c r="N157" s="3">
        <f ca="1"/>
        <v>94.245387724331366</v>
      </c>
      <c r="O157" s="3">
        <f ca="1"/>
        <v>145.5228904847398</v>
      </c>
      <c r="P157" s="3">
        <f ca="1"/>
        <v>134.79004925285901</v>
      </c>
    </row>
    <row r="158" spans="1:16" x14ac:dyDescent="0.25">
      <c r="A158" vm="2351">
        <f ca="1"/>
        <v>45152</v>
      </c>
      <c r="B158" s="3">
        <f ca="1"/>
        <v>142.75774609267901</v>
      </c>
      <c r="C158" s="3">
        <f ca="1"/>
        <v>123.08250458833076</v>
      </c>
      <c r="D158" s="3">
        <f ca="1"/>
        <v>97.172359015091388</v>
      </c>
      <c r="E158" s="3">
        <f ca="1"/>
        <v>122.8580666020045</v>
      </c>
      <c r="F158" s="3">
        <f ca="1"/>
        <v>103.59569835719472</v>
      </c>
      <c r="G158" s="3">
        <f ca="1"/>
        <v>84.722903384011801</v>
      </c>
      <c r="H158" s="3">
        <f ca="1"/>
        <v>124.2604349588004</v>
      </c>
      <c r="I158" s="3">
        <f ca="1"/>
        <v>99.579015544041397</v>
      </c>
      <c r="J158" s="3">
        <f ca="1"/>
        <v>142.14618973561451</v>
      </c>
      <c r="K158" s="3">
        <f ca="1"/>
        <v>241.8149751483088</v>
      </c>
      <c r="L158" s="3">
        <f ca="1"/>
        <v>142.35829599601738</v>
      </c>
      <c r="M158" s="3">
        <f ca="1"/>
        <v>117.60984182776798</v>
      </c>
      <c r="N158" s="3">
        <f ca="1"/>
        <v>95.083031432580057</v>
      </c>
      <c r="O158" s="3">
        <f ca="1"/>
        <v>145.37701974865362</v>
      </c>
      <c r="P158" s="3">
        <f ca="1"/>
        <v>133.98864679856399</v>
      </c>
    </row>
    <row r="159" spans="1:16" x14ac:dyDescent="0.25">
      <c r="A159" vm="2365">
        <f ca="1"/>
        <v>45153</v>
      </c>
      <c r="B159" s="3">
        <f ca="1"/>
        <v>141.83575541541003</v>
      </c>
      <c r="C159" s="3">
        <f ca="1"/>
        <v>122.32703060309879</v>
      </c>
      <c r="D159" s="3">
        <f ca="1"/>
        <v>96.711675933280432</v>
      </c>
      <c r="E159" s="3">
        <f ca="1"/>
        <v>123.4723569350145</v>
      </c>
      <c r="F159" s="3">
        <f ca="1"/>
        <v>102.78419212245169</v>
      </c>
      <c r="G159" s="3">
        <f ca="1"/>
        <v>83.962726826875965</v>
      </c>
      <c r="H159" s="3">
        <f ca="1"/>
        <v>125.71930298527614</v>
      </c>
      <c r="I159" s="3">
        <f ca="1"/>
        <v>99.805699481865219</v>
      </c>
      <c r="J159" s="3">
        <f ca="1"/>
        <v>145.10108864696753</v>
      </c>
      <c r="K159" s="3">
        <f ca="1"/>
        <v>245.46256212922916</v>
      </c>
      <c r="L159" s="3">
        <f ca="1"/>
        <v>144.75499608847167</v>
      </c>
      <c r="M159" s="3">
        <f ca="1"/>
        <v>117.59666080843581</v>
      </c>
      <c r="N159" s="3">
        <f ca="1"/>
        <v>94.251670052143226</v>
      </c>
      <c r="O159" s="3">
        <f ca="1"/>
        <v>147.3631059245962</v>
      </c>
      <c r="P159" s="3">
        <f ca="1"/>
        <v>135.25336004674833</v>
      </c>
    </row>
    <row r="160" spans="1:16" x14ac:dyDescent="0.25">
      <c r="A160" vm="2379">
        <f ca="1"/>
        <v>45154</v>
      </c>
      <c r="B160" s="3">
        <f ca="1"/>
        <v>140.10145324924605</v>
      </c>
      <c r="C160" s="3">
        <f ca="1"/>
        <v>120.30816509454101</v>
      </c>
      <c r="D160" s="3">
        <f ca="1"/>
        <v>96.060365369340801</v>
      </c>
      <c r="E160" s="3">
        <f ca="1"/>
        <v>123.66634335596504</v>
      </c>
      <c r="F160" s="3">
        <f ca="1"/>
        <v>102.12443095599394</v>
      </c>
      <c r="G160" s="3">
        <f ca="1"/>
        <v>82.785679254536575</v>
      </c>
      <c r="H160" s="3">
        <f ca="1"/>
        <v>123.84168580305274</v>
      </c>
      <c r="I160" s="3">
        <f ca="1"/>
        <v>98.056994818652782</v>
      </c>
      <c r="J160" s="3">
        <f ca="1"/>
        <v>146.03421461897378</v>
      </c>
      <c r="K160" s="3">
        <f ca="1"/>
        <v>242.06349206349239</v>
      </c>
      <c r="L160" s="3">
        <f ca="1"/>
        <v>144.51319251831308</v>
      </c>
      <c r="M160" s="3">
        <f ca="1"/>
        <v>116.73989455184531</v>
      </c>
      <c r="N160" s="3">
        <f ca="1"/>
        <v>92.890499026239098</v>
      </c>
      <c r="O160" s="3">
        <f ca="1"/>
        <v>145.62387791741486</v>
      </c>
      <c r="P160" s="3">
        <f ca="1"/>
        <v>134.34343434343418</v>
      </c>
    </row>
    <row r="161" spans="1:16" x14ac:dyDescent="0.25">
      <c r="A161" vm="2393">
        <f ca="1"/>
        <v>45155</v>
      </c>
      <c r="B161" s="3">
        <f ca="1"/>
        <v>139.26514943789425</v>
      </c>
      <c r="C161" s="3">
        <f ca="1"/>
        <v>119.55269110930904</v>
      </c>
      <c r="D161" s="3">
        <f ca="1"/>
        <v>96.076250992851527</v>
      </c>
      <c r="E161" s="3">
        <f ca="1"/>
        <v>122.46470524841035</v>
      </c>
      <c r="F161" s="3">
        <f ca="1"/>
        <v>101.08200831299072</v>
      </c>
      <c r="G161" s="3">
        <f ca="1"/>
        <v>82.295242766061847</v>
      </c>
      <c r="H161" s="3">
        <f ca="1"/>
        <v>123.97676617587454</v>
      </c>
      <c r="I161" s="3">
        <f ca="1"/>
        <v>97.76554404145071</v>
      </c>
      <c r="J161" s="3">
        <f ca="1"/>
        <v>145.80093312597222</v>
      </c>
      <c r="K161" s="3">
        <f ca="1"/>
        <v>235.92271925605294</v>
      </c>
      <c r="L161" s="3">
        <f ca="1"/>
        <v>142.7850081786502</v>
      </c>
      <c r="M161" s="3">
        <f ca="1"/>
        <v>115.4745166959578</v>
      </c>
      <c r="N161" s="3">
        <f ca="1"/>
        <v>93.215085963185473</v>
      </c>
      <c r="O161" s="3">
        <f ca="1"/>
        <v>144.41202872531431</v>
      </c>
      <c r="P161" s="3">
        <f ca="1"/>
        <v>133.73403456048067</v>
      </c>
    </row>
    <row r="162" spans="1:16" x14ac:dyDescent="0.25">
      <c r="A162" vm="2407">
        <f ca="1"/>
        <v>45156</v>
      </c>
      <c r="B162" s="3">
        <f ca="1"/>
        <v>136.77337537702232</v>
      </c>
      <c r="C162" s="3">
        <f ca="1"/>
        <v>115.91617226514153</v>
      </c>
      <c r="D162" s="3">
        <f ca="1"/>
        <v>96.282764098490929</v>
      </c>
      <c r="E162" s="3">
        <f ca="1"/>
        <v>120.7296044832417</v>
      </c>
      <c r="F162" s="3">
        <f ca="1"/>
        <v>100.35627102988721</v>
      </c>
      <c r="G162" s="3">
        <f ca="1"/>
        <v>82.123589995095685</v>
      </c>
      <c r="H162" s="3">
        <f ca="1"/>
        <v>123.78765365392398</v>
      </c>
      <c r="I162" s="3">
        <f ca="1"/>
        <v>98.024611398963657</v>
      </c>
      <c r="J162" s="3">
        <f ca="1"/>
        <v>146.65629860031126</v>
      </c>
      <c r="K162" s="3">
        <f ca="1"/>
        <v>228.54737854737886</v>
      </c>
      <c r="L162" s="3">
        <f ca="1"/>
        <v>142.52898086907052</v>
      </c>
      <c r="M162" s="3">
        <f ca="1"/>
        <v>113.07557117750439</v>
      </c>
      <c r="N162" s="3">
        <f ca="1"/>
        <v>93.539672900131848</v>
      </c>
      <c r="O162" s="3">
        <f ca="1"/>
        <v>145.78096947935381</v>
      </c>
      <c r="P162" s="3">
        <f ca="1"/>
        <v>132.26479672760649</v>
      </c>
    </row>
    <row r="163" spans="1:16" x14ac:dyDescent="0.25">
      <c r="A163" vm="2423">
        <f ca="1"/>
        <v>45159</v>
      </c>
      <c r="B163" s="3">
        <f ca="1"/>
        <v>136.3312311488896</v>
      </c>
      <c r="C163" s="3">
        <f ca="1"/>
        <v>113.78633317683216</v>
      </c>
      <c r="D163" s="3">
        <f ca="1"/>
        <v>96.822875297855504</v>
      </c>
      <c r="E163" s="3">
        <f ca="1"/>
        <v>120.63261127276643</v>
      </c>
      <c r="F163" s="3">
        <f ca="1"/>
        <v>100.63996833146403</v>
      </c>
      <c r="G163" s="3">
        <f ca="1"/>
        <v>82.540461010299211</v>
      </c>
      <c r="H163" s="3">
        <f ca="1"/>
        <v>123.05821964068609</v>
      </c>
      <c r="I163" s="3">
        <f ca="1"/>
        <v>99.967616580310803</v>
      </c>
      <c r="J163" s="3">
        <f ca="1"/>
        <v>149.30015552099553</v>
      </c>
      <c r="K163" s="3">
        <f ca="1"/>
        <v>227.07231040564406</v>
      </c>
      <c r="L163" s="3">
        <f ca="1"/>
        <v>144.420738212076</v>
      </c>
      <c r="M163" s="3">
        <f ca="1"/>
        <v>112.94815465729349</v>
      </c>
      <c r="N163" s="3">
        <f ca="1"/>
        <v>94.247481833601981</v>
      </c>
      <c r="O163" s="3">
        <f ca="1"/>
        <v>143.02064631956927</v>
      </c>
      <c r="P163" s="3">
        <f ca="1"/>
        <v>132.0978378829617</v>
      </c>
    </row>
    <row r="164" spans="1:16" x14ac:dyDescent="0.25">
      <c r="A164" vm="2436">
        <f ca="1"/>
        <v>45160</v>
      </c>
      <c r="B164" s="3">
        <f ca="1"/>
        <v>136.23183438442567</v>
      </c>
      <c r="C164" s="3">
        <f ca="1"/>
        <v>113.51316744205901</v>
      </c>
      <c r="D164" s="3">
        <f ca="1"/>
        <v>95.996822875297909</v>
      </c>
      <c r="E164" s="3">
        <f ca="1"/>
        <v>120.0344864748356</v>
      </c>
      <c r="F164" s="3">
        <f ca="1"/>
        <v>100.13195223329159</v>
      </c>
      <c r="G164" s="3">
        <f ca="1"/>
        <v>82.099068170671941</v>
      </c>
      <c r="H164" s="3">
        <f ca="1"/>
        <v>125.0303930838848</v>
      </c>
      <c r="I164" s="3">
        <f ca="1"/>
        <v>99.449481865284895</v>
      </c>
      <c r="J164" s="3">
        <f ca="1"/>
        <v>144.1679626749613</v>
      </c>
      <c r="K164" s="3">
        <f ca="1"/>
        <v>232.40339907006603</v>
      </c>
      <c r="L164" s="3">
        <f ca="1"/>
        <v>144.77633169760333</v>
      </c>
      <c r="M164" s="3">
        <f ca="1"/>
        <v>113.79173989455185</v>
      </c>
      <c r="N164" s="3">
        <f ca="1"/>
        <v>94.546939459300887</v>
      </c>
      <c r="O164" s="3">
        <f ca="1"/>
        <v>144.04174147217253</v>
      </c>
      <c r="P164" s="3">
        <f ca="1"/>
        <v>134.35178228566642</v>
      </c>
    </row>
    <row r="165" spans="1:16" x14ac:dyDescent="0.25">
      <c r="A165" vm="2451">
        <f ca="1"/>
        <v>45161</v>
      </c>
      <c r="B165" s="3">
        <f ca="1"/>
        <v>136.44776528653699</v>
      </c>
      <c r="C165" s="3">
        <f ca="1"/>
        <v>110.7729736651159</v>
      </c>
      <c r="D165" s="3">
        <f ca="1"/>
        <v>95.409054805401169</v>
      </c>
      <c r="E165" s="3">
        <f ca="1"/>
        <v>120.34163164134064</v>
      </c>
      <c r="F165" s="3">
        <f ca="1"/>
        <v>100.17153790327905</v>
      </c>
      <c r="G165" s="3">
        <f ca="1"/>
        <v>81.657675331044672</v>
      </c>
      <c r="H165" s="3">
        <f ca="1"/>
        <v>124.59813589085495</v>
      </c>
      <c r="I165" s="3">
        <f ca="1"/>
        <v>98.801813471502513</v>
      </c>
      <c r="J165" s="3">
        <f ca="1"/>
        <v>146.73405909797842</v>
      </c>
      <c r="K165" s="3">
        <f ca="1"/>
        <v>230.55956389289756</v>
      </c>
      <c r="L165" s="3">
        <f ca="1"/>
        <v>146.95256382903068</v>
      </c>
      <c r="M165" s="3">
        <f ca="1"/>
        <v>113.05799648506151</v>
      </c>
      <c r="N165" s="3">
        <f ca="1"/>
        <v>94.850585303541052</v>
      </c>
      <c r="O165" s="3">
        <f ca="1"/>
        <v>144.83842010772011</v>
      </c>
      <c r="P165" s="3">
        <f ca="1"/>
        <v>134.59387261040135</v>
      </c>
    </row>
    <row r="166" spans="1:16" x14ac:dyDescent="0.25">
      <c r="A166" vm="2465">
        <f ca="1"/>
        <v>45162</v>
      </c>
      <c r="B166" s="3">
        <f ca="1"/>
        <v>138.52138744173305</v>
      </c>
      <c r="C166" s="3">
        <f ca="1"/>
        <v>111.50283836271291</v>
      </c>
      <c r="D166" s="3">
        <f ca="1"/>
        <v>95.742652899126355</v>
      </c>
      <c r="E166" s="3">
        <f ca="1"/>
        <v>121.52171570212305</v>
      </c>
      <c r="F166" s="3">
        <f ca="1"/>
        <v>101.10839875964903</v>
      </c>
      <c r="G166" s="3">
        <f ca="1"/>
        <v>82.123589995095699</v>
      </c>
      <c r="H166" s="3">
        <f ca="1"/>
        <v>127.27272727272717</v>
      </c>
      <c r="I166" s="3">
        <f ca="1"/>
        <v>100.38860103626935</v>
      </c>
      <c r="J166" s="3">
        <f ca="1"/>
        <v>146.73405909797842</v>
      </c>
      <c r="K166" s="3">
        <f ca="1"/>
        <v>235.88263588263621</v>
      </c>
      <c r="L166" s="3">
        <f ca="1"/>
        <v>148.10468672213929</v>
      </c>
      <c r="M166" s="3">
        <f ca="1"/>
        <v>115.13620386643234</v>
      </c>
      <c r="N166" s="3">
        <f ca="1"/>
        <v>95.191925114652392</v>
      </c>
      <c r="O166" s="3">
        <f ca="1"/>
        <v>148.53007181328564</v>
      </c>
      <c r="P166" s="3">
        <f ca="1"/>
        <v>136.48885549711977</v>
      </c>
    </row>
    <row r="167" spans="1:16" x14ac:dyDescent="0.25">
      <c r="A167" vm="2477">
        <f ca="1"/>
        <v>45163</v>
      </c>
      <c r="B167" s="3">
        <f ca="1"/>
        <v>136.52659720318081</v>
      </c>
      <c r="C167" s="3">
        <f ca="1"/>
        <v>110.87114260105001</v>
      </c>
      <c r="D167" s="3">
        <f ca="1"/>
        <v>95.488482922954788</v>
      </c>
      <c r="E167" s="3">
        <f ca="1"/>
        <v>121.00980709128136</v>
      </c>
      <c r="F167" s="3">
        <f ca="1"/>
        <v>100.63996833146403</v>
      </c>
      <c r="G167" s="3">
        <f ca="1"/>
        <v>82.197155468366915</v>
      </c>
      <c r="H167" s="3">
        <f ca="1"/>
        <v>124.98986897203827</v>
      </c>
      <c r="I167" s="3">
        <f ca="1"/>
        <v>98.963730569948098</v>
      </c>
      <c r="J167" s="3">
        <f ca="1"/>
        <v>144.55676516329723</v>
      </c>
      <c r="K167" s="3">
        <f ca="1"/>
        <v>229.87814654481352</v>
      </c>
      <c r="L167" s="3">
        <f ca="1"/>
        <v>143.34684588578341</v>
      </c>
      <c r="M167" s="3">
        <f ca="1"/>
        <v>113.47539543057997</v>
      </c>
      <c r="N167" s="3">
        <f ca="1"/>
        <v>94.768915041986801</v>
      </c>
      <c r="O167" s="3">
        <f ca="1"/>
        <v>145.62387791741489</v>
      </c>
      <c r="P167" s="3">
        <f ca="1"/>
        <v>133.5545538024875</v>
      </c>
    </row>
    <row r="168" spans="1:16" x14ac:dyDescent="0.25">
      <c r="A168" vm="2491">
        <f ca="1"/>
        <v>45166</v>
      </c>
      <c r="B168" s="3">
        <f ca="1"/>
        <v>138.19920482588441</v>
      </c>
      <c r="C168" s="3">
        <f ca="1"/>
        <v>110.66626829997014</v>
      </c>
      <c r="D168" s="3">
        <f ca="1"/>
        <v>95.933280381255017</v>
      </c>
      <c r="E168" s="3">
        <f ca="1"/>
        <v>121.99590473111324</v>
      </c>
      <c r="F168" s="3">
        <f ca="1"/>
        <v>101.29972949792179</v>
      </c>
      <c r="G168" s="3">
        <f ca="1"/>
        <v>83.006375674350224</v>
      </c>
      <c r="H168" s="3">
        <f ca="1"/>
        <v>125.75982709712268</v>
      </c>
      <c r="I168" s="3">
        <f ca="1"/>
        <v>100.09715025906728</v>
      </c>
      <c r="J168" s="3">
        <f ca="1"/>
        <v>145.17884914463471</v>
      </c>
      <c r="K168" s="3">
        <f ca="1"/>
        <v>228.87606220939585</v>
      </c>
      <c r="L168" s="3">
        <f ca="1"/>
        <v>145.98534954839633</v>
      </c>
      <c r="M168" s="3">
        <f ca="1"/>
        <v>114.01142355008788</v>
      </c>
      <c r="N168" s="3">
        <f ca="1"/>
        <v>94.463175088476021</v>
      </c>
      <c r="O168" s="3">
        <f ca="1"/>
        <v>145.73608617594272</v>
      </c>
      <c r="P168" s="3">
        <f ca="1"/>
        <v>134.81091910843958</v>
      </c>
    </row>
    <row r="169" spans="1:16" x14ac:dyDescent="0.25">
      <c r="A169" vm="2503">
        <f ca="1"/>
        <v>45167</v>
      </c>
      <c r="B169" s="3">
        <f ca="1"/>
        <v>140.02604880723896</v>
      </c>
      <c r="C169" s="3">
        <f ca="1"/>
        <v>112.08758376371168</v>
      </c>
      <c r="D169" s="3">
        <f ca="1"/>
        <v>96.203335980937311</v>
      </c>
      <c r="E169" s="3">
        <f ca="1"/>
        <v>122.76646190322232</v>
      </c>
      <c r="F169" s="3">
        <f ca="1"/>
        <v>101.45807217787166</v>
      </c>
      <c r="G169" s="3">
        <f ca="1"/>
        <v>82.981853849926495</v>
      </c>
      <c r="H169" s="3">
        <f ca="1"/>
        <v>126.97555045251914</v>
      </c>
      <c r="I169" s="3">
        <f ca="1"/>
        <v>99.935233160621678</v>
      </c>
      <c r="J169" s="3">
        <f ca="1"/>
        <v>146.6562986003112</v>
      </c>
      <c r="K169" s="3">
        <f ca="1"/>
        <v>232.69199935866632</v>
      </c>
      <c r="L169" s="3">
        <f ca="1"/>
        <v>147.69931014863812</v>
      </c>
      <c r="M169" s="3">
        <f ca="1"/>
        <v>115.07029876977154</v>
      </c>
      <c r="N169" s="3">
        <f ca="1"/>
        <v>94.720750528762494</v>
      </c>
      <c r="O169" s="3">
        <f ca="1"/>
        <v>147.00403949730716</v>
      </c>
      <c r="P169" s="3">
        <f ca="1"/>
        <v>135.11144502880018</v>
      </c>
    </row>
    <row r="170" spans="1:16" x14ac:dyDescent="0.25">
      <c r="A170" vm="2517">
        <f ca="1"/>
        <v>45168</v>
      </c>
      <c r="B170" s="3">
        <f ca="1"/>
        <v>142.75431861804233</v>
      </c>
      <c r="C170" s="3">
        <f ca="1"/>
        <v>113.64975030944558</v>
      </c>
      <c r="D170" s="3">
        <f ca="1"/>
        <v>96.10802223987298</v>
      </c>
      <c r="E170" s="3">
        <f ca="1"/>
        <v>124.67938355426229</v>
      </c>
      <c r="F170" s="3">
        <f ca="1"/>
        <v>101.51745068285285</v>
      </c>
      <c r="G170" s="3">
        <f ca="1"/>
        <v>82.785679254536589</v>
      </c>
      <c r="H170" s="3">
        <f ca="1"/>
        <v>128.4344184789949</v>
      </c>
      <c r="I170" s="3">
        <f ca="1"/>
        <v>99.579015544041368</v>
      </c>
      <c r="J170" s="3">
        <f ca="1"/>
        <v>141.75738724727853</v>
      </c>
      <c r="K170" s="3">
        <f ca="1"/>
        <v>238.8888888888892</v>
      </c>
      <c r="L170" s="3">
        <f ca="1"/>
        <v>148.35360216200843</v>
      </c>
      <c r="M170" s="3">
        <f ca="1"/>
        <v>114.79349736379615</v>
      </c>
      <c r="N170" s="3">
        <f ca="1"/>
        <v>93.899859694678767</v>
      </c>
      <c r="O170" s="3">
        <f ca="1"/>
        <v>150.9986535008978</v>
      </c>
      <c r="P170" s="3">
        <f ca="1"/>
        <v>137.07738542449266</v>
      </c>
    </row>
    <row r="171" spans="1:16" x14ac:dyDescent="0.25">
      <c r="A171" vm="2532">
        <f ca="1"/>
        <v>45169</v>
      </c>
      <c r="B171" s="3">
        <f ca="1"/>
        <v>143.55292020839056</v>
      </c>
      <c r="C171" s="3">
        <f ca="1"/>
        <v>112.72781595458623</v>
      </c>
      <c r="D171" s="3">
        <f ca="1"/>
        <v>96.060365369340801</v>
      </c>
      <c r="E171" s="3">
        <f ca="1"/>
        <v>125.01347127923265</v>
      </c>
      <c r="F171" s="3">
        <f ca="1"/>
        <v>101.62961008115066</v>
      </c>
      <c r="G171" s="3">
        <f ca="1"/>
        <v>82.564982834722969</v>
      </c>
      <c r="H171" s="3">
        <f ca="1"/>
        <v>128.02917736052942</v>
      </c>
      <c r="I171" s="3">
        <f ca="1"/>
        <v>99.514248704663132</v>
      </c>
      <c r="J171" s="3">
        <f ca="1"/>
        <v>147.43390357698306</v>
      </c>
      <c r="K171" s="3">
        <f ca="1"/>
        <v>236.57206990540357</v>
      </c>
      <c r="L171" s="3">
        <f ca="1"/>
        <v>149.0932366119053</v>
      </c>
      <c r="M171" s="3">
        <f ca="1"/>
        <v>114.61335676625662</v>
      </c>
      <c r="N171" s="3">
        <f ca="1"/>
        <v>94.739597512198088</v>
      </c>
      <c r="O171" s="3">
        <f ca="1"/>
        <v>152.46858168761233</v>
      </c>
      <c r="P171" s="3">
        <f ca="1"/>
        <v>137.23599632690522</v>
      </c>
    </row>
    <row r="172" spans="1:16" x14ac:dyDescent="0.25">
      <c r="A172" vm="2546">
        <f ca="1"/>
        <v>45170</v>
      </c>
      <c r="B172" s="3">
        <f ca="1"/>
        <v>142.89141760350984</v>
      </c>
      <c r="C172" s="3">
        <f ca="1"/>
        <v>112.26258056255071</v>
      </c>
      <c r="D172" s="3">
        <f ca="1"/>
        <v>95.043685464654544</v>
      </c>
      <c r="E172" s="3">
        <f ca="1"/>
        <v>123.71483996120269</v>
      </c>
      <c r="F172" s="3">
        <f ca="1"/>
        <v>101.82753843108799</v>
      </c>
      <c r="G172" s="3">
        <f ca="1"/>
        <v>81.142717018146229</v>
      </c>
      <c r="H172" s="3">
        <f ca="1"/>
        <v>126.39470484938528</v>
      </c>
      <c r="I172" s="3">
        <f ca="1"/>
        <v>97.797927461139807</v>
      </c>
      <c r="J172" s="3">
        <f ca="1"/>
        <v>145.48989113530342</v>
      </c>
      <c r="K172" s="3">
        <f ca="1"/>
        <v>237.20538720538752</v>
      </c>
      <c r="L172" s="3">
        <f ca="1"/>
        <v>149.2568096152479</v>
      </c>
      <c r="M172" s="3">
        <f ca="1"/>
        <v>114.48154657293499</v>
      </c>
      <c r="N172" s="3">
        <f ca="1"/>
        <v>93.889389148325662</v>
      </c>
      <c r="O172" s="3">
        <f ca="1"/>
        <v>152.79398563734301</v>
      </c>
      <c r="P172" s="3">
        <f ca="1"/>
        <v>136.80607730194487</v>
      </c>
    </row>
    <row r="173" spans="1:16" x14ac:dyDescent="0.25">
      <c r="A173" vm="2559">
        <f ca="1"/>
        <v>45174</v>
      </c>
      <c r="B173" s="3">
        <f ca="1"/>
        <v>144.79709350150821</v>
      </c>
      <c r="C173" s="3">
        <f ca="1"/>
        <v>114.63997609799824</v>
      </c>
      <c r="D173" s="3">
        <f ca="1"/>
        <v>94.217633042096963</v>
      </c>
      <c r="E173" s="3">
        <f ca="1"/>
        <v>124.4045694579157</v>
      </c>
      <c r="F173" s="3">
        <f ca="1"/>
        <v>101.93969782938579</v>
      </c>
      <c r="G173" s="3">
        <f ca="1"/>
        <v>79.892103972535622</v>
      </c>
      <c r="H173" s="3">
        <f ca="1"/>
        <v>125.88139943266233</v>
      </c>
      <c r="I173" s="3">
        <f ca="1"/>
        <v>99.190414507771933</v>
      </c>
      <c r="J173" s="3">
        <f ca="1"/>
        <v>148.60031104199084</v>
      </c>
      <c r="K173" s="3">
        <f ca="1"/>
        <v>237.59820426487124</v>
      </c>
      <c r="L173" s="3">
        <f ca="1"/>
        <v>151.02766517317409</v>
      </c>
      <c r="M173" s="3">
        <f ca="1"/>
        <v>114.00702987697717</v>
      </c>
      <c r="N173" s="3">
        <f ca="1"/>
        <v>93.853789290725089</v>
      </c>
      <c r="O173" s="3">
        <f ca="1"/>
        <v>152.22172351885112</v>
      </c>
      <c r="P173" s="3">
        <f ca="1"/>
        <v>137.18173470239569</v>
      </c>
    </row>
    <row r="174" spans="1:16" x14ac:dyDescent="0.25">
      <c r="A174" vm="2575">
        <f ca="1"/>
        <v>45175</v>
      </c>
      <c r="B174" s="3">
        <f ca="1"/>
        <v>141.0988483685222</v>
      </c>
      <c r="C174" s="3">
        <f ca="1"/>
        <v>110.06445004054808</v>
      </c>
      <c r="D174" s="3">
        <f ca="1"/>
        <v>93.439237490071548</v>
      </c>
      <c r="E174" s="3">
        <f ca="1"/>
        <v>120.50867550382581</v>
      </c>
      <c r="F174" s="3">
        <f ca="1"/>
        <v>100.57399221481828</v>
      </c>
      <c r="G174" s="3">
        <f ca="1"/>
        <v>79.818538499264406</v>
      </c>
      <c r="H174" s="3">
        <f ca="1"/>
        <v>127.78603268945012</v>
      </c>
      <c r="I174" s="3">
        <f ca="1"/>
        <v>96.891191709844477</v>
      </c>
      <c r="J174" s="3">
        <f ca="1"/>
        <v>142.22395023328164</v>
      </c>
      <c r="K174" s="3">
        <f ca="1"/>
        <v>240.6204906204909</v>
      </c>
      <c r="L174" s="3">
        <f ca="1"/>
        <v>148.50295142592992</v>
      </c>
      <c r="M174" s="3">
        <f ca="1"/>
        <v>113.13708260105449</v>
      </c>
      <c r="N174" s="3">
        <f ca="1"/>
        <v>93.227650618809179</v>
      </c>
      <c r="O174" s="3">
        <f ca="1"/>
        <v>152.34515260323175</v>
      </c>
      <c r="P174" s="3">
        <f ca="1"/>
        <v>139.22280657817831</v>
      </c>
    </row>
    <row r="175" spans="1:16" x14ac:dyDescent="0.25">
      <c r="A175" vm="2590">
        <f ca="1"/>
        <v>45176</v>
      </c>
      <c r="B175" s="3">
        <f ca="1"/>
        <v>141.16397038661927</v>
      </c>
      <c r="C175" s="3">
        <f ca="1"/>
        <v>108.26326347688766</v>
      </c>
      <c r="D175" s="3">
        <f ca="1"/>
        <v>93.375694996028656</v>
      </c>
      <c r="E175" s="3">
        <f ca="1"/>
        <v>120.58950317922186</v>
      </c>
      <c r="F175" s="3">
        <f ca="1"/>
        <v>100.37606386488095</v>
      </c>
      <c r="G175" s="3">
        <f ca="1"/>
        <v>79.867582148111879</v>
      </c>
      <c r="H175" s="3">
        <f ca="1"/>
        <v>124.62515196541935</v>
      </c>
      <c r="I175" s="3">
        <f ca="1"/>
        <v>96.275906735751221</v>
      </c>
      <c r="J175" s="3">
        <f ca="1"/>
        <v>140.82426127527231</v>
      </c>
      <c r="K175" s="3">
        <f ca="1"/>
        <v>239.83485650152346</v>
      </c>
      <c r="L175" s="3">
        <f ca="1"/>
        <v>148.70208377782524</v>
      </c>
      <c r="M175" s="3">
        <f ca="1"/>
        <v>113.71265377855889</v>
      </c>
      <c r="N175" s="3">
        <f ca="1"/>
        <v>88.777668418737989</v>
      </c>
      <c r="O175" s="3">
        <f ca="1"/>
        <v>150.8752244165172</v>
      </c>
      <c r="P175" s="3">
        <f ca="1"/>
        <v>138.94315051339825</v>
      </c>
    </row>
    <row r="176" spans="1:16" x14ac:dyDescent="0.25">
      <c r="A176" vm="2605">
        <f ca="1"/>
        <v>45177</v>
      </c>
      <c r="B176" s="3">
        <f ca="1"/>
        <v>140.22141486153015</v>
      </c>
      <c r="C176" s="3">
        <f ca="1"/>
        <v>105.96269580434507</v>
      </c>
      <c r="D176" s="3">
        <f ca="1"/>
        <v>92.660841938046133</v>
      </c>
      <c r="E176" s="3">
        <f ca="1"/>
        <v>120.9505334626576</v>
      </c>
      <c r="F176" s="3">
        <f ca="1"/>
        <v>101.33271755624469</v>
      </c>
      <c r="G176" s="3">
        <f ca="1"/>
        <v>80.137322216772986</v>
      </c>
      <c r="H176" s="3">
        <f ca="1"/>
        <v>121.63987572605693</v>
      </c>
      <c r="I176" s="3">
        <f ca="1"/>
        <v>95.498704663212365</v>
      </c>
      <c r="J176" s="3">
        <f ca="1"/>
        <v>142.37947122861598</v>
      </c>
      <c r="K176" s="3">
        <f ca="1"/>
        <v>239.4340227673564</v>
      </c>
      <c r="L176" s="3">
        <f ca="1"/>
        <v>148.42472085911388</v>
      </c>
      <c r="M176" s="3">
        <f ca="1"/>
        <v>114.04217926186293</v>
      </c>
      <c r="N176" s="3">
        <f ca="1"/>
        <v>89.196490272862334</v>
      </c>
      <c r="O176" s="3">
        <f ca="1"/>
        <v>151.7728904847398</v>
      </c>
      <c r="P176" s="3">
        <f ca="1"/>
        <v>137.70348109191065</v>
      </c>
    </row>
    <row r="177" spans="1:16" x14ac:dyDescent="0.25">
      <c r="A177" vm="2617">
        <f ca="1"/>
        <v>45180</v>
      </c>
      <c r="B177" s="3">
        <f ca="1"/>
        <v>140.25226213326033</v>
      </c>
      <c r="C177" s="3">
        <f ca="1"/>
        <v>107.2858423321525</v>
      </c>
      <c r="D177" s="3">
        <f ca="1"/>
        <v>92.660841938046133</v>
      </c>
      <c r="E177" s="3">
        <f ca="1"/>
        <v>120.02909796314256</v>
      </c>
      <c r="F177" s="3">
        <f ca="1"/>
        <v>100.89727518638257</v>
      </c>
      <c r="G177" s="3">
        <f ca="1"/>
        <v>80.82393330063762</v>
      </c>
      <c r="H177" s="3">
        <f ca="1"/>
        <v>121.08604619748743</v>
      </c>
      <c r="I177" s="3">
        <f ca="1"/>
        <v>96.988341968911854</v>
      </c>
      <c r="J177" s="3">
        <f ca="1"/>
        <v>142.69051321928475</v>
      </c>
      <c r="K177" s="3">
        <f ca="1"/>
        <v>238.80872214205576</v>
      </c>
      <c r="L177" s="3">
        <f ca="1"/>
        <v>146.86010952279355</v>
      </c>
      <c r="M177" s="3">
        <f ca="1"/>
        <v>113.88400702987698</v>
      </c>
      <c r="N177" s="3">
        <f ca="1"/>
        <v>88.599669130735137</v>
      </c>
      <c r="O177" s="3">
        <f ca="1"/>
        <v>153.0296229802515</v>
      </c>
      <c r="P177" s="3">
        <f ca="1"/>
        <v>139.52333249853888</v>
      </c>
    </row>
    <row r="178" spans="1:16" x14ac:dyDescent="0.25">
      <c r="A178" vm="2632">
        <f ca="1"/>
        <v>45181</v>
      </c>
      <c r="B178" s="3">
        <f ca="1"/>
        <v>139.21373731834396</v>
      </c>
      <c r="C178" s="3">
        <f ca="1"/>
        <v>118.81428998250036</v>
      </c>
      <c r="D178" s="3">
        <f ca="1"/>
        <v>93.534551231135893</v>
      </c>
      <c r="E178" s="3">
        <f ca="1"/>
        <v>123.27837051406399</v>
      </c>
      <c r="F178" s="3">
        <f ca="1"/>
        <v>102.09804050933566</v>
      </c>
      <c r="G178" s="3">
        <f ca="1"/>
        <v>82.466895537028009</v>
      </c>
      <c r="H178" s="3">
        <f ca="1"/>
        <v>121.03201404835869</v>
      </c>
      <c r="I178" s="3">
        <f ca="1"/>
        <v>97.733160621761584</v>
      </c>
      <c r="J178" s="3">
        <f ca="1"/>
        <v>139.50233281493016</v>
      </c>
      <c r="K178" s="3">
        <f ca="1"/>
        <v>246.56084656084687</v>
      </c>
      <c r="L178" s="3">
        <f ca="1"/>
        <v>145.82177654505369</v>
      </c>
      <c r="M178" s="3">
        <f ca="1"/>
        <v>114.01581722319861</v>
      </c>
      <c r="N178" s="3">
        <f ca="1"/>
        <v>88.090800577974065</v>
      </c>
      <c r="O178" s="3">
        <f ca="1"/>
        <v>153.63554757630175</v>
      </c>
      <c r="P178" s="3">
        <f ca="1"/>
        <v>141.05517989815488</v>
      </c>
    </row>
    <row r="179" spans="1:16" x14ac:dyDescent="0.25">
      <c r="A179" vm="2646">
        <f ca="1"/>
        <v>45182</v>
      </c>
      <c r="B179" s="3">
        <f ca="1"/>
        <v>138.94296682204563</v>
      </c>
      <c r="C179" s="3">
        <f ca="1"/>
        <v>119.80024755644718</v>
      </c>
      <c r="D179" s="3">
        <f ca="1"/>
        <v>92.613185067513967</v>
      </c>
      <c r="E179" s="3">
        <f ca="1"/>
        <v>122.24377626899449</v>
      </c>
      <c r="F179" s="3">
        <f ca="1"/>
        <v>100.3034901365706</v>
      </c>
      <c r="G179" s="3">
        <f ca="1"/>
        <v>82.295242766061847</v>
      </c>
      <c r="H179" s="3">
        <f ca="1"/>
        <v>122.22072132919079</v>
      </c>
      <c r="I179" s="3">
        <f ca="1"/>
        <v>99.060880829015474</v>
      </c>
      <c r="J179" s="3">
        <f ca="1"/>
        <v>140.12441679626761</v>
      </c>
      <c r="K179" s="3">
        <f ca="1"/>
        <v>241.8310084976755</v>
      </c>
      <c r="L179" s="3">
        <f ca="1"/>
        <v>145.43062371097361</v>
      </c>
      <c r="M179" s="3">
        <f ca="1"/>
        <v>114.52987697715292</v>
      </c>
      <c r="N179" s="3">
        <f ca="1"/>
        <v>87.498167654388098</v>
      </c>
      <c r="O179" s="3">
        <f ca="1"/>
        <v>151.86265709156208</v>
      </c>
      <c r="P179" s="3">
        <f ca="1"/>
        <v>138.4798397195089</v>
      </c>
    </row>
    <row r="180" spans="1:16" x14ac:dyDescent="0.25">
      <c r="A180" vm="2661">
        <f ca="1"/>
        <v>45183</v>
      </c>
      <c r="B180" s="3">
        <f ca="1"/>
        <v>133.68179325473002</v>
      </c>
      <c r="C180" s="3">
        <f ca="1"/>
        <v>118.45575995561059</v>
      </c>
      <c r="D180" s="3">
        <f ca="1"/>
        <v>92.835583796664082</v>
      </c>
      <c r="E180" s="3">
        <f ca="1"/>
        <v>124.16747494342061</v>
      </c>
      <c r="F180" s="3">
        <f ca="1"/>
        <v>101.0028369730158</v>
      </c>
      <c r="G180" s="3">
        <f ca="1"/>
        <v>81.387935262383564</v>
      </c>
      <c r="H180" s="3">
        <f ca="1"/>
        <v>123.22031608807232</v>
      </c>
      <c r="I180" s="3">
        <f ca="1"/>
        <v>98.769430051813401</v>
      </c>
      <c r="J180" s="3">
        <f ca="1"/>
        <v>136.31415241057556</v>
      </c>
      <c r="K180" s="3">
        <f ca="1"/>
        <v>244.55667789001151</v>
      </c>
      <c r="L180" s="3">
        <f ca="1"/>
        <v>142.4720859113861</v>
      </c>
      <c r="M180" s="3">
        <f ca="1"/>
        <v>114.31458699472762</v>
      </c>
      <c r="N180" s="3">
        <f ca="1"/>
        <v>88.159906183904582</v>
      </c>
      <c r="O180" s="3">
        <f ca="1"/>
        <v>153.39991023339334</v>
      </c>
      <c r="P180" s="3">
        <f ca="1"/>
        <v>140.27047332832433</v>
      </c>
    </row>
    <row r="181" spans="1:16" x14ac:dyDescent="0.25">
      <c r="A181" vm="2676">
        <f ca="1"/>
        <v>45184</v>
      </c>
      <c r="B181" s="3">
        <f ca="1"/>
        <v>135.44694269262419</v>
      </c>
      <c r="C181" s="3">
        <f ca="1"/>
        <v>117.11127235477403</v>
      </c>
      <c r="D181" s="3">
        <f ca="1"/>
        <v>92.867355043685535</v>
      </c>
      <c r="E181" s="3">
        <f ca="1"/>
        <v>123.88188382368789</v>
      </c>
      <c r="F181" s="3">
        <f ca="1"/>
        <v>102.11123573266482</v>
      </c>
      <c r="G181" s="3">
        <f ca="1"/>
        <v>82.810201078960333</v>
      </c>
      <c r="H181" s="3">
        <f ca="1"/>
        <v>123.55801702012691</v>
      </c>
      <c r="I181" s="3">
        <f ca="1"/>
        <v>100.51813471502584</v>
      </c>
      <c r="J181" s="3">
        <f ca="1"/>
        <v>141.95178849144648</v>
      </c>
      <c r="K181" s="3">
        <f ca="1"/>
        <v>249.89578322911686</v>
      </c>
      <c r="L181" s="3">
        <f ca="1"/>
        <v>144.22160586018063</v>
      </c>
      <c r="M181" s="3">
        <f ca="1"/>
        <v>115.48769771529001</v>
      </c>
      <c r="N181" s="3">
        <f ca="1"/>
        <v>89.186019726509215</v>
      </c>
      <c r="O181" s="3">
        <f ca="1"/>
        <v>154.95960502693012</v>
      </c>
      <c r="P181" s="3">
        <f ca="1"/>
        <v>141.37240170297997</v>
      </c>
    </row>
    <row r="182" spans="1:16" x14ac:dyDescent="0.25">
      <c r="A182" vm="2691">
        <f ca="1"/>
        <v>45187</v>
      </c>
      <c r="B182" s="3">
        <f ca="1"/>
        <v>134.39813545379775</v>
      </c>
      <c r="C182" s="3">
        <f ca="1"/>
        <v>114.93448290580052</v>
      </c>
      <c r="D182" s="3">
        <f ca="1"/>
        <v>92.04130262112794</v>
      </c>
      <c r="E182" s="3">
        <f ca="1"/>
        <v>123.66634335596507</v>
      </c>
      <c r="F182" s="3">
        <f ca="1"/>
        <v>101.25354621626975</v>
      </c>
      <c r="G182" s="3">
        <f ca="1"/>
        <v>82.025502697400739</v>
      </c>
      <c r="H182" s="3">
        <f ca="1"/>
        <v>120.5592327434823</v>
      </c>
      <c r="I182" s="3">
        <f ca="1"/>
        <v>99.902849740932581</v>
      </c>
      <c r="J182" s="3">
        <f ca="1"/>
        <v>141.9129082426129</v>
      </c>
      <c r="K182" s="3">
        <f ca="1"/>
        <v>240.74875741542436</v>
      </c>
      <c r="L182" s="3">
        <f ca="1"/>
        <v>141.6968921129365</v>
      </c>
      <c r="M182" s="3">
        <f ca="1"/>
        <v>114.38488576449913</v>
      </c>
      <c r="N182" s="3">
        <f ca="1"/>
        <v>88.800703620714813</v>
      </c>
      <c r="O182" s="3">
        <f ca="1"/>
        <v>154.17414721723534</v>
      </c>
      <c r="P182" s="3">
        <f ca="1"/>
        <v>137.83287419651035</v>
      </c>
    </row>
    <row r="183" spans="1:16" x14ac:dyDescent="0.25">
      <c r="A183" vm="2705">
        <f ca="1"/>
        <v>45188</v>
      </c>
      <c r="B183" s="3">
        <f ca="1"/>
        <v>135.68001096791895</v>
      </c>
      <c r="C183" s="3">
        <f ca="1"/>
        <v>115.36557258098939</v>
      </c>
      <c r="D183" s="3">
        <f ca="1"/>
        <v>92.613185067513953</v>
      </c>
      <c r="E183" s="3">
        <f ca="1"/>
        <v>122.90117469554907</v>
      </c>
      <c r="F183" s="3">
        <f ca="1"/>
        <v>101.63620769281525</v>
      </c>
      <c r="G183" s="3">
        <f ca="1"/>
        <v>81.951937224129523</v>
      </c>
      <c r="H183" s="3">
        <f ca="1"/>
        <v>119.99189517763061</v>
      </c>
      <c r="I183" s="3">
        <f ca="1"/>
        <v>100.71243523316056</v>
      </c>
      <c r="J183" s="3">
        <f ca="1"/>
        <v>148.60031104199081</v>
      </c>
      <c r="K183" s="3">
        <f ca="1"/>
        <v>242.54449254449287</v>
      </c>
      <c r="L183" s="3">
        <f ca="1"/>
        <v>140.60166417751225</v>
      </c>
      <c r="M183" s="3">
        <f ca="1"/>
        <v>114.53866432337436</v>
      </c>
      <c r="N183" s="3">
        <f ca="1"/>
        <v>90.017381106946047</v>
      </c>
      <c r="O183" s="3">
        <f ca="1"/>
        <v>155.08303411131072</v>
      </c>
      <c r="P183" s="3">
        <f ca="1"/>
        <v>137.34869354704043</v>
      </c>
    </row>
    <row r="184" spans="1:16" x14ac:dyDescent="0.25">
      <c r="A184" vm="2718">
        <f ca="1"/>
        <v>45189</v>
      </c>
      <c r="B184" s="3">
        <f ca="1"/>
        <v>134.25760899369354</v>
      </c>
      <c r="C184" s="3">
        <f ca="1"/>
        <v>116.05702334713391</v>
      </c>
      <c r="D184" s="3">
        <f ca="1"/>
        <v>92.422557585385277</v>
      </c>
      <c r="E184" s="3">
        <f ca="1"/>
        <v>122.23838775730141</v>
      </c>
      <c r="F184" s="3">
        <f ca="1"/>
        <v>101.33931516790926</v>
      </c>
      <c r="G184" s="3">
        <f ca="1"/>
        <v>83.22707209416383</v>
      </c>
      <c r="H184" s="3">
        <f ca="1"/>
        <v>119.10036471700654</v>
      </c>
      <c r="I184" s="3">
        <f ca="1"/>
        <v>100.09715025906729</v>
      </c>
      <c r="J184" s="3">
        <f ca="1"/>
        <v>147.66718506998458</v>
      </c>
      <c r="K184" s="3">
        <f ca="1"/>
        <v>244.56469456469486</v>
      </c>
      <c r="L184" s="3">
        <f ca="1"/>
        <v>139.48510063295637</v>
      </c>
      <c r="M184" s="3">
        <f ca="1"/>
        <v>114.23550087873465</v>
      </c>
      <c r="N184" s="3">
        <f ca="1"/>
        <v>89.064561388813146</v>
      </c>
      <c r="O184" s="3">
        <f ca="1"/>
        <v>154.89228007181339</v>
      </c>
      <c r="P184" s="3">
        <f ca="1"/>
        <v>137.1775607312795</v>
      </c>
    </row>
    <row r="185" spans="1:16" x14ac:dyDescent="0.25">
      <c r="A185" vm="2730">
        <f ca="1"/>
        <v>45190</v>
      </c>
      <c r="B185" s="3">
        <f ca="1"/>
        <v>133.82917466410757</v>
      </c>
      <c r="C185" s="3">
        <f ca="1"/>
        <v>113.62840923641642</v>
      </c>
      <c r="D185" s="3">
        <f ca="1"/>
        <v>92.835583796664068</v>
      </c>
      <c r="E185" s="3">
        <f ca="1"/>
        <v>121.38700290979629</v>
      </c>
      <c r="F185" s="3">
        <f ca="1"/>
        <v>101.25354621626975</v>
      </c>
      <c r="G185" s="3">
        <f ca="1"/>
        <v>83.423246689553736</v>
      </c>
      <c r="H185" s="3">
        <f ca="1"/>
        <v>117.91165743617445</v>
      </c>
      <c r="I185" s="3">
        <f ca="1"/>
        <v>101.39248704663206</v>
      </c>
      <c r="J185" s="3">
        <f ca="1"/>
        <v>150.46656298600328</v>
      </c>
      <c r="K185" s="3">
        <f ca="1"/>
        <v>240.23569023569053</v>
      </c>
      <c r="L185" s="3">
        <f ca="1"/>
        <v>138.85925609842826</v>
      </c>
      <c r="M185" s="3">
        <f ca="1"/>
        <v>115.07029876977155</v>
      </c>
      <c r="N185" s="3">
        <f ca="1"/>
        <v>89.407995309195115</v>
      </c>
      <c r="O185" s="3">
        <f ca="1"/>
        <v>150.06732495511682</v>
      </c>
      <c r="P185" s="3">
        <f ca="1"/>
        <v>133.88847149177704</v>
      </c>
    </row>
    <row r="186" spans="1:16" x14ac:dyDescent="0.25">
      <c r="A186" vm="2745">
        <f ca="1"/>
        <v>45191</v>
      </c>
      <c r="B186" s="3">
        <f ca="1"/>
        <v>130.79585961063898</v>
      </c>
      <c r="C186" s="3">
        <f ca="1"/>
        <v>109.22787997780529</v>
      </c>
      <c r="D186" s="3">
        <f ca="1"/>
        <v>91.405877680699021</v>
      </c>
      <c r="E186" s="3">
        <f ca="1"/>
        <v>118.90828753098391</v>
      </c>
      <c r="F186" s="3">
        <f ca="1"/>
        <v>100.37606386488095</v>
      </c>
      <c r="G186" s="3">
        <f ca="1"/>
        <v>84.575772437469382</v>
      </c>
      <c r="H186" s="3">
        <f ca="1"/>
        <v>115.30460624071314</v>
      </c>
      <c r="I186" s="3">
        <f ca="1"/>
        <v>100.4533678756476</v>
      </c>
      <c r="J186" s="3">
        <f ca="1"/>
        <v>150.15552099533451</v>
      </c>
      <c r="K186" s="3">
        <f ca="1"/>
        <v>237.07712041045403</v>
      </c>
      <c r="L186" s="3">
        <f ca="1"/>
        <v>132.6150344925681</v>
      </c>
      <c r="M186" s="3">
        <f ca="1"/>
        <v>112.6845342706503</v>
      </c>
      <c r="N186" s="3">
        <f ca="1"/>
        <v>87.437438485540071</v>
      </c>
      <c r="O186" s="3">
        <f ca="1"/>
        <v>146.36445242369848</v>
      </c>
      <c r="P186" s="3">
        <f ca="1"/>
        <v>133.37089907337815</v>
      </c>
    </row>
    <row r="187" spans="1:16" x14ac:dyDescent="0.25">
      <c r="A187" vm="2761">
        <f ca="1"/>
        <v>45194</v>
      </c>
      <c r="B187" s="3">
        <f ca="1"/>
        <v>132.74609267891429</v>
      </c>
      <c r="C187" s="3">
        <f ca="1"/>
        <v>108.53642921166076</v>
      </c>
      <c r="D187" s="3">
        <f ca="1"/>
        <v>91.501191421763366</v>
      </c>
      <c r="E187" s="3">
        <f ca="1"/>
        <v>120.67033085461793</v>
      </c>
      <c r="F187" s="3">
        <f ca="1"/>
        <v>100.00659761166463</v>
      </c>
      <c r="G187" s="3">
        <f ca="1"/>
        <v>83.766552231486045</v>
      </c>
      <c r="H187" s="3">
        <f ca="1"/>
        <v>115.68283128461427</v>
      </c>
      <c r="I187" s="3">
        <f ca="1"/>
        <v>101.03626943005175</v>
      </c>
      <c r="J187" s="3">
        <f ca="1"/>
        <v>155.36547433903596</v>
      </c>
      <c r="K187" s="3">
        <f ca="1"/>
        <v>239.76270642937334</v>
      </c>
      <c r="L187" s="3">
        <f ca="1"/>
        <v>134.02318469525639</v>
      </c>
      <c r="M187" s="3">
        <f ca="1"/>
        <v>112.49121265377858</v>
      </c>
      <c r="N187" s="3">
        <f ca="1"/>
        <v>86.622829979268204</v>
      </c>
      <c r="O187" s="3">
        <f ca="1"/>
        <v>146.15125673249563</v>
      </c>
      <c r="P187" s="3">
        <f ca="1"/>
        <v>132.31905835211595</v>
      </c>
    </row>
    <row r="188" spans="1:16" x14ac:dyDescent="0.25">
      <c r="A188" vm="2775">
        <f ca="1"/>
        <v>45195</v>
      </c>
      <c r="B188" s="3">
        <f ca="1"/>
        <v>134.18905950095981</v>
      </c>
      <c r="C188" s="3">
        <f ca="1"/>
        <v>109.12971104187119</v>
      </c>
      <c r="D188" s="3">
        <f ca="1"/>
        <v>90.548054011119987</v>
      </c>
      <c r="E188" s="3">
        <f ca="1"/>
        <v>121.63487444767752</v>
      </c>
      <c r="F188" s="3">
        <f ca="1"/>
        <v>99.399617338523498</v>
      </c>
      <c r="G188" s="3">
        <f ca="1"/>
        <v>84.158901422265842</v>
      </c>
      <c r="H188" s="3">
        <f ca="1"/>
        <v>116.49331352154523</v>
      </c>
      <c r="I188" s="3">
        <f ca="1"/>
        <v>100.87435233160615</v>
      </c>
      <c r="J188" s="3">
        <f ca="1"/>
        <v>154.58786936236407</v>
      </c>
      <c r="K188" s="3">
        <f ca="1"/>
        <v>241.1656244989581</v>
      </c>
      <c r="L188" s="3">
        <f ca="1"/>
        <v>133.40445203043882</v>
      </c>
      <c r="M188" s="3">
        <f ca="1"/>
        <v>112.67574692442885</v>
      </c>
      <c r="N188" s="3">
        <f ca="1"/>
        <v>86.465771783971576</v>
      </c>
      <c r="O188" s="3">
        <f ca="1"/>
        <v>147.11624775583496</v>
      </c>
      <c r="P188" s="3">
        <f ca="1"/>
        <v>132.54027882127031</v>
      </c>
    </row>
    <row r="189" spans="1:16" x14ac:dyDescent="0.25">
      <c r="A189" vm="2791">
        <f ca="1"/>
        <v>45196</v>
      </c>
      <c r="B189" s="3">
        <f ca="1"/>
        <v>131.57732382780381</v>
      </c>
      <c r="C189" s="3">
        <f ca="1"/>
        <v>108.17789918477101</v>
      </c>
      <c r="D189" s="3">
        <f ca="1"/>
        <v>89.801429706116011</v>
      </c>
      <c r="E189" s="3">
        <f ca="1"/>
        <v>120.28774652440993</v>
      </c>
      <c r="F189" s="3">
        <f ca="1"/>
        <v>98.515537375470117</v>
      </c>
      <c r="G189" s="3">
        <f ca="1"/>
        <v>84.600294261893112</v>
      </c>
      <c r="H189" s="3">
        <f ca="1"/>
        <v>113.85924625151958</v>
      </c>
      <c r="I189" s="3">
        <f ca="1"/>
        <v>99.158031088082851</v>
      </c>
      <c r="J189" s="3">
        <f ca="1"/>
        <v>156.22083981337497</v>
      </c>
      <c r="K189" s="3">
        <f ca="1"/>
        <v>239.66650633317326</v>
      </c>
      <c r="L189" s="3">
        <f ca="1"/>
        <v>131.46291159945949</v>
      </c>
      <c r="M189" s="3">
        <f ca="1"/>
        <v>111.33567662565909</v>
      </c>
      <c r="N189" s="3">
        <f ca="1"/>
        <v>85.596716436663556</v>
      </c>
      <c r="O189" s="3">
        <f ca="1"/>
        <v>144.26054757630172</v>
      </c>
      <c r="P189" s="3">
        <f ca="1"/>
        <v>130.28633441856556</v>
      </c>
    </row>
    <row r="190" spans="1:16" x14ac:dyDescent="0.25">
      <c r="A190" vm="2806">
        <f ca="1"/>
        <v>45197</v>
      </c>
      <c r="B190" s="3">
        <f ca="1"/>
        <v>134.05196051549231</v>
      </c>
      <c r="C190" s="3">
        <f ca="1"/>
        <v>108.86508173630972</v>
      </c>
      <c r="D190" s="3">
        <f ca="1"/>
        <v>88.880063542494099</v>
      </c>
      <c r="E190" s="3">
        <f ca="1"/>
        <v>117.41566979200341</v>
      </c>
      <c r="F190" s="3">
        <f ca="1"/>
        <v>97.209210265883797</v>
      </c>
      <c r="G190" s="3">
        <f ca="1"/>
        <v>83.447768513977479</v>
      </c>
      <c r="H190" s="3">
        <f ca="1"/>
        <v>115.4126705389706</v>
      </c>
      <c r="I190" s="3">
        <f ca="1"/>
        <v>98.056994818652797</v>
      </c>
      <c r="J190" s="3">
        <f ca="1"/>
        <v>155.90979782270622</v>
      </c>
      <c r="K190" s="3">
        <f ca="1"/>
        <v>238.68847202180564</v>
      </c>
      <c r="L190" s="3">
        <f ca="1"/>
        <v>135.21086693691771</v>
      </c>
      <c r="M190" s="3">
        <f ca="1"/>
        <v>110.10105448154661</v>
      </c>
      <c r="N190" s="3">
        <f ca="1"/>
        <v>85.590434108851696</v>
      </c>
      <c r="O190" s="3">
        <f ca="1"/>
        <v>146.47666068222631</v>
      </c>
      <c r="P190" s="3">
        <f ca="1"/>
        <v>130.55764254111338</v>
      </c>
    </row>
    <row r="191" spans="1:16" x14ac:dyDescent="0.25">
      <c r="A191" vm="2821">
        <f ca="1"/>
        <v>45198</v>
      </c>
      <c r="B191" s="3">
        <f ca="1"/>
        <v>134.50438716753507</v>
      </c>
      <c r="C191" s="3">
        <f ca="1"/>
        <v>110.71321866063425</v>
      </c>
      <c r="D191" s="3">
        <f ca="1"/>
        <v>88.657664813343985</v>
      </c>
      <c r="E191" s="3">
        <f ca="1"/>
        <v>119.72734130833061</v>
      </c>
      <c r="F191" s="3">
        <f ca="1"/>
        <v>96.549449099426056</v>
      </c>
      <c r="G191" s="3">
        <f ca="1"/>
        <v>82.761157430112846</v>
      </c>
      <c r="H191" s="3">
        <f ca="1"/>
        <v>116.72295015534235</v>
      </c>
      <c r="I191" s="3">
        <f ca="1"/>
        <v>98.996113989637252</v>
      </c>
      <c r="J191" s="3">
        <f ca="1"/>
        <v>160.49766718507016</v>
      </c>
      <c r="K191" s="3">
        <f ca="1"/>
        <v>243.67484367484394</v>
      </c>
      <c r="L191" s="3">
        <f ca="1"/>
        <v>134.35744257165206</v>
      </c>
      <c r="M191" s="3">
        <f ca="1"/>
        <v>110.54920913884013</v>
      </c>
      <c r="N191" s="3">
        <f ca="1"/>
        <v>86.059514585470964</v>
      </c>
      <c r="O191" s="3">
        <f ca="1"/>
        <v>148.46274685816888</v>
      </c>
      <c r="P191" s="3">
        <f ca="1"/>
        <v>130.91243008598354</v>
      </c>
    </row>
    <row r="192" spans="1:16" x14ac:dyDescent="0.25">
      <c r="A192" vm="2835">
        <f ca="1"/>
        <v>45201</v>
      </c>
      <c r="B192" s="3">
        <f ca="1"/>
        <v>133.50699204825895</v>
      </c>
      <c r="C192" s="3">
        <f ca="1"/>
        <v>110.65773187075847</v>
      </c>
      <c r="D192" s="3">
        <f ca="1"/>
        <v>88.92772041302625</v>
      </c>
      <c r="E192" s="3">
        <f ca="1"/>
        <v>118.23472356935011</v>
      </c>
      <c r="F192" s="3">
        <f ca="1"/>
        <v>96.232763739526348</v>
      </c>
      <c r="G192" s="3">
        <f ca="1"/>
        <v>82.491417361451738</v>
      </c>
      <c r="H192" s="3">
        <f ca="1"/>
        <v>117.38484398216931</v>
      </c>
      <c r="I192" s="3">
        <f ca="1"/>
        <v>99.579015544041411</v>
      </c>
      <c r="J192" s="3">
        <f ca="1"/>
        <v>154.82115085536563</v>
      </c>
      <c r="K192" s="3">
        <f ca="1"/>
        <v>240.66859066859092</v>
      </c>
      <c r="L192" s="3">
        <f ca="1"/>
        <v>133.04174667520087</v>
      </c>
      <c r="M192" s="3">
        <f ca="1"/>
        <v>110.42618629173995</v>
      </c>
      <c r="N192" s="3">
        <f ca="1"/>
        <v>85.640692731346618</v>
      </c>
      <c r="O192" s="3">
        <f ca="1"/>
        <v>146.8357271095154</v>
      </c>
      <c r="P192" s="3">
        <f ca="1"/>
        <v>131.79313799148485</v>
      </c>
    </row>
    <row r="193" spans="1:16" x14ac:dyDescent="0.25">
      <c r="A193" vm="2849">
        <f ca="1"/>
        <v>45202</v>
      </c>
      <c r="B193" s="3">
        <f ca="1"/>
        <v>132.04003290375664</v>
      </c>
      <c r="C193" s="3">
        <f ca="1"/>
        <v>107.44376627256818</v>
      </c>
      <c r="D193" s="3">
        <f ca="1"/>
        <v>88.133439237490109</v>
      </c>
      <c r="E193" s="3">
        <f ca="1"/>
        <v>116.12242698566652</v>
      </c>
      <c r="F193" s="3">
        <f ca="1"/>
        <v>95.790723757999643</v>
      </c>
      <c r="G193" s="3">
        <f ca="1"/>
        <v>81.1427170181462</v>
      </c>
      <c r="H193" s="3">
        <f ca="1"/>
        <v>118.39794677833302</v>
      </c>
      <c r="I193" s="3">
        <f ca="1"/>
        <v>98.898963730569903</v>
      </c>
      <c r="J193" s="3">
        <f ca="1"/>
        <v>159.33125972006235</v>
      </c>
      <c r="K193" s="3">
        <f ca="1"/>
        <v>245.96761263427956</v>
      </c>
      <c r="L193" s="3">
        <f ca="1"/>
        <v>125.62406656710046</v>
      </c>
      <c r="M193" s="3">
        <f ca="1"/>
        <v>109.24428822495611</v>
      </c>
      <c r="N193" s="3">
        <f ca="1"/>
        <v>85.401964274495739</v>
      </c>
      <c r="O193" s="3">
        <f ca="1"/>
        <v>150.54982046678649</v>
      </c>
      <c r="P193" s="3">
        <f ca="1"/>
        <v>134.3183905167374</v>
      </c>
    </row>
    <row r="194" spans="1:16" x14ac:dyDescent="0.25">
      <c r="A194" vm="2861">
        <f ca="1"/>
        <v>45203</v>
      </c>
      <c r="B194" s="3">
        <f ca="1"/>
        <v>130.91239374828638</v>
      </c>
      <c r="C194" s="3">
        <f ca="1"/>
        <v>107.18767339621837</v>
      </c>
      <c r="D194" s="3">
        <f ca="1"/>
        <v>87.180301826846744</v>
      </c>
      <c r="E194" s="3">
        <f ca="1"/>
        <v>117.62043323634008</v>
      </c>
      <c r="F194" s="3">
        <f ca="1"/>
        <v>95.988652107936971</v>
      </c>
      <c r="G194" s="3">
        <f ca="1"/>
        <v>81.191760666993659</v>
      </c>
      <c r="H194" s="3">
        <f ca="1"/>
        <v>115.37214642712404</v>
      </c>
      <c r="I194" s="3">
        <f ca="1"/>
        <v>99.643782383419648</v>
      </c>
      <c r="J194" s="3">
        <f ca="1"/>
        <v>154.58786936236405</v>
      </c>
      <c r="K194" s="3">
        <f ca="1"/>
        <v>241.25380792047483</v>
      </c>
      <c r="L194" s="3">
        <f ca="1"/>
        <v>120.45373728753287</v>
      </c>
      <c r="M194" s="3">
        <f ca="1"/>
        <v>109.10808435852378</v>
      </c>
      <c r="N194" s="3">
        <f ca="1"/>
        <v>84.566414675517663</v>
      </c>
      <c r="O194" s="3">
        <f ca="1"/>
        <v>148.59739676840229</v>
      </c>
      <c r="P194" s="3">
        <f ca="1"/>
        <v>130.80808080808058</v>
      </c>
    </row>
    <row r="195" spans="1:16" x14ac:dyDescent="0.25">
      <c r="A195" vm="2876">
        <f ca="1"/>
        <v>45204</v>
      </c>
      <c r="B195" s="3">
        <f ca="1"/>
        <v>131.81724705237193</v>
      </c>
      <c r="C195" s="3">
        <f ca="1"/>
        <v>109.16385675871784</v>
      </c>
      <c r="D195" s="3">
        <f ca="1"/>
        <v>87.434471803018297</v>
      </c>
      <c r="E195" s="3">
        <f ca="1"/>
        <v>119.92671624097419</v>
      </c>
      <c r="F195" s="3">
        <f ca="1"/>
        <v>96.305337467836665</v>
      </c>
      <c r="G195" s="3">
        <f ca="1"/>
        <v>81.608631682197185</v>
      </c>
      <c r="H195" s="3">
        <f ca="1"/>
        <v>117.07415912467908</v>
      </c>
      <c r="I195" s="3">
        <f ca="1"/>
        <v>99.902849740932609</v>
      </c>
      <c r="J195" s="3">
        <f ca="1"/>
        <v>156.06531881804057</v>
      </c>
      <c r="K195" s="3">
        <f ca="1"/>
        <v>244.97354497354522</v>
      </c>
      <c r="L195" s="3">
        <f ca="1"/>
        <v>122.14636227864304</v>
      </c>
      <c r="M195" s="3">
        <f ca="1"/>
        <v>109.560632688928</v>
      </c>
      <c r="N195" s="3">
        <f ca="1"/>
        <v>84.042887357862227</v>
      </c>
      <c r="O195" s="3">
        <f ca="1"/>
        <v>151.75044883303426</v>
      </c>
      <c r="P195" s="3">
        <f ca="1"/>
        <v>133.13089573420129</v>
      </c>
    </row>
    <row r="196" spans="1:16" x14ac:dyDescent="0.25">
      <c r="A196" vm="2891">
        <f ca="1"/>
        <v>45205</v>
      </c>
      <c r="B196" s="3">
        <f ca="1"/>
        <v>131.50534686043335</v>
      </c>
      <c r="C196" s="3">
        <f ca="1"/>
        <v>110.17542362029964</v>
      </c>
      <c r="D196" s="3">
        <f ca="1"/>
        <v>83.208895949166049</v>
      </c>
      <c r="E196" s="3">
        <f ca="1"/>
        <v>119.87283112404349</v>
      </c>
      <c r="F196" s="3">
        <f ca="1"/>
        <v>94.873655736623377</v>
      </c>
      <c r="G196" s="3">
        <f ca="1"/>
        <v>79.254536537518419</v>
      </c>
      <c r="H196" s="3">
        <f ca="1"/>
        <v>117.56044846683768</v>
      </c>
      <c r="I196" s="3">
        <f ca="1"/>
        <v>98.477979274611357</v>
      </c>
      <c r="J196" s="3">
        <f ca="1"/>
        <v>151.55520995334382</v>
      </c>
      <c r="K196" s="3">
        <f ca="1"/>
        <v>244.34022767356126</v>
      </c>
      <c r="L196" s="3">
        <f ca="1"/>
        <v>119.64298414053052</v>
      </c>
      <c r="M196" s="3">
        <f ca="1"/>
        <v>106.03251318101938</v>
      </c>
      <c r="N196" s="3">
        <f ca="1"/>
        <v>83.20943186815478</v>
      </c>
      <c r="O196" s="3">
        <f ca="1"/>
        <v>151.55969479353692</v>
      </c>
      <c r="P196" s="3">
        <f ca="1"/>
        <v>133.29994156440415</v>
      </c>
    </row>
    <row r="197" spans="1:16" x14ac:dyDescent="0.25">
      <c r="A197" vm="2904">
        <f ca="1"/>
        <v>45208</v>
      </c>
      <c r="B197" s="3">
        <f ca="1"/>
        <v>134.26103646833025</v>
      </c>
      <c r="C197" s="3">
        <f ca="1"/>
        <v>111.9680737547484</v>
      </c>
      <c r="D197" s="3">
        <f ca="1"/>
        <v>84.416203335980967</v>
      </c>
      <c r="E197" s="3">
        <f ca="1"/>
        <v>120.82659769371692</v>
      </c>
      <c r="F197" s="3">
        <f ca="1"/>
        <v>95.064986474896131</v>
      </c>
      <c r="G197" s="3">
        <f ca="1"/>
        <v>78.543403629230042</v>
      </c>
      <c r="H197" s="3">
        <f ca="1"/>
        <v>120.61326489261101</v>
      </c>
      <c r="I197" s="3">
        <f ca="1"/>
        <v>100.09715025906732</v>
      </c>
      <c r="J197" s="3">
        <f ca="1"/>
        <v>156.99844479004679</v>
      </c>
      <c r="K197" s="3">
        <f ca="1"/>
        <v>252.86996953663649</v>
      </c>
      <c r="L197" s="3">
        <f ca="1"/>
        <v>122.82910177085556</v>
      </c>
      <c r="M197" s="3">
        <f ca="1"/>
        <v>103.95869947275928</v>
      </c>
      <c r="N197" s="3">
        <f ca="1"/>
        <v>83.917240801624928</v>
      </c>
      <c r="O197" s="3">
        <f ca="1"/>
        <v>154.37612208258543</v>
      </c>
      <c r="P197" s="3">
        <f ca="1"/>
        <v>136.59737874613884</v>
      </c>
    </row>
    <row r="198" spans="1:16" x14ac:dyDescent="0.25">
      <c r="A198" vm="2917">
        <f ca="1"/>
        <v>45209</v>
      </c>
      <c r="B198" s="3">
        <f ca="1"/>
        <v>135.52577460926801</v>
      </c>
      <c r="C198" s="3">
        <f ca="1"/>
        <v>112.76622988603867</v>
      </c>
      <c r="D198" s="3">
        <f ca="1"/>
        <v>84.003177124702177</v>
      </c>
      <c r="E198" s="3">
        <f ca="1"/>
        <v>121.67798254122205</v>
      </c>
      <c r="F198" s="3">
        <f ca="1"/>
        <v>94.58336082338198</v>
      </c>
      <c r="G198" s="3">
        <f ca="1"/>
        <v>79.671407552721959</v>
      </c>
      <c r="H198" s="3">
        <f ca="1"/>
        <v>120.20802377414552</v>
      </c>
      <c r="I198" s="3">
        <f ca="1"/>
        <v>100.64766839378234</v>
      </c>
      <c r="J198" s="3">
        <f ca="1"/>
        <v>159.40902021772953</v>
      </c>
      <c r="K198" s="3">
        <f ca="1"/>
        <v>255.21885521885551</v>
      </c>
      <c r="L198" s="3">
        <f ca="1"/>
        <v>123.66830239670008</v>
      </c>
      <c r="M198" s="3">
        <f ca="1"/>
        <v>103.29086115992975</v>
      </c>
      <c r="N198" s="3">
        <f ca="1"/>
        <v>91.414151990450733</v>
      </c>
      <c r="O198" s="3">
        <f ca="1"/>
        <v>155.31867145421916</v>
      </c>
      <c r="P198" s="3">
        <f ca="1"/>
        <v>137.66591535186552</v>
      </c>
    </row>
    <row r="199" spans="1:16" x14ac:dyDescent="0.25">
      <c r="A199" vm="2932">
        <f ca="1"/>
        <v>45210</v>
      </c>
      <c r="B199" s="3">
        <f ca="1"/>
        <v>136.15985741705524</v>
      </c>
      <c r="C199" s="3">
        <f ca="1"/>
        <v>112.41196807375476</v>
      </c>
      <c r="D199" s="3">
        <f ca="1"/>
        <v>85.830023828435287</v>
      </c>
      <c r="E199" s="3">
        <f ca="1"/>
        <v>122.59941804073709</v>
      </c>
      <c r="F199" s="3">
        <f ca="1"/>
        <v>95.52022167975197</v>
      </c>
      <c r="G199" s="3">
        <f ca="1"/>
        <v>79.622363903874472</v>
      </c>
      <c r="H199" s="3">
        <f ca="1"/>
        <v>122.39632581385914</v>
      </c>
      <c r="I199" s="3">
        <f ca="1"/>
        <v>102.13730569948183</v>
      </c>
      <c r="J199" s="3">
        <f ca="1"/>
        <v>166.83514774494569</v>
      </c>
      <c r="K199" s="3">
        <f ca="1"/>
        <v>258.00865800865824</v>
      </c>
      <c r="L199" s="3">
        <f ca="1"/>
        <v>126.32814166844464</v>
      </c>
      <c r="M199" s="3">
        <f ca="1"/>
        <v>104.52548330404223</v>
      </c>
      <c r="N199" s="3">
        <f ca="1"/>
        <v>91.114694364751827</v>
      </c>
      <c r="O199" s="3">
        <f ca="1"/>
        <v>154.91472172351899</v>
      </c>
      <c r="P199" s="3">
        <f ca="1"/>
        <v>137.06903748226037</v>
      </c>
    </row>
    <row r="200" spans="1:16" x14ac:dyDescent="0.25">
      <c r="A200" vm="2945">
        <f ca="1"/>
        <v>45211</v>
      </c>
      <c r="B200" s="3">
        <f ca="1"/>
        <v>139.597614477653</v>
      </c>
      <c r="C200" s="3">
        <f ca="1"/>
        <v>114.20461820820351</v>
      </c>
      <c r="D200" s="3">
        <f ca="1"/>
        <v>85.321683876092152</v>
      </c>
      <c r="E200" s="3">
        <f ca="1"/>
        <v>121.24151309408334</v>
      </c>
      <c r="F200" s="3">
        <f ca="1"/>
        <v>94.345846803457192</v>
      </c>
      <c r="G200" s="3">
        <f ca="1"/>
        <v>79.548798430603256</v>
      </c>
      <c r="H200" s="3">
        <f ca="1"/>
        <v>124.27394299608257</v>
      </c>
      <c r="I200" s="3">
        <f ca="1"/>
        <v>102.36398963730566</v>
      </c>
      <c r="J200" s="3">
        <f ca="1"/>
        <v>173.01710730948693</v>
      </c>
      <c r="K200" s="3">
        <f ca="1"/>
        <v>262.80262946929639</v>
      </c>
      <c r="L200" s="3">
        <f ca="1"/>
        <v>127.53004764952708</v>
      </c>
      <c r="M200" s="3">
        <f ca="1"/>
        <v>105.0087873462215</v>
      </c>
      <c r="N200" s="3">
        <f ca="1"/>
        <v>91.439281301698188</v>
      </c>
      <c r="O200" s="3">
        <f ca="1"/>
        <v>157.70870736086192</v>
      </c>
      <c r="P200" s="3">
        <f ca="1"/>
        <v>138.75114784205667</v>
      </c>
    </row>
    <row r="201" spans="1:16" x14ac:dyDescent="0.25">
      <c r="A201" vm="2960">
        <f ca="1"/>
        <v>45212</v>
      </c>
      <c r="B201" s="3">
        <f ca="1"/>
        <v>139.4536605429121</v>
      </c>
      <c r="C201" s="3">
        <f ca="1"/>
        <v>110.10286397200051</v>
      </c>
      <c r="D201" s="3">
        <f ca="1"/>
        <v>83.891977760127105</v>
      </c>
      <c r="E201" s="3">
        <f ca="1"/>
        <v>118.38021338506297</v>
      </c>
      <c r="F201" s="3">
        <f ca="1"/>
        <v>94.556970376723669</v>
      </c>
      <c r="G201" s="3">
        <f ca="1"/>
        <v>75.551741049534101</v>
      </c>
      <c r="H201" s="3">
        <f ca="1"/>
        <v>124.84128056193425</v>
      </c>
      <c r="I201" s="3">
        <f ca="1"/>
        <v>100.9067357512953</v>
      </c>
      <c r="J201" s="3">
        <f ca="1"/>
        <v>176.43856920684308</v>
      </c>
      <c r="K201" s="3">
        <f ca="1"/>
        <v>259.8685265351935</v>
      </c>
      <c r="L201" s="3">
        <f ca="1"/>
        <v>126.52727402033996</v>
      </c>
      <c r="M201" s="3">
        <f ca="1"/>
        <v>100.34710017574697</v>
      </c>
      <c r="N201" s="3">
        <f ca="1"/>
        <v>90.913659874772137</v>
      </c>
      <c r="O201" s="3">
        <f ca="1"/>
        <v>155.93581687612223</v>
      </c>
      <c r="P201" s="3">
        <f ca="1"/>
        <v>138.22522748142558</v>
      </c>
    </row>
    <row r="202" spans="1:16" x14ac:dyDescent="0.25">
      <c r="A202" vm="2976">
        <f ca="1"/>
        <v>45215</v>
      </c>
      <c r="B202" s="3">
        <f ca="1"/>
        <v>134.67576089936946</v>
      </c>
      <c r="C202" s="3">
        <f ca="1"/>
        <v>109.36019463058605</v>
      </c>
      <c r="D202" s="3">
        <f ca="1"/>
        <v>84.019062748212889</v>
      </c>
      <c r="E202" s="3">
        <f ca="1"/>
        <v>119.79739196034048</v>
      </c>
      <c r="F202" s="3">
        <f ca="1"/>
        <v>95.460843174770773</v>
      </c>
      <c r="G202" s="3">
        <f ca="1"/>
        <v>77.072094163805801</v>
      </c>
      <c r="H202" s="3">
        <f ca="1"/>
        <v>122.19370525462639</v>
      </c>
      <c r="I202" s="3">
        <f ca="1"/>
        <v>100.84196891191706</v>
      </c>
      <c r="J202" s="3">
        <f ca="1"/>
        <v>179.78227060653205</v>
      </c>
      <c r="K202" s="3">
        <f ca="1"/>
        <v>252.27673561006921</v>
      </c>
      <c r="L202" s="3">
        <f ca="1"/>
        <v>123.41227508712042</v>
      </c>
      <c r="M202" s="3">
        <f ca="1"/>
        <v>101.79701230228477</v>
      </c>
      <c r="N202" s="3">
        <f ca="1"/>
        <v>92.362783490042375</v>
      </c>
      <c r="O202" s="3">
        <f ca="1"/>
        <v>154.12926391382422</v>
      </c>
      <c r="P202" s="3">
        <f ca="1"/>
        <v>136.79355538859645</v>
      </c>
    </row>
    <row r="203" spans="1:16" x14ac:dyDescent="0.25">
      <c r="A203" vm="2991">
        <f ca="1"/>
        <v>45216</v>
      </c>
      <c r="B203" s="3">
        <f ca="1"/>
        <v>136.06731560186466</v>
      </c>
      <c r="C203" s="3">
        <f ca="1"/>
        <v>112.71501131076872</v>
      </c>
      <c r="D203" s="3">
        <f ca="1"/>
        <v>84.876886417791923</v>
      </c>
      <c r="E203" s="3">
        <f ca="1"/>
        <v>120.72421597154859</v>
      </c>
      <c r="F203" s="3">
        <f ca="1"/>
        <v>96.371313584482451</v>
      </c>
      <c r="G203" s="3">
        <f ca="1"/>
        <v>77.439921530161854</v>
      </c>
      <c r="H203" s="3">
        <f ca="1"/>
        <v>123.22031608807231</v>
      </c>
      <c r="I203" s="3">
        <f ca="1"/>
        <v>101.71632124352328</v>
      </c>
      <c r="J203" s="3">
        <f ca="1"/>
        <v>182.34836702954914</v>
      </c>
      <c r="K203" s="3">
        <f ca="1"/>
        <v>257.4555074555077</v>
      </c>
      <c r="L203" s="3">
        <f ca="1"/>
        <v>125.4391579546263</v>
      </c>
      <c r="M203" s="3">
        <f ca="1"/>
        <v>103.15905096660815</v>
      </c>
      <c r="N203" s="3">
        <f ca="1"/>
        <v>92.226666387451971</v>
      </c>
      <c r="O203" s="3">
        <f ca="1"/>
        <v>156.076077199282</v>
      </c>
      <c r="P203" s="3">
        <f ca="1"/>
        <v>138.8429752066113</v>
      </c>
    </row>
    <row r="204" spans="1:16" x14ac:dyDescent="0.25">
      <c r="A204" vm="3007">
        <f ca="1"/>
        <v>45217</v>
      </c>
      <c r="B204" s="3">
        <f ca="1"/>
        <v>138.06896078969027</v>
      </c>
      <c r="C204" s="3">
        <f ca="1"/>
        <v>113.00098168935936</v>
      </c>
      <c r="D204" s="3">
        <f ca="1"/>
        <v>85.893566322478193</v>
      </c>
      <c r="E204" s="3">
        <f ca="1"/>
        <v>120.18536480224155</v>
      </c>
      <c r="F204" s="3">
        <f ca="1"/>
        <v>96.496668206109419</v>
      </c>
      <c r="G204" s="3">
        <f ca="1"/>
        <v>77.268268759195706</v>
      </c>
      <c r="H204" s="3">
        <f ca="1"/>
        <v>122.92313926786429</v>
      </c>
      <c r="I204" s="3">
        <f ca="1"/>
        <v>101.58678756476681</v>
      </c>
      <c r="J204" s="3">
        <f ca="1"/>
        <v>188.49144634525675</v>
      </c>
      <c r="K204" s="3">
        <f ca="1"/>
        <v>259.74025974026</v>
      </c>
      <c r="L204" s="3">
        <f ca="1"/>
        <v>127.58694260721147</v>
      </c>
      <c r="M204" s="3">
        <f ca="1"/>
        <v>104.48154657293506</v>
      </c>
      <c r="N204" s="3">
        <f ca="1"/>
        <v>92.377442254936724</v>
      </c>
      <c r="O204" s="3">
        <f ca="1"/>
        <v>156.77737881508094</v>
      </c>
      <c r="P204" s="3">
        <f ca="1"/>
        <v>138.60088488187634</v>
      </c>
    </row>
    <row r="205" spans="1:16" x14ac:dyDescent="0.25">
      <c r="A205" vm="3019">
        <f ca="1"/>
        <v>45218</v>
      </c>
      <c r="B205" s="3">
        <f ca="1"/>
        <v>129.89443378119012</v>
      </c>
      <c r="C205" s="3">
        <f ca="1"/>
        <v>109.57360536087758</v>
      </c>
      <c r="D205" s="3">
        <f ca="1"/>
        <v>85.86179507545674</v>
      </c>
      <c r="E205" s="3">
        <f ca="1"/>
        <v>119.59262851600381</v>
      </c>
      <c r="F205" s="3">
        <f ca="1"/>
        <v>98.983967803655119</v>
      </c>
      <c r="G205" s="3">
        <f ca="1"/>
        <v>77.807748896517921</v>
      </c>
      <c r="H205" s="3">
        <f ca="1"/>
        <v>121.03201404835868</v>
      </c>
      <c r="I205" s="3">
        <f ca="1"/>
        <v>99.319948186528464</v>
      </c>
      <c r="J205" s="3">
        <f ca="1"/>
        <v>185.45878693623655</v>
      </c>
      <c r="K205" s="3">
        <f ca="1"/>
        <v>254.10453743787104</v>
      </c>
      <c r="L205" s="3">
        <f ca="1"/>
        <v>122.35260650024894</v>
      </c>
      <c r="M205" s="3">
        <f ca="1"/>
        <v>102.56151142355017</v>
      </c>
      <c r="N205" s="3">
        <f ca="1"/>
        <v>93.411932234623862</v>
      </c>
      <c r="O205" s="3">
        <f ca="1"/>
        <v>154.80251346499119</v>
      </c>
      <c r="P205" s="3">
        <f ca="1"/>
        <v>137.78696051423296</v>
      </c>
    </row>
    <row r="206" spans="1:16" x14ac:dyDescent="0.25">
      <c r="A206" vm="3034">
        <f ca="1"/>
        <v>45219</v>
      </c>
      <c r="B206" s="3">
        <f ca="1"/>
        <v>128.52344392651503</v>
      </c>
      <c r="C206" s="3">
        <f ca="1"/>
        <v>105.26270860898887</v>
      </c>
      <c r="D206" s="3">
        <f ca="1"/>
        <v>86.338363780778437</v>
      </c>
      <c r="E206" s="3">
        <f ca="1"/>
        <v>116.87681862269635</v>
      </c>
      <c r="F206" s="3">
        <f ca="1"/>
        <v>97.809592927360342</v>
      </c>
      <c r="G206" s="3">
        <f ca="1"/>
        <v>77.121137812653274</v>
      </c>
      <c r="H206" s="3">
        <f ca="1"/>
        <v>125.50317438876121</v>
      </c>
      <c r="I206" s="3">
        <f ca="1"/>
        <v>98.898963730569903</v>
      </c>
      <c r="J206" s="3">
        <f ca="1"/>
        <v>181.92068429237963</v>
      </c>
      <c r="K206" s="3">
        <f ca="1"/>
        <v>250.76960076960103</v>
      </c>
      <c r="L206" s="3">
        <f ca="1"/>
        <v>120.00568949576846</v>
      </c>
      <c r="M206" s="3">
        <f ca="1"/>
        <v>102.46045694200359</v>
      </c>
      <c r="N206" s="3">
        <f ca="1"/>
        <v>94.063200217787212</v>
      </c>
      <c r="O206" s="3">
        <f ca="1"/>
        <v>154.56687612208273</v>
      </c>
      <c r="P206" s="3">
        <f ca="1"/>
        <v>138.29201101928345</v>
      </c>
    </row>
    <row r="207" spans="1:16" x14ac:dyDescent="0.25">
      <c r="A207" vm="3048">
        <f ca="1"/>
        <v>45222</v>
      </c>
      <c r="B207" s="3">
        <f ca="1"/>
        <v>127.81738415135736</v>
      </c>
      <c r="C207" s="3">
        <f ca="1"/>
        <v>105.07490716633234</v>
      </c>
      <c r="D207" s="3">
        <f ca="1"/>
        <v>86.687847498014335</v>
      </c>
      <c r="E207" s="3">
        <f ca="1"/>
        <v>116.9576462980924</v>
      </c>
      <c r="F207" s="3">
        <f ca="1"/>
        <v>97.677640694068799</v>
      </c>
      <c r="G207" s="3">
        <f ca="1"/>
        <v>76.77783227072095</v>
      </c>
      <c r="H207" s="3">
        <f ca="1"/>
        <v>123.34188842361196</v>
      </c>
      <c r="I207" s="3">
        <f ca="1"/>
        <v>99.611398963730537</v>
      </c>
      <c r="J207" s="3">
        <f ca="1"/>
        <v>182.42612752721638</v>
      </c>
      <c r="K207" s="3">
        <f ca="1"/>
        <v>247.43466410133101</v>
      </c>
      <c r="L207" s="3">
        <f ca="1"/>
        <v>117.13249413270749</v>
      </c>
      <c r="M207" s="3">
        <f ca="1"/>
        <v>101.22583479789111</v>
      </c>
      <c r="N207" s="3">
        <f ca="1"/>
        <v>93.014051473205726</v>
      </c>
      <c r="O207" s="3">
        <f ca="1"/>
        <v>152.15439856373442</v>
      </c>
      <c r="P207" s="3">
        <f ca="1"/>
        <v>136.35111445028772</v>
      </c>
    </row>
    <row r="208" spans="1:16" x14ac:dyDescent="0.25">
      <c r="A208" vm="3061">
        <f ca="1"/>
        <v>45223</v>
      </c>
      <c r="B208" s="3">
        <f ca="1"/>
        <v>125.7437619961613</v>
      </c>
      <c r="C208" s="3">
        <f ca="1"/>
        <v>103.09018737462121</v>
      </c>
      <c r="D208" s="3">
        <f ca="1"/>
        <v>85.90945194598892</v>
      </c>
      <c r="E208" s="3">
        <f ca="1"/>
        <v>115.72906563207235</v>
      </c>
      <c r="F208" s="3">
        <f ca="1"/>
        <v>97.74361681071457</v>
      </c>
      <c r="G208" s="3">
        <f ca="1"/>
        <v>76.311917606669951</v>
      </c>
      <c r="H208" s="3">
        <f ca="1"/>
        <v>123.07172767796831</v>
      </c>
      <c r="I208" s="3">
        <f ca="1"/>
        <v>97.66839378238339</v>
      </c>
      <c r="J208" s="3">
        <f ca="1"/>
        <v>173.25038880248852</v>
      </c>
      <c r="K208" s="3">
        <f ca="1"/>
        <v>251.73160173160198</v>
      </c>
      <c r="L208" s="3">
        <f ca="1"/>
        <v>117.6801081004196</v>
      </c>
      <c r="M208" s="3">
        <f ca="1"/>
        <v>101.87170474516704</v>
      </c>
      <c r="N208" s="3">
        <f ca="1"/>
        <v>93.430779218059456</v>
      </c>
      <c r="O208" s="3">
        <f ca="1"/>
        <v>153.16427289048485</v>
      </c>
      <c r="P208" s="3">
        <f ca="1"/>
        <v>137.4572167960595</v>
      </c>
    </row>
    <row r="209" spans="1:16" x14ac:dyDescent="0.25">
      <c r="A209" vm="3076">
        <f ca="1"/>
        <v>45224</v>
      </c>
      <c r="B209" s="3">
        <f ca="1"/>
        <v>127.94077323827808</v>
      </c>
      <c r="C209" s="3">
        <f ca="1"/>
        <v>103.09872380383288</v>
      </c>
      <c r="D209" s="3">
        <f ca="1"/>
        <v>88.38760921366169</v>
      </c>
      <c r="E209" s="3">
        <f ca="1"/>
        <v>117.04386248518153</v>
      </c>
      <c r="F209" s="3">
        <f ca="1"/>
        <v>98.898198852015625</v>
      </c>
      <c r="G209" s="3">
        <f ca="1"/>
        <v>77.758705247670449</v>
      </c>
      <c r="H209" s="3">
        <f ca="1"/>
        <v>123.78765365392401</v>
      </c>
      <c r="I209" s="3">
        <f ca="1"/>
        <v>96.113989637305664</v>
      </c>
      <c r="J209" s="3">
        <f ca="1"/>
        <v>173.48367029549004</v>
      </c>
      <c r="K209" s="3">
        <f ca="1"/>
        <v>250.56116722783418</v>
      </c>
      <c r="L209" s="3">
        <f ca="1"/>
        <v>118.94602090889694</v>
      </c>
      <c r="M209" s="3">
        <f ca="1"/>
        <v>103.10632688927952</v>
      </c>
      <c r="N209" s="3">
        <f ca="1"/>
        <v>92.329277741712417</v>
      </c>
      <c r="O209" s="3">
        <f ca="1"/>
        <v>155.7562836624777</v>
      </c>
      <c r="P209" s="3">
        <f ca="1"/>
        <v>137.96226730110999</v>
      </c>
    </row>
    <row r="210" spans="1:16" x14ac:dyDescent="0.25">
      <c r="A210" vm="3090">
        <f ca="1"/>
        <v>45225</v>
      </c>
      <c r="B210" s="3">
        <f ca="1"/>
        <v>125.96654784754597</v>
      </c>
      <c r="C210" s="3">
        <f ca="1"/>
        <v>101.22070937726751</v>
      </c>
      <c r="D210" s="3">
        <f ca="1"/>
        <v>89.150119142176379</v>
      </c>
      <c r="E210" s="3">
        <f ca="1"/>
        <v>114.7752990623989</v>
      </c>
      <c r="F210" s="3">
        <f ca="1"/>
        <v>99.360031668536038</v>
      </c>
      <c r="G210" s="3">
        <f ca="1"/>
        <v>78.666012751348717</v>
      </c>
      <c r="H210" s="3">
        <f ca="1"/>
        <v>118.38443874105086</v>
      </c>
      <c r="I210" s="3">
        <f ca="1"/>
        <v>95.854922279792717</v>
      </c>
      <c r="J210" s="3">
        <f ca="1"/>
        <v>175.58320373250402</v>
      </c>
      <c r="K210" s="3">
        <f ca="1"/>
        <v>240.1234567901237</v>
      </c>
      <c r="L210" s="3">
        <f ca="1"/>
        <v>119.64298414053053</v>
      </c>
      <c r="M210" s="3">
        <f ca="1"/>
        <v>102.8207381370827</v>
      </c>
      <c r="N210" s="3">
        <f ca="1"/>
        <v>93.751177936464586</v>
      </c>
      <c r="O210" s="3">
        <f ca="1"/>
        <v>140.94479353680444</v>
      </c>
      <c r="P210" s="3">
        <f ca="1"/>
        <v>142.19467401285556</v>
      </c>
    </row>
    <row r="211" spans="1:16" x14ac:dyDescent="0.25">
      <c r="A211" vm="3101">
        <f ca="1"/>
        <v>45226</v>
      </c>
      <c r="B211" s="3">
        <f ca="1"/>
        <v>126.80285165889778</v>
      </c>
      <c r="C211" s="3">
        <f ca="1"/>
        <v>101.34021938623077</v>
      </c>
      <c r="D211" s="3">
        <f ca="1"/>
        <v>88.610007942811805</v>
      </c>
      <c r="E211" s="3">
        <f ca="1"/>
        <v>112.83543485289357</v>
      </c>
      <c r="F211" s="3">
        <f ca="1"/>
        <v>98.832222735369854</v>
      </c>
      <c r="G211" s="3">
        <f ca="1"/>
        <v>78.126532614026502</v>
      </c>
      <c r="H211" s="3">
        <f ca="1"/>
        <v>118.12778603268939</v>
      </c>
      <c r="I211" s="3">
        <f ca="1"/>
        <v>95.822538860103592</v>
      </c>
      <c r="J211" s="3">
        <f ca="1"/>
        <v>174.02799377916031</v>
      </c>
      <c r="K211" s="3">
        <f ca="1"/>
        <v>231.1608144941481</v>
      </c>
      <c r="L211" s="3">
        <f ca="1"/>
        <v>118.94602090889694</v>
      </c>
      <c r="M211" s="3">
        <f ca="1"/>
        <v>101.66080843585247</v>
      </c>
      <c r="N211" s="3">
        <f ca="1"/>
        <v>93.390991141917652</v>
      </c>
      <c r="O211" s="3">
        <f ca="1"/>
        <v>137.20825852782778</v>
      </c>
      <c r="P211" s="3">
        <f ca="1"/>
        <v>136.86033892645435</v>
      </c>
    </row>
    <row r="212" spans="1:16" x14ac:dyDescent="0.25">
      <c r="A212" vm="3116">
        <f ca="1"/>
        <v>45229</v>
      </c>
      <c r="B212" s="3">
        <f ca="1"/>
        <v>125.52783109404997</v>
      </c>
      <c r="C212" s="3">
        <f ca="1"/>
        <v>106.18464296384825</v>
      </c>
      <c r="D212" s="3">
        <f ca="1"/>
        <v>87.752184273232771</v>
      </c>
      <c r="E212" s="3">
        <f ca="1"/>
        <v>112.83004634120049</v>
      </c>
      <c r="F212" s="3">
        <f ca="1"/>
        <v>97.090453255921403</v>
      </c>
      <c r="G212" s="3">
        <f ca="1"/>
        <v>77.096615988229544</v>
      </c>
      <c r="H212" s="3">
        <f ca="1"/>
        <v>116.15561258949067</v>
      </c>
      <c r="I212" s="3">
        <f ca="1"/>
        <v>94.689119170984412</v>
      </c>
      <c r="J212" s="3">
        <f ca="1"/>
        <v>171.46189735614323</v>
      </c>
      <c r="K212" s="3">
        <f ca="1"/>
        <v>237.87878787878813</v>
      </c>
      <c r="L212" s="3">
        <f ca="1"/>
        <v>117.25339591778679</v>
      </c>
      <c r="M212" s="3">
        <f ca="1"/>
        <v>100.88752196836566</v>
      </c>
      <c r="N212" s="3">
        <f ca="1"/>
        <v>92.850710950097238</v>
      </c>
      <c r="O212" s="3">
        <f ca="1"/>
        <v>137.08482944344718</v>
      </c>
      <c r="P212" s="3">
        <f ca="1"/>
        <v>137.66174138074936</v>
      </c>
    </row>
    <row r="213" spans="1:16" x14ac:dyDescent="0.25">
      <c r="A213" vm="3132">
        <f ca="1"/>
        <v>45230</v>
      </c>
      <c r="B213" s="3">
        <f ca="1"/>
        <v>126.6623251987936</v>
      </c>
      <c r="C213" s="3">
        <f ca="1"/>
        <v>108.83093601946307</v>
      </c>
      <c r="D213" s="3">
        <f ca="1"/>
        <v>89.197776012708545</v>
      </c>
      <c r="E213" s="3">
        <f ca="1"/>
        <v>112.67377950210144</v>
      </c>
      <c r="F213" s="3">
        <f ca="1"/>
        <v>98.475951705482657</v>
      </c>
      <c r="G213" s="3">
        <f ca="1"/>
        <v>77.538008827856814</v>
      </c>
      <c r="H213" s="3">
        <f ca="1"/>
        <v>116.25016885046597</v>
      </c>
      <c r="I213" s="3">
        <f ca="1"/>
        <v>95.207253886010307</v>
      </c>
      <c r="J213" s="3">
        <f ca="1"/>
        <v>178.38258164852272</v>
      </c>
      <c r="K213" s="3">
        <f ca="1"/>
        <v>242.63267596600954</v>
      </c>
      <c r="L213" s="3">
        <f ca="1"/>
        <v>117.17516535097076</v>
      </c>
      <c r="M213" s="3">
        <f ca="1"/>
        <v>102.85588752196848</v>
      </c>
      <c r="N213" s="3">
        <f ca="1"/>
        <v>93.363767721399554</v>
      </c>
      <c r="O213" s="3">
        <f ca="1"/>
        <v>139.65439856373442</v>
      </c>
      <c r="P213" s="3">
        <f ca="1"/>
        <v>140.79221971783929</v>
      </c>
    </row>
    <row r="214" spans="1:16" x14ac:dyDescent="0.25">
      <c r="A214" vm="3146">
        <f ca="1"/>
        <v>45231</v>
      </c>
      <c r="B214" s="3">
        <f ca="1"/>
        <v>126.44296682204558</v>
      </c>
      <c r="C214" s="3">
        <f ca="1"/>
        <v>108.45106491954418</v>
      </c>
      <c r="D214" s="3">
        <f ca="1"/>
        <v>89.737887212073119</v>
      </c>
      <c r="E214" s="3">
        <f ca="1"/>
        <v>113.14796853109162</v>
      </c>
      <c r="F214" s="3">
        <f ca="1"/>
        <v>98.983967803655133</v>
      </c>
      <c r="G214" s="3">
        <f ca="1"/>
        <v>77.145659637077017</v>
      </c>
      <c r="H214" s="3">
        <f ca="1"/>
        <v>116.58786978252054</v>
      </c>
      <c r="I214" s="3">
        <f ca="1"/>
        <v>96.66450777202067</v>
      </c>
      <c r="J214" s="3">
        <f ca="1"/>
        <v>176.3608087091759</v>
      </c>
      <c r="K214" s="3">
        <f ca="1"/>
        <v>241.51835818502505</v>
      </c>
      <c r="L214" s="3">
        <f ca="1"/>
        <v>118.85356660265984</v>
      </c>
      <c r="M214" s="3">
        <f ca="1"/>
        <v>102.87785588752209</v>
      </c>
      <c r="N214" s="3">
        <f ca="1"/>
        <v>95.206583879546699</v>
      </c>
      <c r="O214" s="3">
        <f ca="1"/>
        <v>139.22800718132868</v>
      </c>
      <c r="P214" s="3">
        <f ca="1"/>
        <v>141.12613740712888</v>
      </c>
    </row>
    <row r="215" spans="1:16" x14ac:dyDescent="0.25">
      <c r="A215" vm="3160">
        <f ca="1"/>
        <v>45232</v>
      </c>
      <c r="B215" s="3">
        <f ca="1"/>
        <v>126.97765286536887</v>
      </c>
      <c r="C215" s="3">
        <f ca="1"/>
        <v>109.21934354859364</v>
      </c>
      <c r="D215" s="3">
        <f ca="1"/>
        <v>89.6584590945195</v>
      </c>
      <c r="E215" s="3">
        <f ca="1"/>
        <v>114.74835650393351</v>
      </c>
      <c r="F215" s="3">
        <f ca="1"/>
        <v>98.706868113742885</v>
      </c>
      <c r="G215" s="3">
        <f ca="1"/>
        <v>78.960274644433568</v>
      </c>
      <c r="H215" s="3">
        <f ca="1"/>
        <v>118.60056733756579</v>
      </c>
      <c r="I215" s="3">
        <f ca="1"/>
        <v>95.757772020725326</v>
      </c>
      <c r="J215" s="3">
        <f ca="1"/>
        <v>178.53810264385709</v>
      </c>
      <c r="K215" s="3">
        <f ca="1"/>
        <v>250.00000000000026</v>
      </c>
      <c r="L215" s="3">
        <f ca="1"/>
        <v>113.51966431974967</v>
      </c>
      <c r="M215" s="3">
        <f ca="1"/>
        <v>102.90421792618642</v>
      </c>
      <c r="N215" s="3">
        <f ca="1"/>
        <v>94.733315184386186</v>
      </c>
      <c r="O215" s="3">
        <f ca="1"/>
        <v>141.8873429084382</v>
      </c>
      <c r="P215" s="3">
        <f ca="1"/>
        <v>144.4486184155603</v>
      </c>
    </row>
    <row r="216" spans="1:16" x14ac:dyDescent="0.25">
      <c r="A216" vm="3174">
        <f ca="1"/>
        <v>45233</v>
      </c>
      <c r="B216" s="3">
        <f ca="1"/>
        <v>138.66876885111057</v>
      </c>
      <c r="C216" s="3">
        <f ca="1"/>
        <v>112.4034316445431</v>
      </c>
      <c r="D216" s="3">
        <f ca="1"/>
        <v>90.691024622716483</v>
      </c>
      <c r="E216" s="3">
        <f ca="1"/>
        <v>114.69447138700281</v>
      </c>
      <c r="F216" s="3">
        <f ca="1"/>
        <v>99.914231048360548</v>
      </c>
      <c r="G216" s="3">
        <f ca="1"/>
        <v>82.172633643943115</v>
      </c>
      <c r="H216" s="3">
        <f ca="1"/>
        <v>122.22072132919081</v>
      </c>
      <c r="I216" s="3">
        <f ca="1"/>
        <v>98.413212435233092</v>
      </c>
      <c r="J216" s="3">
        <f ca="1"/>
        <v>216.56298600311064</v>
      </c>
      <c r="K216" s="3">
        <f ca="1"/>
        <v>249.21436588103279</v>
      </c>
      <c r="L216" s="3">
        <f ca="1"/>
        <v>124.5146148922552</v>
      </c>
      <c r="M216" s="3">
        <f ca="1"/>
        <v>104.56942003514951</v>
      </c>
      <c r="N216" s="3">
        <f ca="1"/>
        <v>95.918581031558105</v>
      </c>
      <c r="O216" s="3">
        <f ca="1"/>
        <v>143.05430879712759</v>
      </c>
      <c r="P216" s="3">
        <f ca="1"/>
        <v>145.38776191668728</v>
      </c>
    </row>
    <row r="217" spans="1:16" x14ac:dyDescent="0.25">
      <c r="A217" vm="3188">
        <f ca="1"/>
        <v>45236</v>
      </c>
      <c r="B217" s="3">
        <f ca="1"/>
        <v>137.50685494927345</v>
      </c>
      <c r="C217" s="3">
        <f ca="1"/>
        <v>115.47654616074098</v>
      </c>
      <c r="D217" s="3">
        <f ca="1"/>
        <v>90.135027799841183</v>
      </c>
      <c r="E217" s="3">
        <f ca="1"/>
        <v>117.05463950856762</v>
      </c>
      <c r="F217" s="3">
        <f ca="1"/>
        <v>99.010358250313431</v>
      </c>
      <c r="G217" s="3">
        <f ca="1"/>
        <v>81.584109857773427</v>
      </c>
      <c r="H217" s="3">
        <f ca="1"/>
        <v>123.99027421315678</v>
      </c>
      <c r="I217" s="3">
        <f ca="1"/>
        <v>98.445595854922203</v>
      </c>
      <c r="J217" s="3">
        <f ca="1"/>
        <v>197.12286158631434</v>
      </c>
      <c r="K217" s="3">
        <f ca="1"/>
        <v>252.20458553791914</v>
      </c>
      <c r="L217" s="3">
        <f ca="1"/>
        <v>120.31861176303252</v>
      </c>
      <c r="M217" s="3">
        <f ca="1"/>
        <v>106.18629173989467</v>
      </c>
      <c r="N217" s="3">
        <f ca="1"/>
        <v>94.934349674365876</v>
      </c>
      <c r="O217" s="3">
        <f ca="1"/>
        <v>144.86086175942563</v>
      </c>
      <c r="P217" s="3">
        <f ca="1"/>
        <v>147.257700976709</v>
      </c>
    </row>
    <row r="218" spans="1:16" x14ac:dyDescent="0.25">
      <c r="A218" vm="3203">
        <f ca="1"/>
        <v>45237</v>
      </c>
      <c r="B218" s="3">
        <f ca="1"/>
        <v>139.20345489443386</v>
      </c>
      <c r="C218" s="3">
        <f ca="1"/>
        <v>114.37107857783089</v>
      </c>
      <c r="D218" s="3">
        <f ca="1"/>
        <v>90.500397140587793</v>
      </c>
      <c r="E218" s="3">
        <f ca="1"/>
        <v>117.20012932428052</v>
      </c>
      <c r="F218" s="3">
        <f ca="1"/>
        <v>99.584350465131678</v>
      </c>
      <c r="G218" s="3">
        <f ca="1"/>
        <v>81.633153506620886</v>
      </c>
      <c r="H218" s="3">
        <f ca="1"/>
        <v>125.08442523301358</v>
      </c>
      <c r="I218" s="3">
        <f ca="1"/>
        <v>98.380829015543966</v>
      </c>
      <c r="J218" s="3">
        <f ca="1"/>
        <v>197.9004665629862</v>
      </c>
      <c r="K218" s="3">
        <f ca="1"/>
        <v>253.16658649992013</v>
      </c>
      <c r="L218" s="3">
        <f ca="1"/>
        <v>119.80655714387315</v>
      </c>
      <c r="M218" s="3">
        <f ca="1"/>
        <v>106.13356766256602</v>
      </c>
      <c r="N218" s="3">
        <f ca="1"/>
        <v>94.477833853370342</v>
      </c>
      <c r="O218" s="3">
        <f ca="1"/>
        <v>146.15125673249565</v>
      </c>
      <c r="P218" s="3">
        <f ca="1"/>
        <v>148.8145922030217</v>
      </c>
    </row>
    <row r="219" spans="1:16" x14ac:dyDescent="0.25">
      <c r="A219" vm="3216">
        <f ca="1"/>
        <v>45238</v>
      </c>
      <c r="B219" s="3">
        <f ca="1"/>
        <v>139.52563751028251</v>
      </c>
      <c r="C219" s="3">
        <f ca="1"/>
        <v>113.04793205002348</v>
      </c>
      <c r="D219" s="3">
        <f ca="1"/>
        <v>90.833995234312965</v>
      </c>
      <c r="E219" s="3">
        <f ca="1"/>
        <v>117.59349067787466</v>
      </c>
      <c r="F219" s="3">
        <f ca="1"/>
        <v>99.353434056871478</v>
      </c>
      <c r="G219" s="3">
        <f ca="1"/>
        <v>81.142717018146158</v>
      </c>
      <c r="H219" s="3">
        <f ca="1"/>
        <v>124.8277725246521</v>
      </c>
      <c r="I219" s="3">
        <f ca="1"/>
        <v>98.283678756476618</v>
      </c>
      <c r="J219" s="3">
        <f ca="1"/>
        <v>197.04510108864716</v>
      </c>
      <c r="K219" s="3">
        <f ca="1"/>
        <v>255.58762225428922</v>
      </c>
      <c r="L219" s="3">
        <f ca="1"/>
        <v>117.4027451817083</v>
      </c>
      <c r="M219" s="3">
        <f ca="1"/>
        <v>106.55536028119519</v>
      </c>
      <c r="N219" s="3">
        <f ca="1"/>
        <v>94.266328817037532</v>
      </c>
      <c r="O219" s="3">
        <f ca="1"/>
        <v>146.95915619389601</v>
      </c>
      <c r="P219" s="3">
        <f ca="1"/>
        <v>150.48418064946964</v>
      </c>
    </row>
    <row r="220" spans="1:16" x14ac:dyDescent="0.25">
      <c r="A220" vm="3228">
        <f ca="1"/>
        <v>45239</v>
      </c>
      <c r="B220" s="3">
        <f ca="1"/>
        <v>140.7526734302167</v>
      </c>
      <c r="C220" s="3">
        <f ca="1"/>
        <v>112.08331554910582</v>
      </c>
      <c r="D220" s="3">
        <f ca="1"/>
        <v>90.691024622716469</v>
      </c>
      <c r="E220" s="3">
        <f ca="1"/>
        <v>111.17577325142784</v>
      </c>
      <c r="F220" s="3">
        <f ca="1"/>
        <v>98.970772580325985</v>
      </c>
      <c r="G220" s="3">
        <f ca="1"/>
        <v>81.338891613536049</v>
      </c>
      <c r="H220" s="3">
        <f ca="1"/>
        <v>124.27394299608261</v>
      </c>
      <c r="I220" s="3">
        <f ca="1"/>
        <v>98.348445595854855</v>
      </c>
      <c r="J220" s="3">
        <f ca="1"/>
        <v>190.43545878693641</v>
      </c>
      <c r="K220" s="3">
        <f ca="1"/>
        <v>256.35722302388996</v>
      </c>
      <c r="L220" s="3">
        <f ca="1"/>
        <v>120.73110020624424</v>
      </c>
      <c r="M220" s="3">
        <f ca="1"/>
        <v>106.10720562390169</v>
      </c>
      <c r="N220" s="3">
        <f ca="1"/>
        <v>93.116662827466214</v>
      </c>
      <c r="O220" s="3">
        <f ca="1"/>
        <v>147.93536804308812</v>
      </c>
      <c r="P220" s="3">
        <f ca="1"/>
        <v>151.59863093747367</v>
      </c>
    </row>
    <row r="221" spans="1:16" x14ac:dyDescent="0.25">
      <c r="A221" vm="3242">
        <f ca="1"/>
        <v>45240</v>
      </c>
      <c r="B221" s="3">
        <f ca="1"/>
        <v>141.49300795174125</v>
      </c>
      <c r="C221" s="3">
        <f ca="1"/>
        <v>111.51564300653037</v>
      </c>
      <c r="D221" s="3">
        <f ca="1"/>
        <v>90.007942811755385</v>
      </c>
      <c r="E221" s="3">
        <f ca="1"/>
        <v>108.16359521500149</v>
      </c>
      <c r="F221" s="3">
        <f ca="1"/>
        <v>99.195091376921624</v>
      </c>
      <c r="G221" s="3">
        <f ca="1"/>
        <v>80.799411476213834</v>
      </c>
      <c r="H221" s="3">
        <f ca="1"/>
        <v>123.76063757935967</v>
      </c>
      <c r="I221" s="3">
        <f ca="1"/>
        <v>97.700777202072473</v>
      </c>
      <c r="J221" s="3">
        <f ca="1"/>
        <v>188.64696734059117</v>
      </c>
      <c r="K221" s="3">
        <f ca="1"/>
        <v>256.97450697450728</v>
      </c>
      <c r="L221" s="3">
        <f ca="1"/>
        <v>120.59597468174385</v>
      </c>
      <c r="M221" s="3">
        <f ca="1"/>
        <v>104.98681898066793</v>
      </c>
      <c r="N221" s="3">
        <f ca="1"/>
        <v>92.655958787929421</v>
      </c>
      <c r="O221" s="3">
        <f ca="1"/>
        <v>146.14003590664288</v>
      </c>
      <c r="P221" s="3">
        <f ca="1"/>
        <v>150.55096418732759</v>
      </c>
    </row>
    <row r="222" spans="1:16" x14ac:dyDescent="0.25">
      <c r="A222" vm="3258">
        <f ca="1"/>
        <v>45243</v>
      </c>
      <c r="B222" s="3">
        <f ca="1"/>
        <v>143.7654236358652</v>
      </c>
      <c r="C222" s="3">
        <f ca="1"/>
        <v>114.61009859575741</v>
      </c>
      <c r="D222" s="3">
        <f ca="1"/>
        <v>90.10325655281973</v>
      </c>
      <c r="E222" s="3">
        <f ca="1"/>
        <v>107.40381506627857</v>
      </c>
      <c r="F222" s="3">
        <f ca="1"/>
        <v>99.89443821336684</v>
      </c>
      <c r="G222" s="3">
        <f ca="1"/>
        <v>80.652280529671401</v>
      </c>
      <c r="H222" s="3">
        <f ca="1"/>
        <v>131.6223152775901</v>
      </c>
      <c r="I222" s="3">
        <f ca="1"/>
        <v>99.417098445595784</v>
      </c>
      <c r="J222" s="3">
        <f ca="1"/>
        <v>186.00311041990687</v>
      </c>
      <c r="K222" s="3">
        <f ca="1"/>
        <v>263.56421356421384</v>
      </c>
      <c r="L222" s="3">
        <f ca="1"/>
        <v>123.79631605148997</v>
      </c>
      <c r="M222" s="3">
        <f ca="1"/>
        <v>105.14938488576459</v>
      </c>
      <c r="N222" s="3">
        <f ca="1"/>
        <v>93.160639122149263</v>
      </c>
      <c r="O222" s="3">
        <f ca="1"/>
        <v>148.77692998204682</v>
      </c>
      <c r="P222" s="3">
        <f ca="1"/>
        <v>154.29919024960324</v>
      </c>
    </row>
    <row r="223" spans="1:16" x14ac:dyDescent="0.25">
      <c r="A223" vm="3272">
        <f ca="1"/>
        <v>45244</v>
      </c>
      <c r="B223" s="3">
        <f ca="1"/>
        <v>143.75856868659184</v>
      </c>
      <c r="C223" s="3">
        <f ca="1"/>
        <v>115.20764864057367</v>
      </c>
      <c r="D223" s="3">
        <f ca="1"/>
        <v>90.436854646544901</v>
      </c>
      <c r="E223" s="3">
        <f ca="1"/>
        <v>108.97187196896203</v>
      </c>
      <c r="F223" s="3">
        <f ca="1"/>
        <v>100.58718743814747</v>
      </c>
      <c r="G223" s="3">
        <f ca="1"/>
        <v>81.510544384502197</v>
      </c>
      <c r="H223" s="3">
        <f ca="1"/>
        <v>130.24449547480745</v>
      </c>
      <c r="I223" s="3">
        <f ca="1"/>
        <v>98.607512953367802</v>
      </c>
      <c r="J223" s="3">
        <f ca="1"/>
        <v>184.68118195956473</v>
      </c>
      <c r="K223" s="3">
        <f ca="1"/>
        <v>263.90091390091419</v>
      </c>
      <c r="L223" s="3">
        <f ca="1"/>
        <v>125.33959177867865</v>
      </c>
      <c r="M223" s="3">
        <f ca="1"/>
        <v>105.82161687170483</v>
      </c>
      <c r="N223" s="3">
        <f ca="1"/>
        <v>93.194144870479207</v>
      </c>
      <c r="O223" s="3">
        <f ca="1"/>
        <v>148.21588868940768</v>
      </c>
      <c r="P223" s="3">
        <f ca="1"/>
        <v>153.0511728858834</v>
      </c>
    </row>
    <row r="224" spans="1:16" x14ac:dyDescent="0.25">
      <c r="A224" vm="3286">
        <f ca="1"/>
        <v>45245</v>
      </c>
      <c r="B224" s="3">
        <f ca="1"/>
        <v>146.68220455168643</v>
      </c>
      <c r="C224" s="3">
        <f ca="1"/>
        <v>120.1032907934611</v>
      </c>
      <c r="D224" s="3">
        <f ca="1"/>
        <v>90.706910246227196</v>
      </c>
      <c r="E224" s="3">
        <f ca="1"/>
        <v>110.82013147968519</v>
      </c>
      <c r="F224" s="3">
        <f ca="1"/>
        <v>100.36286864155183</v>
      </c>
      <c r="G224" s="3">
        <f ca="1"/>
        <v>82.344286414909263</v>
      </c>
      <c r="H224" s="3">
        <f ca="1"/>
        <v>133.60799675807098</v>
      </c>
      <c r="I224" s="3">
        <f ca="1"/>
        <v>100.74481865284967</v>
      </c>
      <c r="J224" s="3">
        <f ca="1"/>
        <v>190.90202177293952</v>
      </c>
      <c r="K224" s="3">
        <f ca="1"/>
        <v>269.60878627545327</v>
      </c>
      <c r="L224" s="3">
        <f ca="1"/>
        <v>130.04053765735014</v>
      </c>
      <c r="M224" s="3">
        <f ca="1"/>
        <v>106.27855887521977</v>
      </c>
      <c r="N224" s="3">
        <f ca="1"/>
        <v>93.024522019558859</v>
      </c>
      <c r="O224" s="3">
        <f ca="1"/>
        <v>149.93267504488344</v>
      </c>
      <c r="P224" s="3">
        <f ca="1"/>
        <v>154.54962851657044</v>
      </c>
    </row>
    <row r="225" spans="1:16" x14ac:dyDescent="0.25">
      <c r="A225" vm="3300">
        <f ca="1"/>
        <v>45246</v>
      </c>
      <c r="B225" s="3">
        <f ca="1"/>
        <v>147.06608171099543</v>
      </c>
      <c r="C225" s="3">
        <f ca="1"/>
        <v>119.62951897221392</v>
      </c>
      <c r="D225" s="3">
        <f ca="1"/>
        <v>90.881652104845145</v>
      </c>
      <c r="E225" s="3">
        <f ca="1"/>
        <v>109.6723784890612</v>
      </c>
      <c r="F225" s="3">
        <f ca="1"/>
        <v>99.901035825031386</v>
      </c>
      <c r="G225" s="3">
        <f ca="1"/>
        <v>82.295242766061804</v>
      </c>
      <c r="H225" s="3">
        <f ca="1"/>
        <v>133.45940834796698</v>
      </c>
      <c r="I225" s="3">
        <f ca="1"/>
        <v>100.35621761658024</v>
      </c>
      <c r="J225" s="3">
        <f ca="1"/>
        <v>183.20373250388818</v>
      </c>
      <c r="K225" s="3">
        <f ca="1"/>
        <v>266.72278338945034</v>
      </c>
      <c r="L225" s="3">
        <f ca="1"/>
        <v>130.65927032216771</v>
      </c>
      <c r="M225" s="3">
        <f ca="1"/>
        <v>105.24604569420045</v>
      </c>
      <c r="N225" s="3">
        <f ca="1"/>
        <v>93.217180072456046</v>
      </c>
      <c r="O225" s="3">
        <f ca="1"/>
        <v>151.05475763016173</v>
      </c>
      <c r="P225" s="3">
        <f ca="1"/>
        <v>154.29919024960327</v>
      </c>
    </row>
    <row r="226" spans="1:16" x14ac:dyDescent="0.25">
      <c r="A226" vm="3316">
        <f ca="1"/>
        <v>45247</v>
      </c>
      <c r="B226" s="3">
        <f ca="1"/>
        <v>146.16122840690988</v>
      </c>
      <c r="C226" s="3">
        <f ca="1"/>
        <v>116.7185966110376</v>
      </c>
      <c r="D226" s="3">
        <f ca="1"/>
        <v>90.7863383637808</v>
      </c>
      <c r="E226" s="3">
        <f ca="1"/>
        <v>109.61310486043742</v>
      </c>
      <c r="F226" s="3">
        <f ca="1"/>
        <v>100.83129906973681</v>
      </c>
      <c r="G226" s="3">
        <f ca="1"/>
        <v>82.908288376655236</v>
      </c>
      <c r="H226" s="3">
        <f ca="1"/>
        <v>133.10819937863025</v>
      </c>
      <c r="I226" s="3">
        <f ca="1"/>
        <v>101.45725388601029</v>
      </c>
      <c r="J226" s="3">
        <f ca="1"/>
        <v>180.09331259720079</v>
      </c>
      <c r="K226" s="3">
        <f ca="1"/>
        <v>267.9092512425849</v>
      </c>
      <c r="L226" s="3">
        <f ca="1"/>
        <v>130.36057179432476</v>
      </c>
      <c r="M226" s="3">
        <f ca="1"/>
        <v>103.94991212653788</v>
      </c>
      <c r="N226" s="3">
        <f ca="1"/>
        <v>93.311414989634017</v>
      </c>
      <c r="O226" s="3">
        <f ca="1"/>
        <v>153.64676840215455</v>
      </c>
      <c r="P226" s="3">
        <f ca="1"/>
        <v>157.01227147508118</v>
      </c>
    </row>
    <row r="227" spans="1:16" x14ac:dyDescent="0.25">
      <c r="A227" vm="3328">
        <f ca="1"/>
        <v>45250</v>
      </c>
      <c r="B227" s="3">
        <f ca="1"/>
        <v>148.28626268165627</v>
      </c>
      <c r="C227" s="3">
        <f ca="1"/>
        <v>116.633232318921</v>
      </c>
      <c r="D227" s="3">
        <f ca="1"/>
        <v>90.961080222398749</v>
      </c>
      <c r="E227" s="3">
        <f ca="1"/>
        <v>107.89416963034797</v>
      </c>
      <c r="F227" s="3">
        <f ca="1"/>
        <v>99.670119416771172</v>
      </c>
      <c r="G227" s="3">
        <f ca="1"/>
        <v>82.540461010299168</v>
      </c>
      <c r="H227" s="3">
        <f ca="1"/>
        <v>134.51303525597726</v>
      </c>
      <c r="I227" s="3">
        <f ca="1"/>
        <v>102.39637305699476</v>
      </c>
      <c r="J227" s="3">
        <f ca="1"/>
        <v>179.5489891135305</v>
      </c>
      <c r="K227" s="3">
        <f ca="1"/>
        <v>268.59066859066894</v>
      </c>
      <c r="L227" s="3">
        <f ca="1"/>
        <v>130.22544626982437</v>
      </c>
      <c r="M227" s="3">
        <f ca="1"/>
        <v>103.52811950790871</v>
      </c>
      <c r="N227" s="3">
        <f ca="1"/>
        <v>93.120851046007445</v>
      </c>
      <c r="O227" s="3">
        <f ca="1"/>
        <v>151.82899461400373</v>
      </c>
      <c r="P227" s="3">
        <f ca="1"/>
        <v>154.37432172969343</v>
      </c>
    </row>
    <row r="228" spans="1:16" x14ac:dyDescent="0.25">
      <c r="A228" vm="3344">
        <f ca="1"/>
        <v>45251</v>
      </c>
      <c r="B228" s="3">
        <f ca="1"/>
        <v>147.90581299698394</v>
      </c>
      <c r="C228" s="3">
        <f ca="1"/>
        <v>117.10273592556236</v>
      </c>
      <c r="D228" s="3">
        <f ca="1"/>
        <v>91.183478951548878</v>
      </c>
      <c r="E228" s="3">
        <f ca="1"/>
        <v>107.66246362754596</v>
      </c>
      <c r="F228" s="3">
        <f ca="1"/>
        <v>99.142310483604987</v>
      </c>
      <c r="G228" s="3">
        <f ca="1"/>
        <v>82.859244727807749</v>
      </c>
      <c r="H228" s="3">
        <f ca="1"/>
        <v>135.0263406727002</v>
      </c>
      <c r="I228" s="3">
        <f ca="1"/>
        <v>103.821243523316</v>
      </c>
      <c r="J228" s="3">
        <f ca="1"/>
        <v>179.62674961119771</v>
      </c>
      <c r="K228" s="3">
        <f ca="1"/>
        <v>272.54288920955622</v>
      </c>
      <c r="L228" s="3">
        <f ca="1"/>
        <v>130.95085698030013</v>
      </c>
      <c r="M228" s="3">
        <f ca="1"/>
        <v>104.10808435852383</v>
      </c>
      <c r="N228" s="3">
        <f ca="1"/>
        <v>92.938663539463349</v>
      </c>
      <c r="O228" s="3">
        <f ca="1"/>
        <v>152.88375224416529</v>
      </c>
      <c r="P228" s="3">
        <f ca="1"/>
        <v>157.5423658068284</v>
      </c>
    </row>
    <row r="229" spans="1:16" x14ac:dyDescent="0.25">
      <c r="A229" vm="3359">
        <f ca="1"/>
        <v>45252</v>
      </c>
      <c r="B229" s="3">
        <f ca="1"/>
        <v>148.38223197148355</v>
      </c>
      <c r="C229" s="3">
        <f ca="1"/>
        <v>116.70579196722012</v>
      </c>
      <c r="D229" s="3">
        <f ca="1"/>
        <v>92.184273232724422</v>
      </c>
      <c r="E229" s="3">
        <f ca="1"/>
        <v>108.41146675288275</v>
      </c>
      <c r="F229" s="3">
        <f ca="1"/>
        <v>98.706868113742871</v>
      </c>
      <c r="G229" s="3">
        <f ca="1"/>
        <v>83.742030407062288</v>
      </c>
      <c r="H229" s="3">
        <f ca="1"/>
        <v>132.93259489396186</v>
      </c>
      <c r="I229" s="3">
        <f ca="1"/>
        <v>104.43652849740926</v>
      </c>
      <c r="J229" s="3">
        <f ca="1"/>
        <v>178.69362363919149</v>
      </c>
      <c r="K229" s="3">
        <f ca="1"/>
        <v>270.14590347923712</v>
      </c>
      <c r="L229" s="3">
        <f ca="1"/>
        <v>130.40324301258804</v>
      </c>
      <c r="M229" s="3">
        <f ca="1"/>
        <v>102.93057996485072</v>
      </c>
      <c r="N229" s="3">
        <f ca="1"/>
        <v>93.847506962913187</v>
      </c>
      <c r="O229" s="3">
        <f ca="1"/>
        <v>153.69165170556568</v>
      </c>
      <c r="P229" s="3">
        <f ca="1"/>
        <v>155.71834042908401</v>
      </c>
    </row>
    <row r="230" spans="1:16" x14ac:dyDescent="0.25">
      <c r="A230" vm="3374">
        <f ca="1"/>
        <v>45254</v>
      </c>
      <c r="B230" s="3">
        <f ca="1"/>
        <v>147.80298875788333</v>
      </c>
      <c r="C230" s="3">
        <f ca="1"/>
        <v>116.97042127278161</v>
      </c>
      <c r="D230" s="3">
        <f ca="1"/>
        <v>92.803812549642615</v>
      </c>
      <c r="E230" s="3">
        <f ca="1"/>
        <v>109.14969285483338</v>
      </c>
      <c r="F230" s="3">
        <f ca="1"/>
        <v>99.637131358448272</v>
      </c>
      <c r="G230" s="3">
        <f ca="1"/>
        <v>85.041687101520353</v>
      </c>
      <c r="H230" s="3">
        <f ca="1"/>
        <v>133.25678778873427</v>
      </c>
      <c r="I230" s="3">
        <f ca="1"/>
        <v>105.40803108808282</v>
      </c>
      <c r="J230" s="3">
        <f ca="1"/>
        <v>176.04976671850719</v>
      </c>
      <c r="K230" s="3">
        <f ca="1"/>
        <v>273.76142376142411</v>
      </c>
      <c r="L230" s="3">
        <f ca="1"/>
        <v>130.72327714956265</v>
      </c>
      <c r="M230" s="3">
        <f ca="1"/>
        <v>105.02636203866443</v>
      </c>
      <c r="N230" s="3">
        <f ca="1"/>
        <v>94.318681548803085</v>
      </c>
      <c r="O230" s="3">
        <f ca="1"/>
        <v>155.39721723518869</v>
      </c>
      <c r="P230" s="3">
        <f ca="1"/>
        <v>157.71349862258933</v>
      </c>
    </row>
    <row r="231" spans="1:16" x14ac:dyDescent="0.25">
      <c r="A231" vm="3389">
        <f ca="1"/>
        <v>45257</v>
      </c>
      <c r="B231" s="3">
        <f ca="1"/>
        <v>148.63929256923512</v>
      </c>
      <c r="C231" s="3">
        <f ca="1"/>
        <v>117.71735882880191</v>
      </c>
      <c r="D231" s="3">
        <f ca="1"/>
        <v>93.042096902303456</v>
      </c>
      <c r="E231" s="3">
        <f ca="1"/>
        <v>109.48916909149682</v>
      </c>
      <c r="F231" s="3">
        <f ca="1"/>
        <v>99.87464537837306</v>
      </c>
      <c r="G231" s="3">
        <f ca="1"/>
        <v>85.679254536537499</v>
      </c>
      <c r="H231" s="3">
        <f ca="1"/>
        <v>132.14912873159525</v>
      </c>
      <c r="I231" s="3">
        <f ca="1"/>
        <v>105.69948186528489</v>
      </c>
      <c r="J231" s="3">
        <f ca="1"/>
        <v>179.86003110419924</v>
      </c>
      <c r="K231" s="3">
        <f ca="1"/>
        <v>271.14798781465481</v>
      </c>
      <c r="L231" s="3">
        <f ca="1"/>
        <v>129.84851717516537</v>
      </c>
      <c r="M231" s="3">
        <f ca="1"/>
        <v>104.73198594024616</v>
      </c>
      <c r="N231" s="3">
        <f ca="1"/>
        <v>94.655833141373179</v>
      </c>
      <c r="O231" s="3">
        <f ca="1"/>
        <v>153.37746858168776</v>
      </c>
      <c r="P231" s="3">
        <f ca="1"/>
        <v>157.5381918357123</v>
      </c>
    </row>
    <row r="232" spans="1:16" x14ac:dyDescent="0.25">
      <c r="A232" vm="3402">
        <f ca="1"/>
        <v>45258</v>
      </c>
      <c r="B232" s="3">
        <f ca="1"/>
        <v>148.03948450781476</v>
      </c>
      <c r="C232" s="3">
        <f ca="1"/>
        <v>118.00759742199837</v>
      </c>
      <c r="D232" s="3">
        <f ca="1"/>
        <v>92.867355043685507</v>
      </c>
      <c r="E232" s="3">
        <f ca="1"/>
        <v>108.52462549843723</v>
      </c>
      <c r="F232" s="3">
        <f ca="1"/>
        <v>99.782278815068992</v>
      </c>
      <c r="G232" s="3">
        <f ca="1"/>
        <v>85.55664541441881</v>
      </c>
      <c r="H232" s="3">
        <f ca="1"/>
        <v>131.3116304200999</v>
      </c>
      <c r="I232" s="3">
        <f ca="1"/>
        <v>103.43264248704656</v>
      </c>
      <c r="J232" s="3">
        <f ca="1"/>
        <v>180.40435458786953</v>
      </c>
      <c r="K232" s="3">
        <f ca="1"/>
        <v>268.31810165143526</v>
      </c>
      <c r="L232" s="3">
        <f ca="1"/>
        <v>132.07453239456655</v>
      </c>
      <c r="M232" s="3">
        <f ca="1"/>
        <v>104.56502636203878</v>
      </c>
      <c r="N232" s="3">
        <f ca="1"/>
        <v>93.290473896927807</v>
      </c>
      <c r="O232" s="3">
        <f ca="1"/>
        <v>153.06328545780983</v>
      </c>
      <c r="P232" s="3">
        <f ca="1"/>
        <v>158.03072042741445</v>
      </c>
    </row>
    <row r="233" spans="1:16" x14ac:dyDescent="0.25">
      <c r="A233" vm="3417">
        <f ca="1"/>
        <v>45259</v>
      </c>
      <c r="B233" s="3">
        <f ca="1"/>
        <v>146.19207567864009</v>
      </c>
      <c r="C233" s="3">
        <f ca="1"/>
        <v>116.62896410431514</v>
      </c>
      <c r="D233" s="3">
        <f ca="1"/>
        <v>93.057982525814182</v>
      </c>
      <c r="E233" s="3">
        <f ca="1"/>
        <v>106.60092682401111</v>
      </c>
      <c r="F233" s="3">
        <f ca="1"/>
        <v>100.47502803984962</v>
      </c>
      <c r="G233" s="3">
        <f ca="1"/>
        <v>86.120647376164754</v>
      </c>
      <c r="H233" s="3">
        <f ca="1"/>
        <v>132.351749290828</v>
      </c>
      <c r="I233" s="3">
        <f ca="1"/>
        <v>103.78886010362685</v>
      </c>
      <c r="J233" s="3">
        <f ca="1"/>
        <v>178.07153965785398</v>
      </c>
      <c r="K233" s="3">
        <f ca="1"/>
        <v>271.75725509058867</v>
      </c>
      <c r="L233" s="3">
        <f ca="1"/>
        <v>128.96664533105755</v>
      </c>
      <c r="M233" s="3">
        <f ca="1"/>
        <v>106.22583479789117</v>
      </c>
      <c r="N233" s="3">
        <f ca="1"/>
        <v>93.872636274160641</v>
      </c>
      <c r="O233" s="3">
        <f ca="1"/>
        <v>153.94973070017966</v>
      </c>
      <c r="P233" s="3">
        <f ca="1"/>
        <v>159.73787461390745</v>
      </c>
    </row>
    <row r="234" spans="1:16" x14ac:dyDescent="0.25">
      <c r="A234" vm="3432">
        <f ca="1"/>
        <v>45260</v>
      </c>
      <c r="B234" s="3">
        <f ca="1"/>
        <v>146.71647929805332</v>
      </c>
      <c r="C234" s="3">
        <f ca="1"/>
        <v>117.4228520209996</v>
      </c>
      <c r="D234" s="3">
        <f ca="1"/>
        <v>92.501985702938882</v>
      </c>
      <c r="E234" s="3">
        <f ca="1"/>
        <v>106.39077486798135</v>
      </c>
      <c r="F234" s="3">
        <f ca="1"/>
        <v>99.709705086758646</v>
      </c>
      <c r="G234" s="3">
        <f ca="1"/>
        <v>86.022560078469809</v>
      </c>
      <c r="H234" s="3">
        <f ca="1"/>
        <v>133.56747264622445</v>
      </c>
      <c r="I234" s="3">
        <f ca="1"/>
        <v>102.75259067357504</v>
      </c>
      <c r="J234" s="3">
        <f ca="1"/>
        <v>179.93779160186645</v>
      </c>
      <c r="K234" s="3">
        <f ca="1"/>
        <v>266.31393298059987</v>
      </c>
      <c r="L234" s="3">
        <f ca="1"/>
        <v>132.0034136974611</v>
      </c>
      <c r="M234" s="3">
        <f ca="1"/>
        <v>104.5474516695959</v>
      </c>
      <c r="N234" s="3">
        <f ca="1"/>
        <v>93.189956651937948</v>
      </c>
      <c r="O234" s="3">
        <f ca="1"/>
        <v>151.46992818671467</v>
      </c>
      <c r="P234" s="3">
        <f ca="1"/>
        <v>158.13089573420132</v>
      </c>
    </row>
    <row r="235" spans="1:16" x14ac:dyDescent="0.25">
      <c r="A235" vm="3447">
        <f ca="1"/>
        <v>45261</v>
      </c>
      <c r="B235" s="3">
        <f ca="1"/>
        <v>148.47134631203741</v>
      </c>
      <c r="C235" s="3">
        <f ca="1"/>
        <v>119.6850057620897</v>
      </c>
      <c r="D235" s="3">
        <f ca="1"/>
        <v>92.835583796664068</v>
      </c>
      <c r="E235" s="3">
        <f ca="1"/>
        <v>108.27675396055596</v>
      </c>
      <c r="F235" s="3">
        <f ca="1"/>
        <v>101.28653427459267</v>
      </c>
      <c r="G235" s="3">
        <f ca="1"/>
        <v>86.096125551741025</v>
      </c>
      <c r="H235" s="3">
        <f ca="1"/>
        <v>131.44671079292175</v>
      </c>
      <c r="I235" s="3">
        <f ca="1"/>
        <v>104.59844559585481</v>
      </c>
      <c r="J235" s="3">
        <f ca="1"/>
        <v>177.06065318818059</v>
      </c>
      <c r="K235" s="3">
        <f ca="1"/>
        <v>262.26551226551248</v>
      </c>
      <c r="L235" s="3">
        <f ca="1"/>
        <v>133.92361851930877</v>
      </c>
      <c r="M235" s="3">
        <f ca="1"/>
        <v>105.66344463971893</v>
      </c>
      <c r="N235" s="3">
        <f ca="1"/>
        <v>93.767930810629551</v>
      </c>
      <c r="O235" s="3">
        <f ca="1"/>
        <v>148.70960502693009</v>
      </c>
      <c r="P235" s="3">
        <f ca="1"/>
        <v>158.15593956089802</v>
      </c>
    </row>
    <row r="236" spans="1:16" x14ac:dyDescent="0.25">
      <c r="A236" vm="3463">
        <f ca="1"/>
        <v>45264</v>
      </c>
      <c r="B236" s="3">
        <f ca="1"/>
        <v>150.86372360844541</v>
      </c>
      <c r="C236" s="3">
        <f ca="1"/>
        <v>122.1605702334713</v>
      </c>
      <c r="D236" s="3">
        <f ca="1"/>
        <v>93.153296266878513</v>
      </c>
      <c r="E236" s="3">
        <f ca="1"/>
        <v>109.66160146567503</v>
      </c>
      <c r="F236" s="3">
        <f ca="1"/>
        <v>100.719139671439</v>
      </c>
      <c r="G236" s="3">
        <f ca="1"/>
        <v>87.101520353114267</v>
      </c>
      <c r="H236" s="3">
        <f ca="1"/>
        <v>133.12170741591243</v>
      </c>
      <c r="I236" s="3">
        <f ca="1"/>
        <v>108.16062176165791</v>
      </c>
      <c r="J236" s="3">
        <f ca="1"/>
        <v>187.40279937791624</v>
      </c>
      <c r="K236" s="3">
        <f ca="1"/>
        <v>260.39762706429394</v>
      </c>
      <c r="L236" s="3">
        <f ca="1"/>
        <v>135.5166773344713</v>
      </c>
      <c r="M236" s="3">
        <f ca="1"/>
        <v>106.30492091388413</v>
      </c>
      <c r="N236" s="3">
        <f ca="1"/>
        <v>94.111364731011534</v>
      </c>
      <c r="O236" s="3">
        <f ca="1"/>
        <v>147.95780969479367</v>
      </c>
      <c r="P236" s="3">
        <f ca="1"/>
        <v>156.31939226980526</v>
      </c>
    </row>
    <row r="237" spans="1:16" x14ac:dyDescent="0.25">
      <c r="A237" vm="3475">
        <f ca="1"/>
        <v>45265</v>
      </c>
      <c r="B237" s="3">
        <f ca="1"/>
        <v>150.17480120647116</v>
      </c>
      <c r="C237" s="3">
        <f ca="1"/>
        <v>124.37150539929145</v>
      </c>
      <c r="D237" s="3">
        <f ca="1"/>
        <v>93.042096902303442</v>
      </c>
      <c r="E237" s="3">
        <f ca="1"/>
        <v>107.3768725078132</v>
      </c>
      <c r="F237" s="3">
        <f ca="1"/>
        <v>100.32328297156435</v>
      </c>
      <c r="G237" s="3">
        <f ca="1"/>
        <v>87.837175085826374</v>
      </c>
      <c r="H237" s="3">
        <f ca="1"/>
        <v>131.04146967445627</v>
      </c>
      <c r="I237" s="3">
        <f ca="1"/>
        <v>109.00259067357499</v>
      </c>
      <c r="J237" s="3">
        <f ca="1"/>
        <v>182.97045101088668</v>
      </c>
      <c r="K237" s="3">
        <f ca="1"/>
        <v>256.54962321629006</v>
      </c>
      <c r="L237" s="3">
        <f ca="1"/>
        <v>134.8694971908115</v>
      </c>
      <c r="M237" s="3">
        <f ca="1"/>
        <v>105.58435852372595</v>
      </c>
      <c r="N237" s="3">
        <f ca="1"/>
        <v>94.379410717651112</v>
      </c>
      <c r="O237" s="3">
        <f ca="1"/>
        <v>145.05161579892294</v>
      </c>
      <c r="P237" s="3">
        <f ca="1"/>
        <v>154.07796978044888</v>
      </c>
    </row>
    <row r="238" spans="1:16" x14ac:dyDescent="0.25">
      <c r="A238" vm="3489">
        <f ca="1"/>
        <v>45266</v>
      </c>
      <c r="B238" s="3">
        <f ca="1"/>
        <v>149.03687962709083</v>
      </c>
      <c r="C238" s="3">
        <f ca="1"/>
        <v>122.99714029621408</v>
      </c>
      <c r="D238" s="3">
        <f ca="1"/>
        <v>93.185067513899938</v>
      </c>
      <c r="E238" s="3">
        <f ca="1"/>
        <v>106.98889966591213</v>
      </c>
      <c r="F238" s="3">
        <f ca="1"/>
        <v>96.826548789338318</v>
      </c>
      <c r="G238" s="3">
        <f ca="1"/>
        <v>87.886218734673847</v>
      </c>
      <c r="H238" s="3">
        <f ca="1"/>
        <v>130.6092124814264</v>
      </c>
      <c r="I238" s="3">
        <f ca="1"/>
        <v>107.80440414507758</v>
      </c>
      <c r="J238" s="3">
        <f ca="1"/>
        <v>181.18195956454142</v>
      </c>
      <c r="K238" s="3">
        <f ca="1"/>
        <v>255.16273849607205</v>
      </c>
      <c r="L238" s="3">
        <f ca="1"/>
        <v>134.72014792689004</v>
      </c>
      <c r="M238" s="3">
        <f ca="1"/>
        <v>103.98066783831294</v>
      </c>
      <c r="N238" s="3">
        <f ca="1"/>
        <v>93.447532092224435</v>
      </c>
      <c r="O238" s="3">
        <f ca="1"/>
        <v>146.98159784560158</v>
      </c>
      <c r="P238" s="3">
        <f ca="1"/>
        <v>155.48877201769741</v>
      </c>
    </row>
    <row r="239" spans="1:16" x14ac:dyDescent="0.25">
      <c r="A239" vm="3501">
        <f ca="1"/>
        <v>45267</v>
      </c>
      <c r="B239" s="3">
        <f ca="1"/>
        <v>148.86207842061975</v>
      </c>
      <c r="C239" s="3">
        <f ca="1"/>
        <v>123.98309787016089</v>
      </c>
      <c r="D239" s="3">
        <f ca="1"/>
        <v>93.089753772835607</v>
      </c>
      <c r="E239" s="3">
        <f ca="1"/>
        <v>107.38764953119933</v>
      </c>
      <c r="F239" s="3">
        <f ca="1"/>
        <v>96.753975061027973</v>
      </c>
      <c r="G239" s="3">
        <f ca="1"/>
        <v>88.769004413928371</v>
      </c>
      <c r="H239" s="3">
        <f ca="1"/>
        <v>132.17614480615961</v>
      </c>
      <c r="I239" s="3">
        <f ca="1"/>
        <v>108.54922279792734</v>
      </c>
      <c r="J239" s="3">
        <f ca="1"/>
        <v>181.95956454121324</v>
      </c>
      <c r="K239" s="3">
        <f ca="1"/>
        <v>254.48933782267136</v>
      </c>
      <c r="L239" s="3">
        <f ca="1"/>
        <v>136.4412203968424</v>
      </c>
      <c r="M239" s="3">
        <f ca="1"/>
        <v>103.29525483304053</v>
      </c>
      <c r="N239" s="3">
        <f ca="1"/>
        <v>94.111364731011534</v>
      </c>
      <c r="O239" s="3">
        <f ca="1"/>
        <v>145.89317773788164</v>
      </c>
      <c r="P239" s="3">
        <f ca="1"/>
        <v>153.93605476250082</v>
      </c>
    </row>
    <row r="240" spans="1:16" x14ac:dyDescent="0.25">
      <c r="A240" vm="3516">
        <f ca="1"/>
        <v>45268</v>
      </c>
      <c r="B240" s="3">
        <f ca="1"/>
        <v>148.67356731560193</v>
      </c>
      <c r="C240" s="3">
        <f ca="1"/>
        <v>125.53672798668315</v>
      </c>
      <c r="D240" s="3">
        <f ca="1"/>
        <v>93.312152501985736</v>
      </c>
      <c r="E240" s="3">
        <f ca="1"/>
        <v>108.84254768832834</v>
      </c>
      <c r="F240" s="3">
        <f ca="1"/>
        <v>96.655010886059316</v>
      </c>
      <c r="G240" s="3">
        <f ca="1"/>
        <v>89.504659146640464</v>
      </c>
      <c r="H240" s="3">
        <f ca="1"/>
        <v>134.12130217479398</v>
      </c>
      <c r="I240" s="3">
        <f ca="1"/>
        <v>108.48445595854909</v>
      </c>
      <c r="J240" s="3">
        <f ca="1"/>
        <v>184.44790046656317</v>
      </c>
      <c r="K240" s="3">
        <f ca="1"/>
        <v>261.81657848324534</v>
      </c>
      <c r="L240" s="3">
        <f ca="1"/>
        <v>138.24052343361078</v>
      </c>
      <c r="M240" s="3">
        <f ca="1"/>
        <v>103.62917398945531</v>
      </c>
      <c r="N240" s="3">
        <f ca="1"/>
        <v>93.629719598768531</v>
      </c>
      <c r="O240" s="3">
        <f ca="1"/>
        <v>153.64676840215452</v>
      </c>
      <c r="P240" s="3">
        <f ca="1"/>
        <v>154.83345855246657</v>
      </c>
    </row>
    <row r="241" spans="1:16" x14ac:dyDescent="0.25">
      <c r="A241" vm="3529">
        <f ca="1"/>
        <v>45271</v>
      </c>
      <c r="B241" s="3">
        <f ca="1"/>
        <v>150.33931998903216</v>
      </c>
      <c r="C241" s="3">
        <f ca="1"/>
        <v>125.95501301805452</v>
      </c>
      <c r="D241" s="3">
        <f ca="1"/>
        <v>93.105639396346334</v>
      </c>
      <c r="E241" s="3">
        <f ca="1"/>
        <v>108.03965944606085</v>
      </c>
      <c r="F241" s="3">
        <f ca="1"/>
        <v>95.76433331134136</v>
      </c>
      <c r="G241" s="3">
        <f ca="1"/>
        <v>88.842569887199559</v>
      </c>
      <c r="H241" s="3">
        <f ca="1"/>
        <v>135.55315412670535</v>
      </c>
      <c r="I241" s="3">
        <f ca="1"/>
        <v>106.73575129533666</v>
      </c>
      <c r="J241" s="3">
        <f ca="1"/>
        <v>180.63763608087112</v>
      </c>
      <c r="K241" s="3">
        <f ca="1"/>
        <v>266.75485008818362</v>
      </c>
      <c r="L241" s="3">
        <f ca="1"/>
        <v>141.70400398264712</v>
      </c>
      <c r="M241" s="3">
        <f ca="1"/>
        <v>103.00527240773299</v>
      </c>
      <c r="N241" s="3">
        <f ca="1"/>
        <v>93.820283542395103</v>
      </c>
      <c r="O241" s="3">
        <f ca="1"/>
        <v>151.46992818671467</v>
      </c>
      <c r="P241" s="3">
        <f ca="1"/>
        <v>156.2025210785539</v>
      </c>
    </row>
    <row r="242" spans="1:16" x14ac:dyDescent="0.25">
      <c r="A242" vm="3544">
        <f ca="1"/>
        <v>45272</v>
      </c>
      <c r="B242" s="3">
        <f ca="1"/>
        <v>150.19879352892798</v>
      </c>
      <c r="C242" s="3">
        <f ca="1"/>
        <v>126.15135088992271</v>
      </c>
      <c r="D242" s="3">
        <f ca="1"/>
        <v>93.788721207307404</v>
      </c>
      <c r="E242" s="3">
        <f ca="1"/>
        <v>108.68089233753624</v>
      </c>
      <c r="F242" s="3">
        <f ca="1"/>
        <v>96.206373292868051</v>
      </c>
      <c r="G242" s="3">
        <f ca="1"/>
        <v>90.191270230505111</v>
      </c>
      <c r="H242" s="3">
        <f ca="1"/>
        <v>136.36363636363635</v>
      </c>
      <c r="I242" s="3">
        <f ca="1"/>
        <v>107.51295336787553</v>
      </c>
      <c r="J242" s="3">
        <f ca="1"/>
        <v>186.85847589424591</v>
      </c>
      <c r="K242" s="3">
        <f ca="1"/>
        <v>260.76639409972762</v>
      </c>
      <c r="L242" s="3">
        <f ca="1"/>
        <v>143.48908327999439</v>
      </c>
      <c r="M242" s="3">
        <f ca="1"/>
        <v>103.55887521968377</v>
      </c>
      <c r="N242" s="3">
        <f ca="1"/>
        <v>94.498774946076551</v>
      </c>
      <c r="O242" s="3">
        <f ca="1"/>
        <v>149.56238779174157</v>
      </c>
      <c r="P242" s="3">
        <f ca="1"/>
        <v>154.97954754153076</v>
      </c>
    </row>
    <row r="243" spans="1:16" x14ac:dyDescent="0.25">
      <c r="A243" vm="3556">
        <f ca="1"/>
        <v>45273</v>
      </c>
      <c r="B243" s="3">
        <f ca="1"/>
        <v>151.09336440910346</v>
      </c>
      <c r="C243" s="3">
        <f ca="1"/>
        <v>126.06171838320029</v>
      </c>
      <c r="D243" s="3">
        <f ca="1"/>
        <v>94.39237490071487</v>
      </c>
      <c r="E243" s="3">
        <f ca="1"/>
        <v>108.62161870891248</v>
      </c>
      <c r="F243" s="3">
        <f ca="1"/>
        <v>96.285544632842971</v>
      </c>
      <c r="G243" s="3">
        <f ca="1"/>
        <v>91.368317802844487</v>
      </c>
      <c r="H243" s="3">
        <f ca="1"/>
        <v>137.24165878697823</v>
      </c>
      <c r="I243" s="3">
        <f ca="1"/>
        <v>107.57772020725376</v>
      </c>
      <c r="J243" s="3">
        <f ca="1"/>
        <v>185.14774494556784</v>
      </c>
      <c r="K243" s="3">
        <f ca="1"/>
        <v>267.93330126663488</v>
      </c>
      <c r="L243" s="3">
        <f ca="1"/>
        <v>145.98534954839639</v>
      </c>
      <c r="M243" s="3">
        <f ca="1"/>
        <v>103.61599297012314</v>
      </c>
      <c r="N243" s="3">
        <f ca="1"/>
        <v>94.576256989089558</v>
      </c>
      <c r="O243" s="3">
        <f ca="1"/>
        <v>148.69838420107732</v>
      </c>
      <c r="P243" s="3">
        <f ca="1"/>
        <v>156.26513064529567</v>
      </c>
    </row>
    <row r="244" spans="1:16" x14ac:dyDescent="0.25">
      <c r="A244" vm="3571">
        <f ca="1"/>
        <v>45274</v>
      </c>
      <c r="B244" s="3">
        <f ca="1"/>
        <v>151.33671510830831</v>
      </c>
      <c r="C244" s="3">
        <f ca="1"/>
        <v>127.06901703017623</v>
      </c>
      <c r="D244" s="3">
        <f ca="1"/>
        <v>95.202541699761724</v>
      </c>
      <c r="E244" s="3">
        <f ca="1"/>
        <v>111.47214139454671</v>
      </c>
      <c r="F244" s="3">
        <f ca="1"/>
        <v>98.027314112291407</v>
      </c>
      <c r="G244" s="3">
        <f ca="1"/>
        <v>92.349190779793972</v>
      </c>
      <c r="H244" s="3">
        <f ca="1"/>
        <v>137.94407672565177</v>
      </c>
      <c r="I244" s="3">
        <f ca="1"/>
        <v>107.64248704663203</v>
      </c>
      <c r="J244" s="3">
        <f ca="1"/>
        <v>191.6796267496114</v>
      </c>
      <c r="K244" s="3">
        <f ca="1"/>
        <v>268.35016835016859</v>
      </c>
      <c r="L244" s="3">
        <f ca="1"/>
        <v>149.5483962733804</v>
      </c>
      <c r="M244" s="3">
        <f ca="1"/>
        <v>106.58611599297025</v>
      </c>
      <c r="N244" s="3">
        <f ca="1"/>
        <v>94.53646891294774</v>
      </c>
      <c r="O244" s="3">
        <f ca="1"/>
        <v>148.75448833034122</v>
      </c>
      <c r="P244" s="3">
        <f ca="1"/>
        <v>156.26095667417957</v>
      </c>
    </row>
    <row r="245" spans="1:16" x14ac:dyDescent="0.25">
      <c r="A245" vm="3584">
        <f ca="1"/>
        <v>45275</v>
      </c>
      <c r="B245" s="3">
        <f ca="1"/>
        <v>156.09062242939416</v>
      </c>
      <c r="C245" s="3">
        <f ca="1"/>
        <v>131.92624525161119</v>
      </c>
      <c r="D245" s="3">
        <f ca="1"/>
        <v>93.78872120730739</v>
      </c>
      <c r="E245" s="3">
        <f ca="1"/>
        <v>113.4012285806659</v>
      </c>
      <c r="F245" s="3">
        <f ca="1"/>
        <v>95.441050339777036</v>
      </c>
      <c r="G245" s="3">
        <f ca="1"/>
        <v>90.730750367827326</v>
      </c>
      <c r="H245" s="3">
        <f ca="1"/>
        <v>139.74064568418208</v>
      </c>
      <c r="I245" s="3">
        <f ca="1"/>
        <v>109.58549222797917</v>
      </c>
      <c r="J245" s="3">
        <f ca="1"/>
        <v>190.66874027993799</v>
      </c>
      <c r="K245" s="3">
        <f ca="1"/>
        <v>267.09155042488402</v>
      </c>
      <c r="L245" s="3">
        <f ca="1"/>
        <v>153.47414835360229</v>
      </c>
      <c r="M245" s="3">
        <f ca="1"/>
        <v>105.90070298769784</v>
      </c>
      <c r="N245" s="3">
        <f ca="1"/>
        <v>93.244403492974129</v>
      </c>
      <c r="O245" s="3">
        <f ca="1"/>
        <v>148.04757630161589</v>
      </c>
      <c r="P245" s="3">
        <f ca="1"/>
        <v>152.73812505217438</v>
      </c>
    </row>
    <row r="246" spans="1:16" x14ac:dyDescent="0.25">
      <c r="A246" vm="3597">
        <f ca="1"/>
        <v>45278</v>
      </c>
      <c r="B246" s="3">
        <f ca="1"/>
        <v>155.47024952015369</v>
      </c>
      <c r="C246" s="3">
        <f ca="1"/>
        <v>134.19693542191297</v>
      </c>
      <c r="D246" s="3">
        <f ca="1"/>
        <v>93.089753772835593</v>
      </c>
      <c r="E246" s="3">
        <f ca="1"/>
        <v>114.58131264144832</v>
      </c>
      <c r="F246" s="3">
        <f ca="1"/>
        <v>94.979217523256622</v>
      </c>
      <c r="G246" s="3">
        <f ca="1"/>
        <v>89.725355566454112</v>
      </c>
      <c r="H246" s="3">
        <f ca="1"/>
        <v>138.51141429150343</v>
      </c>
      <c r="I246" s="3">
        <f ca="1"/>
        <v>110.10362694300508</v>
      </c>
      <c r="J246" s="3">
        <f ca="1"/>
        <v>194.79004665629881</v>
      </c>
      <c r="K246" s="3">
        <f ca="1"/>
        <v>268.49446849446872</v>
      </c>
      <c r="L246" s="3">
        <f ca="1"/>
        <v>152.91942251617962</v>
      </c>
      <c r="M246" s="3">
        <f ca="1"/>
        <v>103.89279437609855</v>
      </c>
      <c r="N246" s="3">
        <f ca="1"/>
        <v>92.519841685339017</v>
      </c>
      <c r="O246" s="3">
        <f ca="1"/>
        <v>148.78815080789957</v>
      </c>
      <c r="P246" s="3">
        <f ca="1"/>
        <v>154.74163118791191</v>
      </c>
    </row>
    <row r="247" spans="1:16" x14ac:dyDescent="0.25">
      <c r="A247" vm="3613">
        <f ca="1"/>
        <v>45279</v>
      </c>
      <c r="B247" s="3">
        <f ca="1"/>
        <v>155.43254729915012</v>
      </c>
      <c r="C247" s="3">
        <f ca="1"/>
        <v>134.35059114772284</v>
      </c>
      <c r="D247" s="3">
        <f ca="1"/>
        <v>93.756949960285965</v>
      </c>
      <c r="E247" s="3">
        <f ca="1"/>
        <v>116.14398103243875</v>
      </c>
      <c r="F247" s="3">
        <f ca="1"/>
        <v>96.437289701128222</v>
      </c>
      <c r="G247" s="3">
        <f ca="1"/>
        <v>90.019617459538949</v>
      </c>
      <c r="H247" s="3">
        <f ca="1"/>
        <v>139.03822774550855</v>
      </c>
      <c r="I247" s="3">
        <f ca="1"/>
        <v>111.17227979274602</v>
      </c>
      <c r="J247" s="3">
        <f ca="1"/>
        <v>191.2908242612755</v>
      </c>
      <c r="K247" s="3">
        <f ca="1"/>
        <v>276.27064293730984</v>
      </c>
      <c r="L247" s="3">
        <f ca="1"/>
        <v>152.90519877675851</v>
      </c>
      <c r="M247" s="3">
        <f ca="1"/>
        <v>104.96045694200365</v>
      </c>
      <c r="N247" s="3">
        <f ca="1"/>
        <v>93.587837413356112</v>
      </c>
      <c r="O247" s="3">
        <f ca="1"/>
        <v>152.37881508079008</v>
      </c>
      <c r="P247" s="3">
        <f ca="1"/>
        <v>155.54303364220689</v>
      </c>
    </row>
    <row r="248" spans="1:16" x14ac:dyDescent="0.25">
      <c r="A248" vm="3628">
        <f ca="1"/>
        <v>45280</v>
      </c>
      <c r="B248" s="3">
        <f ca="1"/>
        <v>157.75294762818768</v>
      </c>
      <c r="C248" s="3">
        <f ca="1"/>
        <v>133.62926287933752</v>
      </c>
      <c r="D248" s="3">
        <f ca="1"/>
        <v>93.455123113582232</v>
      </c>
      <c r="E248" s="3">
        <f ca="1"/>
        <v>118.03534863670644</v>
      </c>
      <c r="F248" s="3">
        <f ca="1"/>
        <v>96.437289701128222</v>
      </c>
      <c r="G248" s="3">
        <f ca="1"/>
        <v>89.480137322216734</v>
      </c>
      <c r="H248" s="3">
        <f ca="1"/>
        <v>140.30798325003371</v>
      </c>
      <c r="I248" s="3">
        <f ca="1"/>
        <v>111.98186528497401</v>
      </c>
      <c r="J248" s="3">
        <f ca="1"/>
        <v>197.97822706065341</v>
      </c>
      <c r="K248" s="3">
        <f ca="1"/>
        <v>280.87221420554778</v>
      </c>
      <c r="L248" s="3">
        <f ca="1"/>
        <v>154.8325154683167</v>
      </c>
      <c r="M248" s="3">
        <f ca="1"/>
        <v>105.92706502636217</v>
      </c>
      <c r="N248" s="3">
        <f ca="1"/>
        <v>93.772119029170824</v>
      </c>
      <c r="O248" s="3">
        <f ca="1"/>
        <v>153.33258527827661</v>
      </c>
      <c r="P248" s="3">
        <f ca="1"/>
        <v>155.79764588029022</v>
      </c>
    </row>
    <row r="249" spans="1:16" x14ac:dyDescent="0.25">
      <c r="A249" vm="3644">
        <f ca="1"/>
        <v>45281</v>
      </c>
      <c r="B249" s="3">
        <f ca="1"/>
        <v>154.03756512201824</v>
      </c>
      <c r="C249" s="3">
        <f ca="1"/>
        <v>132.07990097742109</v>
      </c>
      <c r="D249" s="3">
        <f ca="1"/>
        <v>91.51707704527405</v>
      </c>
      <c r="E249" s="3">
        <f ca="1"/>
        <v>115.82605884254758</v>
      </c>
      <c r="F249" s="3">
        <f ca="1"/>
        <v>94.946229464933737</v>
      </c>
      <c r="G249" s="3">
        <f ca="1"/>
        <v>87.665522314860183</v>
      </c>
      <c r="H249" s="3">
        <f ca="1"/>
        <v>135.13440497095766</v>
      </c>
      <c r="I249" s="3">
        <f ca="1"/>
        <v>111.26943005181339</v>
      </c>
      <c r="J249" s="3">
        <f ca="1"/>
        <v>201.63297045101112</v>
      </c>
      <c r="K249" s="3">
        <f ca="1"/>
        <v>280.00641333974687</v>
      </c>
      <c r="L249" s="3">
        <f ca="1"/>
        <v>151.41170613754363</v>
      </c>
      <c r="M249" s="3">
        <f ca="1"/>
        <v>103.28207381370838</v>
      </c>
      <c r="N249" s="3">
        <f ca="1"/>
        <v>92.685276317718149</v>
      </c>
      <c r="O249" s="3">
        <f ca="1"/>
        <v>155.2289048473969</v>
      </c>
      <c r="P249" s="3">
        <f ca="1"/>
        <v>154.69571750563458</v>
      </c>
    </row>
    <row r="250" spans="1:16" x14ac:dyDescent="0.25">
      <c r="A250" vm="3658">
        <f ca="1"/>
        <v>45282</v>
      </c>
      <c r="B250" s="3">
        <f ca="1"/>
        <v>156.25856868659184</v>
      </c>
      <c r="C250" s="3">
        <f ca="1"/>
        <v>132.6006231593324</v>
      </c>
      <c r="D250" s="3">
        <f ca="1"/>
        <v>92.120730738681516</v>
      </c>
      <c r="E250" s="3">
        <f ca="1"/>
        <v>117.70126091173609</v>
      </c>
      <c r="F250" s="3">
        <f ca="1"/>
        <v>95.17714587319395</v>
      </c>
      <c r="G250" s="3">
        <f ca="1"/>
        <v>88.180480627758669</v>
      </c>
      <c r="H250" s="3">
        <f ca="1"/>
        <v>138.52492232878558</v>
      </c>
      <c r="I250" s="3">
        <f ca="1"/>
        <v>111.59326424870459</v>
      </c>
      <c r="J250" s="3">
        <f ca="1"/>
        <v>207.62052877138436</v>
      </c>
      <c r="K250" s="3">
        <f ca="1"/>
        <v>283.86243386243405</v>
      </c>
      <c r="L250" s="3">
        <f ca="1"/>
        <v>151.09167200056902</v>
      </c>
      <c r="M250" s="3">
        <f ca="1"/>
        <v>103.63356766256602</v>
      </c>
      <c r="N250" s="3">
        <f ca="1"/>
        <v>93.820283542395117</v>
      </c>
      <c r="O250" s="3">
        <f ca="1"/>
        <v>157.56283662477571</v>
      </c>
      <c r="P250" s="3">
        <f ca="1"/>
        <v>155.91451707154161</v>
      </c>
    </row>
    <row r="251" spans="1:16" x14ac:dyDescent="0.25">
      <c r="A251" vm="3672">
        <f ca="1"/>
        <v>45286</v>
      </c>
      <c r="B251" s="3">
        <f ca="1"/>
        <v>157.04346037839335</v>
      </c>
      <c r="C251" s="3">
        <f ca="1"/>
        <v>133.1939049895428</v>
      </c>
      <c r="D251" s="3">
        <f ca="1"/>
        <v>92.644956314535364</v>
      </c>
      <c r="E251" s="3">
        <f ca="1"/>
        <v>118.43409850199365</v>
      </c>
      <c r="F251" s="3">
        <f ca="1"/>
        <v>95.850102262980855</v>
      </c>
      <c r="G251" s="3">
        <f ca="1"/>
        <v>89.161353604708154</v>
      </c>
      <c r="H251" s="3">
        <f ca="1"/>
        <v>139.33540456571657</v>
      </c>
      <c r="I251" s="3">
        <f ca="1"/>
        <v>112.14378238341962</v>
      </c>
      <c r="J251" s="3">
        <f ca="1"/>
        <v>207.23172628304843</v>
      </c>
      <c r="K251" s="3">
        <f ca="1"/>
        <v>283.30126663460015</v>
      </c>
      <c r="L251" s="3">
        <f ca="1"/>
        <v>152.22245928454598</v>
      </c>
      <c r="M251" s="3">
        <f ca="1"/>
        <v>104.51669595782084</v>
      </c>
      <c r="N251" s="3">
        <f ca="1"/>
        <v>93.86216572780755</v>
      </c>
      <c r="O251" s="3">
        <f ca="1"/>
        <v>158.76346499102348</v>
      </c>
      <c r="P251" s="3">
        <f ca="1"/>
        <v>156.34861006761807</v>
      </c>
    </row>
    <row r="252" spans="1:16" x14ac:dyDescent="0.25">
      <c r="A252" vm="3686">
        <f ca="1"/>
        <v>45287</v>
      </c>
      <c r="B252" s="3">
        <f ca="1"/>
        <v>158.16424458459022</v>
      </c>
      <c r="C252" s="3">
        <f ca="1"/>
        <v>134.10303470058466</v>
      </c>
      <c r="D252" s="3">
        <f ca="1"/>
        <v>93.026211278792715</v>
      </c>
      <c r="E252" s="3">
        <f ca="1"/>
        <v>119.31242590796411</v>
      </c>
      <c r="F252" s="3">
        <f ca="1"/>
        <v>96.285544632842971</v>
      </c>
      <c r="G252" s="3">
        <f ca="1"/>
        <v>89.504659146640478</v>
      </c>
      <c r="H252" s="3">
        <f ca="1"/>
        <v>141.09144941240035</v>
      </c>
      <c r="I252" s="3">
        <f ca="1"/>
        <v>113.18005181347142</v>
      </c>
      <c r="J252" s="3">
        <f ca="1"/>
        <v>208.47589424572337</v>
      </c>
      <c r="K252" s="3">
        <f ca="1"/>
        <v>284.45566778900127</v>
      </c>
      <c r="L252" s="3">
        <f ca="1"/>
        <v>152.66339520659986</v>
      </c>
      <c r="M252" s="3">
        <f ca="1"/>
        <v>105.00439367311083</v>
      </c>
      <c r="N252" s="3">
        <f ca="1"/>
        <v>94.272611144849407</v>
      </c>
      <c r="O252" s="3">
        <f ca="1"/>
        <v>158.79712746858183</v>
      </c>
      <c r="P252" s="3">
        <f ca="1"/>
        <v>156.38200183654706</v>
      </c>
    </row>
    <row r="253" spans="1:16" x14ac:dyDescent="0.25">
      <c r="A253" vm="3701">
        <f ca="1"/>
        <v>45288</v>
      </c>
      <c r="B253" s="3">
        <f ca="1"/>
        <v>158.43501508088855</v>
      </c>
      <c r="C253" s="3">
        <f ca="1"/>
        <v>133.98352469162143</v>
      </c>
      <c r="D253" s="3">
        <f ca="1"/>
        <v>93.264495631453542</v>
      </c>
      <c r="E253" s="3">
        <f ca="1"/>
        <v>120.34702015303364</v>
      </c>
      <c r="F253" s="3">
        <f ca="1"/>
        <v>96.364715972817905</v>
      </c>
      <c r="G253" s="3">
        <f ca="1"/>
        <v>89.553702795487965</v>
      </c>
      <c r="H253" s="3">
        <f ca="1"/>
        <v>141.36161015804402</v>
      </c>
      <c r="I253" s="3">
        <f ca="1"/>
        <v>112.20854922279783</v>
      </c>
      <c r="J253" s="3">
        <f ca="1"/>
        <v>209.17573872472801</v>
      </c>
      <c r="K253" s="3">
        <f ca="1"/>
        <v>286.86067019400372</v>
      </c>
      <c r="L253" s="3">
        <f ca="1"/>
        <v>153.58082639926039</v>
      </c>
      <c r="M253" s="3">
        <f ca="1"/>
        <v>105.50087873462225</v>
      </c>
      <c r="N253" s="3">
        <f ca="1"/>
        <v>94.019223923104178</v>
      </c>
      <c r="O253" s="3">
        <f ca="1"/>
        <v>157.50673249551181</v>
      </c>
      <c r="P253" s="3">
        <f ca="1"/>
        <v>156.13573754069597</v>
      </c>
    </row>
    <row r="254" spans="1:16" x14ac:dyDescent="0.25">
      <c r="A254" vm="3715">
        <f ca="1"/>
        <v>45289</v>
      </c>
      <c r="B254" s="3">
        <f ca="1"/>
        <v>158.33561831642459</v>
      </c>
      <c r="C254" s="3">
        <f ca="1"/>
        <v>134.00059755004474</v>
      </c>
      <c r="D254" s="3">
        <f ca="1"/>
        <v>93.328038125496434</v>
      </c>
      <c r="E254" s="3">
        <f ca="1"/>
        <v>119.48485828214238</v>
      </c>
      <c r="F254" s="3">
        <f ca="1"/>
        <v>96.14699478788684</v>
      </c>
      <c r="G254" s="3">
        <f ca="1"/>
        <v>90.093182932810194</v>
      </c>
      <c r="H254" s="3">
        <f ca="1"/>
        <v>141.42915034445491</v>
      </c>
      <c r="I254" s="3">
        <f ca="1"/>
        <v>112.49999999999991</v>
      </c>
      <c r="J254" s="3">
        <f ca="1"/>
        <v>208.70917573872489</v>
      </c>
      <c r="K254" s="3">
        <f ca="1"/>
        <v>287.25348725348744</v>
      </c>
      <c r="L254" s="3">
        <f ca="1"/>
        <v>153.95064362420882</v>
      </c>
      <c r="M254" s="3">
        <f ca="1"/>
        <v>106.39718804920923</v>
      </c>
      <c r="N254" s="3">
        <f ca="1"/>
        <v>94.492492618264691</v>
      </c>
      <c r="O254" s="3">
        <f ca="1"/>
        <v>157.34964093357283</v>
      </c>
      <c r="P254" s="3">
        <f ca="1"/>
        <v>156.64078804574646</v>
      </c>
    </row>
    <row r="255" spans="1:16" x14ac:dyDescent="0.25">
      <c r="A255" vm="3730">
        <f ca="1"/>
        <v>45293</v>
      </c>
      <c r="B255" s="3">
        <f ca="1"/>
        <v>157.90375651220194</v>
      </c>
      <c r="C255" s="3">
        <f ca="1"/>
        <v>133.35182892995854</v>
      </c>
      <c r="D255" s="3">
        <f ca="1"/>
        <v>93.61397934868944</v>
      </c>
      <c r="E255" s="3">
        <f ca="1"/>
        <v>118.46642957215208</v>
      </c>
      <c r="F255" s="3">
        <f ca="1"/>
        <v>96.681401332717613</v>
      </c>
      <c r="G255" s="3">
        <f ca="1"/>
        <v>90.681706718979882</v>
      </c>
      <c r="H255" s="3">
        <f ca="1"/>
        <v>140.4835877347021</v>
      </c>
      <c r="I255" s="3">
        <f ca="1"/>
        <v>112.27331606217608</v>
      </c>
      <c r="J255" s="3">
        <f ca="1"/>
        <v>209.64230171073112</v>
      </c>
      <c r="K255" s="3">
        <f ca="1"/>
        <v>283.75821709155059</v>
      </c>
      <c r="L255" s="3">
        <f ca="1"/>
        <v>153.4741483536022</v>
      </c>
      <c r="M255" s="3">
        <f ca="1"/>
        <v>106.2170474516697</v>
      </c>
      <c r="N255" s="3">
        <f ca="1"/>
        <v>94.913408581659652</v>
      </c>
      <c r="O255" s="3">
        <f ca="1"/>
        <v>156.74371633752256</v>
      </c>
      <c r="P255" s="3">
        <f ca="1"/>
        <v>156.95800985057161</v>
      </c>
    </row>
    <row r="256" spans="1:16" x14ac:dyDescent="0.25">
      <c r="A256" vm="3744">
        <f ca="1"/>
        <v>45294</v>
      </c>
      <c r="B256" s="3">
        <f ca="1"/>
        <v>157.18741431313421</v>
      </c>
      <c r="C256" s="3">
        <f ca="1"/>
        <v>132.31465278074177</v>
      </c>
      <c r="D256" s="3">
        <f ca="1"/>
        <v>95.027799841143775</v>
      </c>
      <c r="E256" s="3">
        <f ca="1"/>
        <v>116.9738118331716</v>
      </c>
      <c r="F256" s="3">
        <f ca="1"/>
        <v>98.132875898924652</v>
      </c>
      <c r="G256" s="3">
        <f ca="1"/>
        <v>93.477194703285932</v>
      </c>
      <c r="H256" s="3">
        <f ca="1"/>
        <v>137.14710252600293</v>
      </c>
      <c r="I256" s="3">
        <f ca="1"/>
        <v>112.11139896373047</v>
      </c>
      <c r="J256" s="3">
        <f ca="1"/>
        <v>202.95489891135321</v>
      </c>
      <c r="K256" s="3">
        <f ca="1"/>
        <v>277.60942760942783</v>
      </c>
      <c r="L256" s="3">
        <f ca="1"/>
        <v>148.83009743261508</v>
      </c>
      <c r="M256" s="3">
        <f ca="1"/>
        <v>107.1572934973639</v>
      </c>
      <c r="N256" s="3">
        <f ca="1"/>
        <v>95.516512051598724</v>
      </c>
      <c r="O256" s="3">
        <f ca="1"/>
        <v>155.03815080789957</v>
      </c>
      <c r="P256" s="3">
        <f ca="1"/>
        <v>154.80006678353763</v>
      </c>
    </row>
    <row r="257" spans="1:16" x14ac:dyDescent="0.25">
      <c r="A257" vm="3759">
        <f ca="1"/>
        <v>45295</v>
      </c>
      <c r="B257" s="3">
        <f ca="1"/>
        <v>154.46942692624089</v>
      </c>
      <c r="C257" s="3">
        <f ca="1"/>
        <v>128.71654786802677</v>
      </c>
      <c r="D257" s="3">
        <f ca="1"/>
        <v>95.25019857029389</v>
      </c>
      <c r="E257" s="3">
        <f ca="1"/>
        <v>115.0608901821316</v>
      </c>
      <c r="F257" s="3">
        <f ca="1"/>
        <v>97.539090849112682</v>
      </c>
      <c r="G257" s="3">
        <f ca="1"/>
        <v>93.379107405590986</v>
      </c>
      <c r="H257" s="3">
        <f ca="1"/>
        <v>135.31000945562604</v>
      </c>
      <c r="I257" s="3">
        <f ca="1"/>
        <v>112.24093264248694</v>
      </c>
      <c r="J257" s="3">
        <f ca="1"/>
        <v>202.79937791601881</v>
      </c>
      <c r="K257" s="3">
        <f ca="1"/>
        <v>276.1503928170597</v>
      </c>
      <c r="L257" s="3">
        <f ca="1"/>
        <v>143.47485954057325</v>
      </c>
      <c r="M257" s="3">
        <f ca="1"/>
        <v>106.07205623901592</v>
      </c>
      <c r="N257" s="3">
        <f ca="1"/>
        <v>96.14474483278525</v>
      </c>
      <c r="O257" s="3">
        <f ca="1"/>
        <v>155.87971274685827</v>
      </c>
      <c r="P257" s="3">
        <f ca="1"/>
        <v>154.6873695634024</v>
      </c>
    </row>
    <row r="258" spans="1:16" x14ac:dyDescent="0.25">
      <c r="A258" vm="3773">
        <f ca="1"/>
        <v>45296</v>
      </c>
      <c r="B258" s="3">
        <f ca="1"/>
        <v>154.94241842610379</v>
      </c>
      <c r="C258" s="3">
        <f ca="1"/>
        <v>128.75496179947925</v>
      </c>
      <c r="D258" s="3">
        <f ca="1"/>
        <v>94.93248610007943</v>
      </c>
      <c r="E258" s="3">
        <f ca="1"/>
        <v>116.39185257031998</v>
      </c>
      <c r="F258" s="3">
        <f ca="1"/>
        <v>98.073497393943455</v>
      </c>
      <c r="G258" s="3">
        <f ca="1"/>
        <v>92.64345267287888</v>
      </c>
      <c r="H258" s="3">
        <f ca="1"/>
        <v>133.90517357827903</v>
      </c>
      <c r="I258" s="3">
        <f ca="1"/>
        <v>112.43523316062168</v>
      </c>
      <c r="J258" s="3">
        <f ca="1"/>
        <v>198.05598755832054</v>
      </c>
      <c r="K258" s="3">
        <f ca="1"/>
        <v>278.27481160814517</v>
      </c>
      <c r="L258" s="3">
        <f ca="1"/>
        <v>142.2871772989119</v>
      </c>
      <c r="M258" s="3">
        <f ca="1"/>
        <v>106.4718804920915</v>
      </c>
      <c r="N258" s="3">
        <f ca="1"/>
        <v>95.882981173957532</v>
      </c>
      <c r="O258" s="3">
        <f ca="1"/>
        <v>153.04084380610422</v>
      </c>
      <c r="P258" s="3">
        <f ca="1"/>
        <v>153.57709324651449</v>
      </c>
    </row>
    <row r="259" spans="1:16" x14ac:dyDescent="0.25">
      <c r="A259" vm="3787">
        <f ca="1"/>
        <v>45299</v>
      </c>
      <c r="B259" s="3">
        <f ca="1"/>
        <v>155.45311214697026</v>
      </c>
      <c r="C259" s="3">
        <f ca="1"/>
        <v>130.71407230355538</v>
      </c>
      <c r="D259" s="3">
        <f ca="1"/>
        <v>94.789515488482934</v>
      </c>
      <c r="E259" s="3">
        <f ca="1"/>
        <v>116.35413298846849</v>
      </c>
      <c r="F259" s="3">
        <f ca="1"/>
        <v>97.26199115920042</v>
      </c>
      <c r="G259" s="3">
        <f ca="1"/>
        <v>93.035801863658662</v>
      </c>
      <c r="H259" s="3">
        <f ca="1"/>
        <v>134.55355936782382</v>
      </c>
      <c r="I259" s="3">
        <f ca="1"/>
        <v>112.11139896373048</v>
      </c>
      <c r="J259" s="3">
        <f ca="1"/>
        <v>200.46656298600328</v>
      </c>
      <c r="K259" s="3">
        <f ca="1"/>
        <v>282.14686548019904</v>
      </c>
      <c r="L259" s="3">
        <f ca="1"/>
        <v>141.58310219756777</v>
      </c>
      <c r="M259" s="3">
        <f ca="1"/>
        <v>108.7565905096662</v>
      </c>
      <c r="N259" s="3">
        <f ca="1"/>
        <v>95.596088203882346</v>
      </c>
      <c r="O259" s="3">
        <f ca="1"/>
        <v>152.30026929982057</v>
      </c>
      <c r="P259" s="3">
        <f ca="1"/>
        <v>153.4977877953082</v>
      </c>
    </row>
    <row r="260" spans="1:16" x14ac:dyDescent="0.25">
      <c r="A260" vm="3801">
        <f ca="1"/>
        <v>45300</v>
      </c>
      <c r="B260" s="3">
        <f ca="1"/>
        <v>157.21483411022774</v>
      </c>
      <c r="C260" s="3">
        <f ca="1"/>
        <v>132.11404669426773</v>
      </c>
      <c r="D260" s="3">
        <f ca="1"/>
        <v>95.488482922954745</v>
      </c>
      <c r="E260" s="3">
        <f ca="1"/>
        <v>118.97833818299377</v>
      </c>
      <c r="F260" s="3">
        <f ca="1"/>
        <v>98.099887840601752</v>
      </c>
      <c r="G260" s="3">
        <f ca="1"/>
        <v>93.795978420794526</v>
      </c>
      <c r="H260" s="3">
        <f ca="1"/>
        <v>138.10617317303792</v>
      </c>
      <c r="I260" s="3">
        <f ca="1"/>
        <v>112.3380829015543</v>
      </c>
      <c r="J260" s="3">
        <f ca="1"/>
        <v>197.35614307931584</v>
      </c>
      <c r="K260" s="3">
        <f ca="1"/>
        <v>287.52605419272112</v>
      </c>
      <c r="L260" s="3">
        <f ca="1"/>
        <v>146.1987056397127</v>
      </c>
      <c r="M260" s="3">
        <f ca="1"/>
        <v>109.84182776801417</v>
      </c>
      <c r="N260" s="3">
        <f ca="1"/>
        <v>96.035851150712929</v>
      </c>
      <c r="O260" s="3">
        <f ca="1"/>
        <v>155.78994614003602</v>
      </c>
      <c r="P260" s="3">
        <f ca="1"/>
        <v>156.3945237498954</v>
      </c>
    </row>
    <row r="261" spans="1:16" x14ac:dyDescent="0.25">
      <c r="A261" vm="3815">
        <f ca="1"/>
        <v>45301</v>
      </c>
      <c r="B261" s="3">
        <f ca="1"/>
        <v>156.79325472991516</v>
      </c>
      <c r="C261" s="3">
        <f ca="1"/>
        <v>131.33723163600661</v>
      </c>
      <c r="D261" s="3">
        <f ca="1"/>
        <v>95.313741064336796</v>
      </c>
      <c r="E261" s="3">
        <f ca="1"/>
        <v>119.61418256277607</v>
      </c>
      <c r="F261" s="3">
        <f ca="1"/>
        <v>98.502342152140983</v>
      </c>
      <c r="G261" s="3">
        <f ca="1"/>
        <v>94.531633153506633</v>
      </c>
      <c r="H261" s="3">
        <f ca="1"/>
        <v>137.63339186816151</v>
      </c>
      <c r="I261" s="3">
        <f ca="1"/>
        <v>112.07901554404135</v>
      </c>
      <c r="J261" s="3">
        <f ca="1"/>
        <v>196.26749611197525</v>
      </c>
      <c r="K261" s="3">
        <f ca="1"/>
        <v>286.54000320667012</v>
      </c>
      <c r="L261" s="3">
        <f ca="1"/>
        <v>145.1532607922623</v>
      </c>
      <c r="M261" s="3">
        <f ca="1"/>
        <v>111.39718804920925</v>
      </c>
      <c r="N261" s="3">
        <f ca="1"/>
        <v>95.552111909199311</v>
      </c>
      <c r="O261" s="3">
        <f ca="1"/>
        <v>158.15754039497318</v>
      </c>
      <c r="P261" s="3">
        <f ca="1"/>
        <v>156.85366057266862</v>
      </c>
    </row>
    <row r="262" spans="1:16" x14ac:dyDescent="0.25">
      <c r="A262" vm="3829">
        <f ca="1"/>
        <v>45302</v>
      </c>
      <c r="B262" s="3">
        <f ca="1"/>
        <v>157.93117630929547</v>
      </c>
      <c r="C262" s="3">
        <f ca="1"/>
        <v>130.59883050919797</v>
      </c>
      <c r="D262" s="3">
        <f ca="1"/>
        <v>95.631453534551255</v>
      </c>
      <c r="E262" s="3">
        <f ca="1"/>
        <v>120.69727341308324</v>
      </c>
      <c r="F262" s="3">
        <f ca="1"/>
        <v>98.924589298673922</v>
      </c>
      <c r="G262" s="3">
        <f ca="1"/>
        <v>92.913192741539987</v>
      </c>
      <c r="H262" s="3">
        <f ca="1"/>
        <v>136.16101580440358</v>
      </c>
      <c r="I262" s="3">
        <f ca="1"/>
        <v>112.37046632124344</v>
      </c>
      <c r="J262" s="3">
        <f ca="1"/>
        <v>199.53343701399703</v>
      </c>
      <c r="K262" s="3">
        <f ca="1"/>
        <v>296.99374699374727</v>
      </c>
      <c r="L262" s="3">
        <f ca="1"/>
        <v>144.82611478557715</v>
      </c>
      <c r="M262" s="3">
        <f ca="1"/>
        <v>111.93760984182789</v>
      </c>
      <c r="N262" s="3">
        <f ca="1"/>
        <v>95.36573618411397</v>
      </c>
      <c r="O262" s="3">
        <f ca="1"/>
        <v>159.64991023339331</v>
      </c>
      <c r="P262" s="3">
        <f ca="1"/>
        <v>159.76709241172026</v>
      </c>
    </row>
    <row r="263" spans="1:16" x14ac:dyDescent="0.25">
      <c r="A263" vm="3842">
        <f ca="1"/>
        <v>45303</v>
      </c>
      <c r="B263" s="3">
        <f ca="1"/>
        <v>158.5686865917194</v>
      </c>
      <c r="C263" s="3">
        <f ca="1"/>
        <v>130.6329762260446</v>
      </c>
      <c r="D263" s="3">
        <f ca="1"/>
        <v>95.011914217633063</v>
      </c>
      <c r="E263" s="3">
        <f ca="1"/>
        <v>119.95904731113259</v>
      </c>
      <c r="F263" s="3">
        <f ca="1"/>
        <v>99.300653163554841</v>
      </c>
      <c r="G263" s="3">
        <f ca="1"/>
        <v>92.153016184404123</v>
      </c>
      <c r="H263" s="3">
        <f ca="1"/>
        <v>136.72835337025526</v>
      </c>
      <c r="I263" s="3">
        <f ca="1"/>
        <v>111.94948186528488</v>
      </c>
      <c r="J263" s="3">
        <f ca="1"/>
        <v>195.64541213063779</v>
      </c>
      <c r="K263" s="3">
        <f ca="1"/>
        <v>296.35241301907996</v>
      </c>
      <c r="L263" s="3">
        <f ca="1"/>
        <v>143.99402602944318</v>
      </c>
      <c r="M263" s="3">
        <f ca="1"/>
        <v>113.10193321616886</v>
      </c>
      <c r="N263" s="3">
        <f ca="1"/>
        <v>94.890373379682842</v>
      </c>
      <c r="O263" s="3">
        <f ca="1"/>
        <v>159.42549371633768</v>
      </c>
      <c r="P263" s="3">
        <f ca="1"/>
        <v>160.54345103931854</v>
      </c>
    </row>
    <row r="264" spans="1:16" x14ac:dyDescent="0.25">
      <c r="A264" vm="3856">
        <f ca="1"/>
        <v>45307</v>
      </c>
      <c r="B264" s="3">
        <f ca="1"/>
        <v>157.77351247600785</v>
      </c>
      <c r="C264" s="3">
        <f ca="1"/>
        <v>128.94276324213578</v>
      </c>
      <c r="D264" s="3">
        <f ca="1"/>
        <v>95.933280381254988</v>
      </c>
      <c r="E264" s="3">
        <f ca="1"/>
        <v>120.37935122319209</v>
      </c>
      <c r="F264" s="3">
        <f ca="1"/>
        <v>99.360031668536053</v>
      </c>
      <c r="G264" s="3">
        <f ca="1"/>
        <v>92.398234428641487</v>
      </c>
      <c r="H264" s="3">
        <f ca="1"/>
        <v>136.75536944481962</v>
      </c>
      <c r="I264" s="3">
        <f ca="1"/>
        <v>112.88860103626934</v>
      </c>
      <c r="J264" s="3">
        <f ca="1"/>
        <v>198.13374805598772</v>
      </c>
      <c r="K264" s="3">
        <f ca="1"/>
        <v>300.21645021645048</v>
      </c>
      <c r="L264" s="3">
        <f ca="1"/>
        <v>143.98691415973263</v>
      </c>
      <c r="M264" s="3">
        <f ca="1"/>
        <v>113.48857644991226</v>
      </c>
      <c r="N264" s="3">
        <f ca="1"/>
        <v>96.99495319665769</v>
      </c>
      <c r="O264" s="3">
        <f ca="1"/>
        <v>160.06508078994631</v>
      </c>
      <c r="P264" s="3">
        <f ca="1"/>
        <v>162.14625594790857</v>
      </c>
    </row>
    <row r="265" spans="1:16" x14ac:dyDescent="0.25">
      <c r="A265" vm="3871">
        <f ca="1"/>
        <v>45308</v>
      </c>
      <c r="B265" s="3">
        <f ca="1"/>
        <v>157.92089388538542</v>
      </c>
      <c r="C265" s="3">
        <f ca="1"/>
        <v>128.42204106022447</v>
      </c>
      <c r="D265" s="3">
        <f ca="1"/>
        <v>95.297855440826069</v>
      </c>
      <c r="E265" s="3">
        <f ca="1"/>
        <v>119.2315982325681</v>
      </c>
      <c r="F265" s="3">
        <f ca="1"/>
        <v>98.825625123705279</v>
      </c>
      <c r="G265" s="3">
        <f ca="1"/>
        <v>92.226581657675325</v>
      </c>
      <c r="H265" s="3">
        <f ca="1"/>
        <v>137.33621504795349</v>
      </c>
      <c r="I265" s="3">
        <f ca="1"/>
        <v>112.49999999999991</v>
      </c>
      <c r="J265" s="3">
        <f ca="1"/>
        <v>194.63452566096441</v>
      </c>
      <c r="K265" s="3">
        <f ca="1"/>
        <v>294.58072791406147</v>
      </c>
      <c r="L265" s="3">
        <f ca="1"/>
        <v>143.21172036128303</v>
      </c>
      <c r="M265" s="3">
        <f ca="1"/>
        <v>112.20562390158184</v>
      </c>
      <c r="N265" s="3">
        <f ca="1"/>
        <v>95.876698846145672</v>
      </c>
      <c r="O265" s="3">
        <f ca="1"/>
        <v>159.88554757630178</v>
      </c>
      <c r="P265" s="3">
        <f ca="1"/>
        <v>162.89757074881012</v>
      </c>
    </row>
    <row r="266" spans="1:16" x14ac:dyDescent="0.25">
      <c r="A266" vm="3883">
        <f ca="1"/>
        <v>45309</v>
      </c>
      <c r="B266" s="3">
        <f ca="1"/>
        <v>156.30998080614222</v>
      </c>
      <c r="C266" s="3">
        <f ca="1"/>
        <v>132.14392419650858</v>
      </c>
      <c r="D266" s="3">
        <f ca="1"/>
        <v>95.297855440826069</v>
      </c>
      <c r="E266" s="3">
        <f ca="1"/>
        <v>117.94374393792428</v>
      </c>
      <c r="F266" s="3">
        <f ca="1"/>
        <v>98.924589298673936</v>
      </c>
      <c r="G266" s="3">
        <f ca="1"/>
        <v>92.667974497302581</v>
      </c>
      <c r="H266" s="3">
        <f ca="1"/>
        <v>139.06524382007291</v>
      </c>
      <c r="I266" s="3">
        <f ca="1"/>
        <v>111.36658031088074</v>
      </c>
      <c r="J266" s="3">
        <f ca="1"/>
        <v>196.50077760497686</v>
      </c>
      <c r="K266" s="3">
        <f ca="1"/>
        <v>295.31024531024553</v>
      </c>
      <c r="L266" s="3">
        <f ca="1"/>
        <v>142.35118412630683</v>
      </c>
      <c r="M266" s="3">
        <f ca="1"/>
        <v>111.01054481546585</v>
      </c>
      <c r="N266" s="3">
        <f ca="1"/>
        <v>95.5898058760705</v>
      </c>
      <c r="O266" s="3">
        <f ca="1"/>
        <v>158.74102333931793</v>
      </c>
      <c r="P266" s="3">
        <f ca="1"/>
        <v>162.56365305952056</v>
      </c>
    </row>
    <row r="267" spans="1:16" x14ac:dyDescent="0.25">
      <c r="A267" vm="3896">
        <f ca="1"/>
        <v>45310</v>
      </c>
      <c r="B267" s="3">
        <f ca="1"/>
        <v>159.61749383054584</v>
      </c>
      <c r="C267" s="3">
        <f ca="1"/>
        <v>132.36160314140594</v>
      </c>
      <c r="D267" s="3">
        <f ca="1"/>
        <v>95.567911040508349</v>
      </c>
      <c r="E267" s="3">
        <f ca="1"/>
        <v>118.80051729712247</v>
      </c>
      <c r="F267" s="3">
        <f ca="1"/>
        <v>97.737019199049996</v>
      </c>
      <c r="G267" s="3">
        <f ca="1"/>
        <v>90.755272192251084</v>
      </c>
      <c r="H267" s="3">
        <f ca="1"/>
        <v>152.68134540051327</v>
      </c>
      <c r="I267" s="3">
        <f ca="1"/>
        <v>111.56088082901545</v>
      </c>
      <c r="J267" s="3">
        <f ca="1"/>
        <v>195.64541213063785</v>
      </c>
      <c r="K267" s="3">
        <f ca="1"/>
        <v>301.53118486451837</v>
      </c>
      <c r="L267" s="3">
        <f ca="1"/>
        <v>143.59576132565255</v>
      </c>
      <c r="M267" s="3">
        <f ca="1"/>
        <v>111.4455184534272</v>
      </c>
      <c r="N267" s="3">
        <f ca="1"/>
        <v>96.238979749963235</v>
      </c>
      <c r="O267" s="3">
        <f ca="1"/>
        <v>160.99640933572726</v>
      </c>
      <c r="P267" s="3">
        <f ca="1"/>
        <v>164.40020035061329</v>
      </c>
    </row>
    <row r="268" spans="1:16" x14ac:dyDescent="0.25">
      <c r="A268" vm="3910">
        <f ca="1"/>
        <v>45313</v>
      </c>
      <c r="B268" s="3">
        <f ca="1"/>
        <v>161.218124485879</v>
      </c>
      <c r="C268" s="3">
        <f ca="1"/>
        <v>131.77685774040717</v>
      </c>
      <c r="D268" s="3">
        <f ca="1"/>
        <v>95.043685464654502</v>
      </c>
      <c r="E268" s="3">
        <f ca="1"/>
        <v>119.31781441965724</v>
      </c>
      <c r="F268" s="3">
        <f ca="1"/>
        <v>97.360955334169077</v>
      </c>
      <c r="G268" s="3">
        <f ca="1"/>
        <v>90.926924963217246</v>
      </c>
      <c r="H268" s="3">
        <f ca="1"/>
        <v>154.26178576252866</v>
      </c>
      <c r="I268" s="3">
        <f ca="1"/>
        <v>111.88471502590663</v>
      </c>
      <c r="J268" s="3">
        <f ca="1"/>
        <v>197.27838258164871</v>
      </c>
      <c r="K268" s="3">
        <f ca="1"/>
        <v>307.39939073272421</v>
      </c>
      <c r="L268" s="3">
        <f ca="1"/>
        <v>143.96557855060098</v>
      </c>
      <c r="M268" s="3">
        <f ca="1"/>
        <v>111.57732864674881</v>
      </c>
      <c r="N268" s="3">
        <f ca="1"/>
        <v>95.859945971980693</v>
      </c>
      <c r="O268" s="3">
        <f ca="1"/>
        <v>164.25044883303426</v>
      </c>
      <c r="P268" s="3">
        <f ca="1"/>
        <v>166.40370648635084</v>
      </c>
    </row>
    <row r="269" spans="1:16" x14ac:dyDescent="0.25">
      <c r="A269" vm="3925">
        <f ca="1"/>
        <v>45314</v>
      </c>
      <c r="B269" s="3">
        <f ca="1"/>
        <v>162.29777899643562</v>
      </c>
      <c r="C269" s="3">
        <f ca="1"/>
        <v>131.95612275385207</v>
      </c>
      <c r="D269" s="3">
        <f ca="1"/>
        <v>94.630659253375711</v>
      </c>
      <c r="E269" s="3">
        <f ca="1"/>
        <v>118.57958831770659</v>
      </c>
      <c r="F269" s="3">
        <f ca="1"/>
        <v>97.552286072441831</v>
      </c>
      <c r="G269" s="3">
        <f ca="1"/>
        <v>90.142226581657667</v>
      </c>
      <c r="H269" s="3">
        <f ca="1"/>
        <v>152.68134540051327</v>
      </c>
      <c r="I269" s="3">
        <f ca="1"/>
        <v>112.53238341968903</v>
      </c>
      <c r="J269" s="3">
        <f ca="1"/>
        <v>203.26594090202198</v>
      </c>
      <c r="K269" s="3">
        <f ca="1"/>
        <v>306.06060606060618</v>
      </c>
      <c r="L269" s="3">
        <f ca="1"/>
        <v>144.69810113078731</v>
      </c>
      <c r="M269" s="3">
        <f ca="1"/>
        <v>110.55799648506165</v>
      </c>
      <c r="N269" s="3">
        <f ca="1"/>
        <v>96.069356899042859</v>
      </c>
      <c r="O269" s="3">
        <f ca="1"/>
        <v>163.81283662477574</v>
      </c>
      <c r="P269" s="3">
        <f ca="1"/>
        <v>165.50212872526893</v>
      </c>
    </row>
    <row r="270" spans="1:16" x14ac:dyDescent="0.25">
      <c r="A270" vm="3939">
        <f ca="1"/>
        <v>45315</v>
      </c>
      <c r="B270" s="3">
        <f ca="1"/>
        <v>160.78283520701967</v>
      </c>
      <c r="C270" s="3">
        <f ca="1"/>
        <v>129.71957830039693</v>
      </c>
      <c r="D270" s="3">
        <f ca="1"/>
        <v>95.075456711675955</v>
      </c>
      <c r="E270" s="3">
        <f ca="1"/>
        <v>116.81215648237952</v>
      </c>
      <c r="F270" s="3">
        <f ca="1"/>
        <v>101.5900244111632</v>
      </c>
      <c r="G270" s="3">
        <f ca="1"/>
        <v>91.098577734183408</v>
      </c>
      <c r="H270" s="3">
        <f ca="1"/>
        <v>154.16722950155338</v>
      </c>
      <c r="I270" s="3">
        <f ca="1"/>
        <v>112.9857512953367</v>
      </c>
      <c r="J270" s="3">
        <f ca="1"/>
        <v>199.76671850699867</v>
      </c>
      <c r="K270" s="3">
        <f ca="1"/>
        <v>308.80230880230897</v>
      </c>
      <c r="L270" s="3">
        <f ca="1"/>
        <v>139.07972405945526</v>
      </c>
      <c r="M270" s="3">
        <f ca="1"/>
        <v>111.15553602811966</v>
      </c>
      <c r="N270" s="3">
        <f ca="1"/>
        <v>92.071702301425958</v>
      </c>
      <c r="O270" s="3">
        <f ca="1"/>
        <v>164.99102333931793</v>
      </c>
      <c r="P270" s="3">
        <f ca="1"/>
        <v>166.49970782202158</v>
      </c>
    </row>
    <row r="271" spans="1:16" x14ac:dyDescent="0.25">
      <c r="A271" vm="3951">
        <f ca="1"/>
        <v>45316</v>
      </c>
      <c r="B271" s="3">
        <f ca="1"/>
        <v>159.33644091033744</v>
      </c>
      <c r="C271" s="3">
        <f ca="1"/>
        <v>128.98117717358826</v>
      </c>
      <c r="D271" s="3">
        <f ca="1"/>
        <v>93.582208101668002</v>
      </c>
      <c r="E271" s="3">
        <f ca="1"/>
        <v>115.77217372561694</v>
      </c>
      <c r="F271" s="3">
        <f ca="1"/>
        <v>100.3628686415518</v>
      </c>
      <c r="G271" s="3">
        <f ca="1"/>
        <v>90.289357528200085</v>
      </c>
      <c r="H271" s="3">
        <f ca="1"/>
        <v>157.39565041199509</v>
      </c>
      <c r="I271" s="3">
        <f ca="1"/>
        <v>111.36658031088074</v>
      </c>
      <c r="J271" s="3">
        <f ca="1"/>
        <v>200.23328149300175</v>
      </c>
      <c r="K271" s="3">
        <f ca="1"/>
        <v>313.21147987814669</v>
      </c>
      <c r="L271" s="3">
        <f ca="1"/>
        <v>137.45821776545057</v>
      </c>
      <c r="M271" s="3">
        <f ca="1"/>
        <v>108.70386643233758</v>
      </c>
      <c r="N271" s="3">
        <f ca="1"/>
        <v>90.392226666387316</v>
      </c>
      <c r="O271" s="3">
        <f ca="1"/>
        <v>166.85368043087988</v>
      </c>
      <c r="P271" s="3">
        <f ca="1"/>
        <v>168.02738125052147</v>
      </c>
    </row>
    <row r="272" spans="1:16" x14ac:dyDescent="0.25">
      <c r="A272" vm="3965">
        <f ca="1"/>
        <v>45317</v>
      </c>
      <c r="B272" s="3">
        <f ca="1"/>
        <v>161.70825335892536</v>
      </c>
      <c r="C272" s="3">
        <f ca="1"/>
        <v>132.40428528746423</v>
      </c>
      <c r="D272" s="3">
        <f ca="1"/>
        <v>93.979348689436065</v>
      </c>
      <c r="E272" s="3">
        <f ca="1"/>
        <v>116.75827136544882</v>
      </c>
      <c r="F272" s="3">
        <f ca="1"/>
        <v>102.67203272415389</v>
      </c>
      <c r="G272" s="3">
        <f ca="1"/>
        <v>91.368317802844516</v>
      </c>
      <c r="H272" s="3">
        <f ca="1"/>
        <v>157.44968256112384</v>
      </c>
      <c r="I272" s="3">
        <f ca="1"/>
        <v>113.34196891191701</v>
      </c>
      <c r="J272" s="3">
        <f ca="1"/>
        <v>204.89891135303284</v>
      </c>
      <c r="K272" s="3">
        <f ca="1"/>
        <v>315.19961519961538</v>
      </c>
      <c r="L272" s="3">
        <f ca="1"/>
        <v>140.80790839911816</v>
      </c>
      <c r="M272" s="3">
        <f ca="1"/>
        <v>109.93409490333934</v>
      </c>
      <c r="N272" s="3">
        <f ca="1"/>
        <v>90.264486000879401</v>
      </c>
      <c r="O272" s="3">
        <f ca="1"/>
        <v>170.41068222621203</v>
      </c>
      <c r="P272" s="3">
        <f ca="1"/>
        <v>168.99156857834518</v>
      </c>
    </row>
    <row r="273" spans="1:16" x14ac:dyDescent="0.25">
      <c r="A273" vm="3981">
        <f ca="1"/>
        <v>45320</v>
      </c>
      <c r="B273" s="3">
        <f ca="1"/>
        <v>161.6362763915549</v>
      </c>
      <c r="C273" s="3">
        <f ca="1"/>
        <v>131.90917239318793</v>
      </c>
      <c r="D273" s="3">
        <f ca="1"/>
        <v>94.312946783161252</v>
      </c>
      <c r="E273" s="3">
        <f ca="1"/>
        <v>116.44034917555766</v>
      </c>
      <c r="F273" s="3">
        <f ca="1"/>
        <v>103.0151085307119</v>
      </c>
      <c r="G273" s="3">
        <f ca="1"/>
        <v>91.245708680725841</v>
      </c>
      <c r="H273" s="3">
        <f ca="1"/>
        <v>158.39524517087665</v>
      </c>
      <c r="I273" s="3">
        <f ca="1"/>
        <v>114.60492227979265</v>
      </c>
      <c r="J273" s="3">
        <f ca="1"/>
        <v>198.28926905132209</v>
      </c>
      <c r="K273" s="3">
        <f ca="1"/>
        <v>315.96921596921612</v>
      </c>
      <c r="L273" s="3">
        <f ca="1"/>
        <v>139.60600241803573</v>
      </c>
      <c r="M273" s="3">
        <f ca="1"/>
        <v>109.62214411247818</v>
      </c>
      <c r="N273" s="3">
        <f ca="1"/>
        <v>90.027851653299152</v>
      </c>
      <c r="O273" s="3">
        <f ca="1"/>
        <v>170.76413824057468</v>
      </c>
      <c r="P273" s="3">
        <f ca="1"/>
        <v>168.59921529342989</v>
      </c>
    </row>
    <row r="274" spans="1:16" x14ac:dyDescent="0.25">
      <c r="A274" vm="3995">
        <f ca="1"/>
        <v>45321</v>
      </c>
      <c r="B274" s="3">
        <f ca="1"/>
        <v>163.31916643816859</v>
      </c>
      <c r="C274" s="3">
        <f ca="1"/>
        <v>134.02193862307396</v>
      </c>
      <c r="D274" s="3">
        <f ca="1"/>
        <v>94.884829229547265</v>
      </c>
      <c r="E274" s="3">
        <f ca="1"/>
        <v>116.76365987714186</v>
      </c>
      <c r="F274" s="3">
        <f ca="1"/>
        <v>103.02830375404106</v>
      </c>
      <c r="G274" s="3">
        <f ca="1"/>
        <v>91.490926924963205</v>
      </c>
      <c r="H274" s="3">
        <f ca="1"/>
        <v>158.01702012697552</v>
      </c>
      <c r="I274" s="3">
        <f ca="1"/>
        <v>115.25259067357504</v>
      </c>
      <c r="J274" s="3">
        <f ca="1"/>
        <v>200.62208398133765</v>
      </c>
      <c r="K274" s="3">
        <f ca="1"/>
        <v>321.48468815135499</v>
      </c>
      <c r="L274" s="3">
        <f ca="1"/>
        <v>140.14650451603731</v>
      </c>
      <c r="M274" s="3">
        <f ca="1"/>
        <v>110.19332161687187</v>
      </c>
      <c r="N274" s="3">
        <f ca="1"/>
        <v>89.629970891881015</v>
      </c>
      <c r="O274" s="3">
        <f ca="1"/>
        <v>172.2508976660684</v>
      </c>
      <c r="P274" s="3">
        <f ca="1"/>
        <v>171.0159445696633</v>
      </c>
    </row>
    <row r="275" spans="1:16" x14ac:dyDescent="0.25">
      <c r="A275" vm="4010">
        <f ca="1"/>
        <v>45322</v>
      </c>
      <c r="B275" s="3">
        <f ca="1"/>
        <v>163.78530298875813</v>
      </c>
      <c r="C275" s="3">
        <f ca="1"/>
        <v>136.74505954159375</v>
      </c>
      <c r="D275" s="3">
        <f ca="1"/>
        <v>95.154884829229545</v>
      </c>
      <c r="E275" s="3">
        <f ca="1"/>
        <v>117.56115960771628</v>
      </c>
      <c r="F275" s="3">
        <f ca="1"/>
        <v>103.90578610542987</v>
      </c>
      <c r="G275" s="3">
        <f ca="1"/>
        <v>91.589014222658136</v>
      </c>
      <c r="H275" s="3">
        <f ca="1"/>
        <v>156.77428069701469</v>
      </c>
      <c r="I275" s="3">
        <f ca="1"/>
        <v>116.09455958549215</v>
      </c>
      <c r="J275" s="3">
        <f ca="1"/>
        <v>199.14463452566113</v>
      </c>
      <c r="K275" s="3">
        <f ca="1"/>
        <v>320.71508738175424</v>
      </c>
      <c r="L275" s="3">
        <f ca="1"/>
        <v>140.28163004053772</v>
      </c>
      <c r="M275" s="3">
        <f ca="1"/>
        <v>109.15202108963109</v>
      </c>
      <c r="N275" s="3">
        <f ca="1"/>
        <v>90.398508994199204</v>
      </c>
      <c r="O275" s="3">
        <f ca="1"/>
        <v>169.95062836624794</v>
      </c>
      <c r="P275" s="3">
        <f ca="1"/>
        <v>170.54428583354175</v>
      </c>
    </row>
    <row r="276" spans="1:16" x14ac:dyDescent="0.25">
      <c r="A276" vm="4026">
        <f ca="1"/>
        <v>45323</v>
      </c>
      <c r="B276" s="3">
        <f ca="1"/>
        <v>159.20619687414336</v>
      </c>
      <c r="C276" s="3">
        <f ca="1"/>
        <v>134.13291220282554</v>
      </c>
      <c r="D276" s="3">
        <f ca="1"/>
        <v>94.503574265289913</v>
      </c>
      <c r="E276" s="3">
        <f ca="1"/>
        <v>117.98146351977577</v>
      </c>
      <c r="F276" s="3">
        <f ca="1"/>
        <v>103.67486969716964</v>
      </c>
      <c r="G276" s="3">
        <f ca="1"/>
        <v>91.049534085335921</v>
      </c>
      <c r="H276" s="3">
        <f ca="1"/>
        <v>152.58678913953798</v>
      </c>
      <c r="I276" s="3">
        <f ca="1"/>
        <v>115.60880829015537</v>
      </c>
      <c r="J276" s="3">
        <f ca="1"/>
        <v>192.37947122861601</v>
      </c>
      <c r="K276" s="3">
        <f ca="1"/>
        <v>312.7625460958796</v>
      </c>
      <c r="L276" s="3">
        <f ca="1"/>
        <v>138.00583173316272</v>
      </c>
      <c r="M276" s="3">
        <f ca="1"/>
        <v>107.6801405975397</v>
      </c>
      <c r="N276" s="3">
        <f ca="1"/>
        <v>89.923146189768076</v>
      </c>
      <c r="O276" s="3">
        <f ca="1"/>
        <v>157.2037701974867</v>
      </c>
      <c r="P276" s="3">
        <f ca="1"/>
        <v>165.94874363469378</v>
      </c>
    </row>
    <row r="277" spans="1:16" x14ac:dyDescent="0.25">
      <c r="A277" vm="4041">
        <f ca="1"/>
        <v>45324</v>
      </c>
      <c r="B277" s="3">
        <f ca="1"/>
        <v>171.43542637784506</v>
      </c>
      <c r="C277" s="3">
        <f ca="1"/>
        <v>136.17311878441248</v>
      </c>
      <c r="D277" s="3">
        <f ca="1"/>
        <v>96.870532168387598</v>
      </c>
      <c r="E277" s="3">
        <f ca="1"/>
        <v>120.49250996874657</v>
      </c>
      <c r="F277" s="3">
        <f ca="1"/>
        <v>105.02078247674343</v>
      </c>
      <c r="G277" s="3">
        <f ca="1"/>
        <v>92.59440902403135</v>
      </c>
      <c r="H277" s="3">
        <f ca="1"/>
        <v>153.16763474267185</v>
      </c>
      <c r="I277" s="3">
        <f ca="1"/>
        <v>117.48704663212428</v>
      </c>
      <c r="J277" s="3">
        <f ca="1"/>
        <v>198.13374805598775</v>
      </c>
      <c r="K277" s="3">
        <f ca="1"/>
        <v>316.48228314894999</v>
      </c>
      <c r="L277" s="3">
        <f ca="1"/>
        <v>142.42230282341234</v>
      </c>
      <c r="M277" s="3">
        <f ca="1"/>
        <v>111.01933216168734</v>
      </c>
      <c r="N277" s="3">
        <f ca="1"/>
        <v>89.998534123510453</v>
      </c>
      <c r="O277" s="3">
        <f ca="1"/>
        <v>158.39317773788167</v>
      </c>
      <c r="P277" s="3">
        <f ca="1"/>
        <v>168.53660572668809</v>
      </c>
    </row>
    <row r="278" spans="1:16" x14ac:dyDescent="0.25">
      <c r="A278" vm="4054">
        <f ca="1"/>
        <v>45327</v>
      </c>
      <c r="B278" s="3">
        <f ca="1"/>
        <v>174.92459555799311</v>
      </c>
      <c r="C278" s="3">
        <f ca="1"/>
        <v>137.0054206325494</v>
      </c>
      <c r="D278" s="3">
        <f ca="1"/>
        <v>96.171564733915801</v>
      </c>
      <c r="E278" s="3">
        <f ca="1"/>
        <v>119.72734130833057</v>
      </c>
      <c r="F278" s="3">
        <f ca="1"/>
        <v>104.3016428053045</v>
      </c>
      <c r="G278" s="3">
        <f ca="1"/>
        <v>92.324668955370242</v>
      </c>
      <c r="H278" s="3">
        <f ca="1"/>
        <v>156.355531541267</v>
      </c>
      <c r="I278" s="3">
        <f ca="1"/>
        <v>118.29663212435226</v>
      </c>
      <c r="J278" s="3">
        <f ca="1"/>
        <v>194.7122861586316</v>
      </c>
      <c r="K278" s="3">
        <f ca="1"/>
        <v>380.78403078403107</v>
      </c>
      <c r="L278" s="3">
        <f ca="1"/>
        <v>145.43773558068423</v>
      </c>
      <c r="M278" s="3">
        <f ca="1"/>
        <v>110.10105448154674</v>
      </c>
      <c r="N278" s="3">
        <f ca="1"/>
        <v>89.202772600674194</v>
      </c>
      <c r="O278" s="3">
        <f ca="1"/>
        <v>159.76211849192117</v>
      </c>
      <c r="P278" s="3">
        <f ca="1"/>
        <v>171.64204023708129</v>
      </c>
    </row>
    <row r="279" spans="1:16" x14ac:dyDescent="0.25">
      <c r="A279" vm="4068">
        <f ca="1"/>
        <v>45328</v>
      </c>
      <c r="B279" s="3">
        <f ca="1"/>
        <v>174.41390183712664</v>
      </c>
      <c r="C279" s="3">
        <f ca="1"/>
        <v>134.25242221178883</v>
      </c>
      <c r="D279" s="3">
        <f ca="1"/>
        <v>95.377283558379659</v>
      </c>
      <c r="E279" s="3">
        <f ca="1"/>
        <v>118.49337213061746</v>
      </c>
      <c r="F279" s="3">
        <f ca="1"/>
        <v>104.38081414527942</v>
      </c>
      <c r="G279" s="3">
        <f ca="1"/>
        <v>91.270230505149542</v>
      </c>
      <c r="H279" s="3">
        <f ca="1"/>
        <v>160.46197487505063</v>
      </c>
      <c r="I279" s="3">
        <f ca="1"/>
        <v>118.94430051813463</v>
      </c>
      <c r="J279" s="3">
        <f ca="1"/>
        <v>186.85847589424591</v>
      </c>
      <c r="K279" s="3">
        <f ca="1"/>
        <v>368.29405162738527</v>
      </c>
      <c r="L279" s="3">
        <f ca="1"/>
        <v>143.79489367754789</v>
      </c>
      <c r="M279" s="3">
        <f ca="1"/>
        <v>108.55008787346237</v>
      </c>
      <c r="N279" s="3">
        <f ca="1"/>
        <v>88.308587942118706</v>
      </c>
      <c r="O279" s="3">
        <f ca="1"/>
        <v>161.22082585278292</v>
      </c>
      <c r="P279" s="3">
        <f ca="1"/>
        <v>169.31713832540251</v>
      </c>
    </row>
    <row r="280" spans="1:16" x14ac:dyDescent="0.25">
      <c r="A280" vm="4081">
        <f ca="1"/>
        <v>45329</v>
      </c>
      <c r="B280" s="3">
        <f ca="1"/>
        <v>175.33246503975894</v>
      </c>
      <c r="C280" s="3">
        <f ca="1"/>
        <v>135.56276409577873</v>
      </c>
      <c r="D280" s="3">
        <f ca="1"/>
        <v>95.218427323272437</v>
      </c>
      <c r="E280" s="3">
        <f ca="1"/>
        <v>121.73725616984581</v>
      </c>
      <c r="F280" s="3">
        <f ca="1"/>
        <v>104.87563502012271</v>
      </c>
      <c r="G280" s="3">
        <f ca="1"/>
        <v>91.245708680725812</v>
      </c>
      <c r="H280" s="3">
        <f ca="1"/>
        <v>161.25894907469939</v>
      </c>
      <c r="I280" s="3">
        <f ca="1"/>
        <v>119.88341968911909</v>
      </c>
      <c r="J280" s="3">
        <f ca="1"/>
        <v>186.70295489891154</v>
      </c>
      <c r="K280" s="3">
        <f ca="1"/>
        <v>364.53423120089815</v>
      </c>
      <c r="L280" s="3">
        <f ca="1"/>
        <v>146.58274660408227</v>
      </c>
      <c r="M280" s="3">
        <f ca="1"/>
        <v>109.24868189806695</v>
      </c>
      <c r="N280" s="3">
        <f ca="1"/>
        <v>89.407995309195115</v>
      </c>
      <c r="O280" s="3">
        <f ca="1"/>
        <v>161.69210053859979</v>
      </c>
      <c r="P280" s="3">
        <f ca="1"/>
        <v>169.25035478754461</v>
      </c>
    </row>
    <row r="281" spans="1:16" x14ac:dyDescent="0.25">
      <c r="A281" vm="4094">
        <f ca="1"/>
        <v>45330</v>
      </c>
      <c r="B281" s="3">
        <f ca="1"/>
        <v>176.24760076775456</v>
      </c>
      <c r="C281" s="3">
        <f ca="1"/>
        <v>145.93452558794658</v>
      </c>
      <c r="D281" s="3">
        <f ca="1"/>
        <v>95.297855440826069</v>
      </c>
      <c r="E281" s="3">
        <f ca="1"/>
        <v>121.71031361138047</v>
      </c>
      <c r="F281" s="3">
        <f ca="1"/>
        <v>104.98119680675595</v>
      </c>
      <c r="G281" s="3">
        <f ca="1"/>
        <v>89.259440902403099</v>
      </c>
      <c r="H281" s="3">
        <f ca="1"/>
        <v>168.82344995272183</v>
      </c>
      <c r="I281" s="3">
        <f ca="1"/>
        <v>119.78626943005173</v>
      </c>
      <c r="J281" s="3">
        <f ca="1"/>
        <v>185.61430793157095</v>
      </c>
      <c r="K281" s="3">
        <f ca="1"/>
        <v>376.45502645502665</v>
      </c>
      <c r="L281" s="3">
        <f ca="1"/>
        <v>148.56695825332483</v>
      </c>
      <c r="M281" s="3">
        <f ca="1"/>
        <v>107.39015817223213</v>
      </c>
      <c r="N281" s="3">
        <f ca="1"/>
        <v>90.06763972944097</v>
      </c>
      <c r="O281" s="3">
        <f ca="1"/>
        <v>163.30789946140052</v>
      </c>
      <c r="P281" s="3">
        <f ca="1"/>
        <v>172.82327406294323</v>
      </c>
    </row>
    <row r="282" spans="1:16" x14ac:dyDescent="0.25">
      <c r="A282" vm="4109">
        <f ca="1"/>
        <v>45331</v>
      </c>
      <c r="B282" s="3">
        <f ca="1"/>
        <v>176.68974499588725</v>
      </c>
      <c r="C282" s="3">
        <f ca="1"/>
        <v>146.28878740023049</v>
      </c>
      <c r="D282" s="3">
        <f ca="1"/>
        <v>95.043685464654502</v>
      </c>
      <c r="E282" s="3">
        <f ca="1"/>
        <v>118.68735855156798</v>
      </c>
      <c r="F282" s="3">
        <f ca="1"/>
        <v>104.66451144685622</v>
      </c>
      <c r="G282" s="3">
        <f ca="1"/>
        <v>89.431093673369261</v>
      </c>
      <c r="H282" s="3">
        <f ca="1"/>
        <v>180.64298257463184</v>
      </c>
      <c r="I282" s="3">
        <f ca="1"/>
        <v>120.04533678756468</v>
      </c>
      <c r="J282" s="3">
        <f ca="1"/>
        <v>189.73561430793174</v>
      </c>
      <c r="K282" s="3">
        <f ca="1"/>
        <v>376.78371011704365</v>
      </c>
      <c r="L282" s="3">
        <f ca="1"/>
        <v>147.76331697603302</v>
      </c>
      <c r="M282" s="3">
        <f ca="1"/>
        <v>106.78822495606343</v>
      </c>
      <c r="N282" s="3">
        <f ca="1"/>
        <v>89.41846585554822</v>
      </c>
      <c r="O282" s="3">
        <f ca="1"/>
        <v>163.72307001795349</v>
      </c>
      <c r="P282" s="3">
        <f ca="1"/>
        <v>172.84831788963996</v>
      </c>
    </row>
    <row r="283" spans="1:16" x14ac:dyDescent="0.25">
      <c r="A283" vm="4125">
        <f ca="1"/>
        <v>45334</v>
      </c>
      <c r="B283" s="3">
        <f ca="1"/>
        <v>178.70167260762292</v>
      </c>
      <c r="C283" s="3">
        <f ca="1"/>
        <v>147.72717572239534</v>
      </c>
      <c r="D283" s="3">
        <f ca="1"/>
        <v>94.614773629864985</v>
      </c>
      <c r="E283" s="3">
        <f ca="1"/>
        <v>120.84815174048921</v>
      </c>
      <c r="F283" s="3">
        <f ca="1"/>
        <v>103.85960282377778</v>
      </c>
      <c r="G283" s="3">
        <f ca="1"/>
        <v>88.205002452182399</v>
      </c>
      <c r="H283" s="3">
        <f ca="1"/>
        <v>179.80548426313655</v>
      </c>
      <c r="I283" s="3">
        <f ca="1"/>
        <v>119.46243523316055</v>
      </c>
      <c r="J283" s="3">
        <f ca="1"/>
        <v>188.02488335925366</v>
      </c>
      <c r="K283" s="3">
        <f ca="1"/>
        <v>375.26855860189215</v>
      </c>
      <c r="L283" s="3">
        <f ca="1"/>
        <v>149.42749448830102</v>
      </c>
      <c r="M283" s="3">
        <f ca="1"/>
        <v>106.5685413005274</v>
      </c>
      <c r="N283" s="3">
        <f ca="1"/>
        <v>89.31376039201713</v>
      </c>
      <c r="O283" s="3">
        <f ca="1"/>
        <v>167.19030520646336</v>
      </c>
      <c r="P283" s="3">
        <f ca="1"/>
        <v>175.53635528842113</v>
      </c>
    </row>
    <row r="284" spans="1:16" x14ac:dyDescent="0.25">
      <c r="A284" vm="4138">
        <f ca="1"/>
        <v>45335</v>
      </c>
      <c r="B284" s="3">
        <f ca="1"/>
        <v>177.61173567315626</v>
      </c>
      <c r="C284" s="3">
        <f ca="1"/>
        <v>149.6051901489607</v>
      </c>
      <c r="D284" s="3">
        <f ca="1"/>
        <v>94.837172359015113</v>
      </c>
      <c r="E284" s="3">
        <f ca="1"/>
        <v>121.20918202392492</v>
      </c>
      <c r="F284" s="3">
        <f ca="1"/>
        <v>103.65507686217589</v>
      </c>
      <c r="G284" s="3">
        <f ca="1"/>
        <v>89.161353604708154</v>
      </c>
      <c r="H284" s="3">
        <f ca="1"/>
        <v>176.22585438335807</v>
      </c>
      <c r="I284" s="3">
        <f ca="1"/>
        <v>119.39766839378231</v>
      </c>
      <c r="J284" s="3">
        <f ca="1"/>
        <v>191.21306376360826</v>
      </c>
      <c r="K284" s="3">
        <f ca="1"/>
        <v>375.90187590187611</v>
      </c>
      <c r="L284" s="3">
        <f ca="1"/>
        <v>150.4871630751725</v>
      </c>
      <c r="M284" s="3">
        <f ca="1"/>
        <v>108.55887521968381</v>
      </c>
      <c r="N284" s="3">
        <f ca="1"/>
        <v>89.642535547504735</v>
      </c>
      <c r="O284" s="3">
        <f ca="1"/>
        <v>165.54084380610431</v>
      </c>
      <c r="P284" s="3">
        <f ca="1"/>
        <v>173.32832456799372</v>
      </c>
    </row>
    <row r="285" spans="1:16" x14ac:dyDescent="0.25">
      <c r="A285" vm="4152">
        <f ca="1"/>
        <v>45336</v>
      </c>
      <c r="B285" s="3">
        <f ca="1"/>
        <v>175.35988483685244</v>
      </c>
      <c r="C285" s="3">
        <f ca="1"/>
        <v>146.71134064620773</v>
      </c>
      <c r="D285" s="3">
        <f ca="1"/>
        <v>94.281175536139813</v>
      </c>
      <c r="E285" s="3">
        <f ca="1"/>
        <v>120.98286453281597</v>
      </c>
      <c r="F285" s="3">
        <f ca="1"/>
        <v>103.10087748235139</v>
      </c>
      <c r="G285" s="3">
        <f ca="1"/>
        <v>88.597351642962209</v>
      </c>
      <c r="H285" s="3">
        <f ca="1"/>
        <v>172.29501553424285</v>
      </c>
      <c r="I285" s="3">
        <f ca="1"/>
        <v>118.55569948186522</v>
      </c>
      <c r="J285" s="3">
        <f ca="1"/>
        <v>181.6485225505445</v>
      </c>
      <c r="K285" s="3">
        <f ca="1"/>
        <v>368.8632355299024</v>
      </c>
      <c r="L285" s="3">
        <f ca="1"/>
        <v>147.1019130929522</v>
      </c>
      <c r="M285" s="3">
        <f ca="1"/>
        <v>107.46045694200367</v>
      </c>
      <c r="N285" s="3">
        <f ca="1"/>
        <v>89.317948610558361</v>
      </c>
      <c r="O285" s="3">
        <f ca="1"/>
        <v>162.85906642728921</v>
      </c>
      <c r="P285" s="3">
        <f ca="1"/>
        <v>169.59679439018254</v>
      </c>
    </row>
    <row r="286" spans="1:16" x14ac:dyDescent="0.25">
      <c r="A286" vm="4163">
        <f ca="1"/>
        <v>45337</v>
      </c>
      <c r="B286" s="3">
        <f ca="1"/>
        <v>178.88332876336736</v>
      </c>
      <c r="C286" s="3">
        <f ca="1"/>
        <v>148.28631183575914</v>
      </c>
      <c r="D286" s="3">
        <f ca="1"/>
        <v>94.185861795075482</v>
      </c>
      <c r="E286" s="3">
        <f ca="1"/>
        <v>122.64791464597471</v>
      </c>
      <c r="F286" s="3">
        <f ca="1"/>
        <v>102.67863033581843</v>
      </c>
      <c r="G286" s="3">
        <f ca="1"/>
        <v>83.766552231485974</v>
      </c>
      <c r="H286" s="3">
        <f ca="1"/>
        <v>174.61839794677832</v>
      </c>
      <c r="I286" s="3">
        <f ca="1"/>
        <v>119.81865284974086</v>
      </c>
      <c r="J286" s="3">
        <f ca="1"/>
        <v>190.59097978227081</v>
      </c>
      <c r="K286" s="3">
        <f ca="1"/>
        <v>379.41317941317959</v>
      </c>
      <c r="L286" s="3">
        <f ca="1"/>
        <v>151.2267975250694</v>
      </c>
      <c r="M286" s="3">
        <f ca="1"/>
        <v>107.02987697715305</v>
      </c>
      <c r="N286" s="3">
        <f ca="1"/>
        <v>87.573555588130461</v>
      </c>
      <c r="O286" s="3">
        <f ca="1"/>
        <v>163.75673249551184</v>
      </c>
      <c r="P286" s="3">
        <f ca="1"/>
        <v>170.91994323399251</v>
      </c>
    </row>
    <row r="287" spans="1:16" x14ac:dyDescent="0.25">
      <c r="A287" vm="4178">
        <f ca="1"/>
        <v>45338</v>
      </c>
      <c r="B287" s="3">
        <f ca="1"/>
        <v>178.86961886482064</v>
      </c>
      <c r="C287" s="3">
        <f ca="1"/>
        <v>147.37291391011141</v>
      </c>
      <c r="D287" s="3">
        <f ca="1"/>
        <v>94.360603653693431</v>
      </c>
      <c r="E287" s="3">
        <f ca="1"/>
        <v>125.57926500700499</v>
      </c>
      <c r="F287" s="3">
        <f ca="1"/>
        <v>103.5891007455301</v>
      </c>
      <c r="G287" s="3">
        <f ca="1"/>
        <v>85.752820009808687</v>
      </c>
      <c r="H287" s="3">
        <f ca="1"/>
        <v>174.29420505200591</v>
      </c>
      <c r="I287" s="3">
        <f ca="1"/>
        <v>119.81865284974086</v>
      </c>
      <c r="J287" s="3">
        <f ca="1"/>
        <v>198.67807153965808</v>
      </c>
      <c r="K287" s="3">
        <f ca="1"/>
        <v>388.03110469777158</v>
      </c>
      <c r="L287" s="3">
        <f ca="1"/>
        <v>152.23668302396706</v>
      </c>
      <c r="M287" s="3">
        <f ca="1"/>
        <v>107.60105448154673</v>
      </c>
      <c r="N287" s="3">
        <f ca="1"/>
        <v>88.605951458546983</v>
      </c>
      <c r="O287" s="3">
        <f ca="1"/>
        <v>160.19973070017971</v>
      </c>
      <c r="P287" s="3">
        <f ca="1"/>
        <v>169.6969696969694</v>
      </c>
    </row>
    <row r="288" spans="1:16" x14ac:dyDescent="0.25">
      <c r="A288" vm="4194">
        <f ca="1"/>
        <v>45342</v>
      </c>
      <c r="B288" s="3">
        <f ca="1"/>
        <v>178.24924595558014</v>
      </c>
      <c r="C288" s="3">
        <f ca="1"/>
        <v>145.93879380255242</v>
      </c>
      <c r="D288" s="3">
        <f ca="1"/>
        <v>94.344718030182705</v>
      </c>
      <c r="E288" s="3">
        <f ca="1"/>
        <v>124.59855587886618</v>
      </c>
      <c r="F288" s="3">
        <f ca="1"/>
        <v>103.91898132875899</v>
      </c>
      <c r="G288" s="3">
        <f ca="1"/>
        <v>85.360470819028905</v>
      </c>
      <c r="H288" s="3">
        <f ca="1"/>
        <v>171.13332432797512</v>
      </c>
      <c r="I288" s="3">
        <f ca="1"/>
        <v>118.91191709844551</v>
      </c>
      <c r="J288" s="3">
        <f ca="1"/>
        <v>195.4121306376363</v>
      </c>
      <c r="K288" s="3">
        <f ca="1"/>
        <v>379.44524611191304</v>
      </c>
      <c r="L288" s="3">
        <f ca="1"/>
        <v>150.37337315980378</v>
      </c>
      <c r="M288" s="3">
        <f ca="1"/>
        <v>107.13532513181035</v>
      </c>
      <c r="N288" s="3">
        <f ca="1"/>
        <v>88.80489183925603</v>
      </c>
      <c r="O288" s="3">
        <f ca="1"/>
        <v>157.6750448833036</v>
      </c>
      <c r="P288" s="3">
        <f ca="1"/>
        <v>168.65347691793946</v>
      </c>
    </row>
    <row r="289" spans="1:16" x14ac:dyDescent="0.25">
      <c r="A289" vm="4210">
        <f ca="1"/>
        <v>45343</v>
      </c>
      <c r="B289" s="3">
        <f ca="1"/>
        <v>178.0675897998357</v>
      </c>
      <c r="C289" s="3">
        <f ca="1"/>
        <v>148.07290110546759</v>
      </c>
      <c r="D289" s="3">
        <f ca="1"/>
        <v>96.425734710087397</v>
      </c>
      <c r="E289" s="3">
        <f ca="1"/>
        <v>123.53163056363825</v>
      </c>
      <c r="F289" s="3">
        <f ca="1"/>
        <v>104.57874249521672</v>
      </c>
      <c r="G289" s="3">
        <f ca="1"/>
        <v>87.346738597351589</v>
      </c>
      <c r="H289" s="3">
        <f ca="1"/>
        <v>169.29623125759824</v>
      </c>
      <c r="I289" s="3">
        <f ca="1"/>
        <v>119.36528497409317</v>
      </c>
      <c r="J289" s="3">
        <f ca="1"/>
        <v>188.72472783825836</v>
      </c>
      <c r="K289" s="3">
        <f ca="1"/>
        <v>378.18662818662847</v>
      </c>
      <c r="L289" s="3">
        <f ca="1"/>
        <v>148.78031434464125</v>
      </c>
      <c r="M289" s="3">
        <f ca="1"/>
        <v>107.75922671353267</v>
      </c>
      <c r="N289" s="3">
        <f ca="1"/>
        <v>88.846774024668449</v>
      </c>
      <c r="O289" s="3">
        <f ca="1"/>
        <v>158.34829443447055</v>
      </c>
      <c r="P289" s="3">
        <f ca="1"/>
        <v>168.12338258619224</v>
      </c>
    </row>
    <row r="290" spans="1:16" x14ac:dyDescent="0.25">
      <c r="A290" vm="4226">
        <f ca="1"/>
        <v>45344</v>
      </c>
      <c r="B290" s="3">
        <f ca="1"/>
        <v>179.50027419797118</v>
      </c>
      <c r="C290" s="3">
        <f ca="1"/>
        <v>148.29484826497077</v>
      </c>
      <c r="D290" s="3">
        <f ca="1"/>
        <v>97.283558379666417</v>
      </c>
      <c r="E290" s="3">
        <f ca="1"/>
        <v>125.47149477314356</v>
      </c>
      <c r="F290" s="3">
        <f ca="1"/>
        <v>105.82569109982185</v>
      </c>
      <c r="G290" s="3">
        <f ca="1"/>
        <v>89.234919077979342</v>
      </c>
      <c r="H290" s="3">
        <f ca="1"/>
        <v>169.30973929488044</v>
      </c>
      <c r="I290" s="3">
        <f ca="1"/>
        <v>120.14248704663204</v>
      </c>
      <c r="J290" s="3">
        <f ca="1"/>
        <v>191.05754276827392</v>
      </c>
      <c r="K290" s="3">
        <f ca="1"/>
        <v>375.20442520442549</v>
      </c>
      <c r="L290" s="3">
        <f ca="1"/>
        <v>150.21691202617174</v>
      </c>
      <c r="M290" s="3">
        <f ca="1"/>
        <v>107.9130052724079</v>
      </c>
      <c r="N290" s="3">
        <f ca="1"/>
        <v>89.533641865432372</v>
      </c>
      <c r="O290" s="3">
        <f ca="1"/>
        <v>159.95287253141851</v>
      </c>
      <c r="P290" s="3">
        <f ca="1"/>
        <v>167.86877034810894</v>
      </c>
    </row>
    <row r="291" spans="1:16" x14ac:dyDescent="0.25">
      <c r="A291" vm="4240">
        <f ca="1"/>
        <v>45345</v>
      </c>
      <c r="B291" s="3">
        <f ca="1"/>
        <v>181.65615574444774</v>
      </c>
      <c r="C291" s="3">
        <f ca="1"/>
        <v>150.60822058133084</v>
      </c>
      <c r="D291" s="3">
        <f ca="1"/>
        <v>97.140587768069906</v>
      </c>
      <c r="E291" s="3">
        <f ca="1"/>
        <v>127.18504149153995</v>
      </c>
      <c r="F291" s="3">
        <f ca="1"/>
        <v>105.93125288645508</v>
      </c>
      <c r="G291" s="3">
        <f ca="1"/>
        <v>89.2839627268268</v>
      </c>
      <c r="H291" s="3">
        <f ca="1"/>
        <v>174.34823720113465</v>
      </c>
      <c r="I291" s="3">
        <f ca="1"/>
        <v>122.70077720207244</v>
      </c>
      <c r="J291" s="3">
        <f ca="1"/>
        <v>192.2239502332817</v>
      </c>
      <c r="K291" s="3">
        <f ca="1"/>
        <v>389.71460638127337</v>
      </c>
      <c r="L291" s="3">
        <f ca="1"/>
        <v>165.65678116776905</v>
      </c>
      <c r="M291" s="3">
        <f ca="1"/>
        <v>107.95254833040438</v>
      </c>
      <c r="N291" s="3">
        <f ca="1"/>
        <v>89.814252507695684</v>
      </c>
      <c r="O291" s="3">
        <f ca="1"/>
        <v>161.68087971274701</v>
      </c>
      <c r="P291" s="3">
        <f ca="1"/>
        <v>171.82152099507445</v>
      </c>
    </row>
    <row r="292" spans="1:16" x14ac:dyDescent="0.25">
      <c r="A292" vm="4252">
        <f ca="1"/>
        <v>45348</v>
      </c>
      <c r="B292" s="3">
        <f ca="1"/>
        <v>182.02289553057332</v>
      </c>
      <c r="C292" s="3">
        <f ca="1"/>
        <v>152.06368176191901</v>
      </c>
      <c r="D292" s="3">
        <f ca="1"/>
        <v>97.220015885623525</v>
      </c>
      <c r="E292" s="3">
        <f ca="1"/>
        <v>127.08804828106467</v>
      </c>
      <c r="F292" s="3">
        <f ca="1"/>
        <v>106.24134063469023</v>
      </c>
      <c r="G292" s="3">
        <f ca="1"/>
        <v>88.401177047572276</v>
      </c>
      <c r="H292" s="3">
        <f ca="1"/>
        <v>174.96960691611508</v>
      </c>
      <c r="I292" s="3">
        <f ca="1"/>
        <v>124.12564766839368</v>
      </c>
      <c r="J292" s="3">
        <f ca="1"/>
        <v>194.63452566096444</v>
      </c>
      <c r="K292" s="3">
        <f ca="1"/>
        <v>388.0311046977717</v>
      </c>
      <c r="L292" s="3">
        <f ca="1"/>
        <v>166.69511414550891</v>
      </c>
      <c r="M292" s="3">
        <f ca="1"/>
        <v>108.62478031634463</v>
      </c>
      <c r="N292" s="3">
        <f ca="1"/>
        <v>90.281238875044338</v>
      </c>
      <c r="O292" s="3">
        <f ca="1"/>
        <v>161.53500897666083</v>
      </c>
      <c r="P292" s="3">
        <f ca="1"/>
        <v>171.27473077886273</v>
      </c>
    </row>
    <row r="293" spans="1:16" x14ac:dyDescent="0.25">
      <c r="A293" vm="4265">
        <f ca="1"/>
        <v>45349</v>
      </c>
      <c r="B293" s="3">
        <f ca="1"/>
        <v>181.9337811900194</v>
      </c>
      <c r="C293" s="3">
        <f ca="1"/>
        <v>149.51128942763245</v>
      </c>
      <c r="D293" s="3">
        <f ca="1"/>
        <v>96.441620333598095</v>
      </c>
      <c r="E293" s="3">
        <f ca="1"/>
        <v>125.93490677874763</v>
      </c>
      <c r="F293" s="3">
        <f ca="1"/>
        <v>105.70693408985946</v>
      </c>
      <c r="G293" s="3">
        <f ca="1"/>
        <v>88.180480627758655</v>
      </c>
      <c r="H293" s="3">
        <f ca="1"/>
        <v>176.46899905443738</v>
      </c>
      <c r="I293" s="3">
        <f ca="1"/>
        <v>123.6398963730569</v>
      </c>
      <c r="J293" s="3">
        <f ca="1"/>
        <v>201.01088646967364</v>
      </c>
      <c r="K293" s="3">
        <f ca="1"/>
        <v>386.19528619528654</v>
      </c>
      <c r="L293" s="3">
        <f ca="1"/>
        <v>167.58409785932727</v>
      </c>
      <c r="M293" s="3">
        <f ca="1"/>
        <v>108.44463971880508</v>
      </c>
      <c r="N293" s="3">
        <f ca="1"/>
        <v>89.874981676543726</v>
      </c>
      <c r="O293" s="3">
        <f ca="1"/>
        <v>154.36490125673262</v>
      </c>
      <c r="P293" s="3">
        <f ca="1"/>
        <v>170.10601886634919</v>
      </c>
    </row>
    <row r="294" spans="1:16" x14ac:dyDescent="0.25">
      <c r="A294" vm="4281">
        <f ca="1"/>
        <v>45350</v>
      </c>
      <c r="B294" s="3">
        <f ca="1"/>
        <v>182.16684946531419</v>
      </c>
      <c r="C294" s="3">
        <f ca="1"/>
        <v>148.19241111443085</v>
      </c>
      <c r="D294" s="3">
        <f ca="1"/>
        <v>95.853852263701356</v>
      </c>
      <c r="E294" s="3">
        <f ca="1"/>
        <v>125.29367388727225</v>
      </c>
      <c r="F294" s="3">
        <f ca="1"/>
        <v>105.09995381671834</v>
      </c>
      <c r="G294" s="3">
        <f ca="1"/>
        <v>87.788131436978858</v>
      </c>
      <c r="H294" s="3">
        <f ca="1"/>
        <v>173.69985141158992</v>
      </c>
      <c r="I294" s="3">
        <f ca="1"/>
        <v>122.92746113989628</v>
      </c>
      <c r="J294" s="3">
        <f ca="1"/>
        <v>204.97667185070009</v>
      </c>
      <c r="K294" s="3">
        <f ca="1"/>
        <v>390.45214045214078</v>
      </c>
      <c r="L294" s="3">
        <f ca="1"/>
        <v>170.37906265557223</v>
      </c>
      <c r="M294" s="3">
        <f ca="1"/>
        <v>108.56326889279454</v>
      </c>
      <c r="N294" s="3">
        <f ca="1"/>
        <v>90.136745335371444</v>
      </c>
      <c r="O294" s="3">
        <f ca="1"/>
        <v>155.83482944344718</v>
      </c>
      <c r="P294" s="3">
        <f ca="1"/>
        <v>170.08097503965246</v>
      </c>
    </row>
    <row r="295" spans="1:16" x14ac:dyDescent="0.25">
      <c r="A295" vm="4294">
        <f ca="1"/>
        <v>45351</v>
      </c>
      <c r="B295" s="3">
        <f ca="1"/>
        <v>182.03317795448336</v>
      </c>
      <c r="C295" s="3">
        <f ca="1"/>
        <v>149.25092833667679</v>
      </c>
      <c r="D295" s="3">
        <f ca="1"/>
        <v>95.949166004765686</v>
      </c>
      <c r="E295" s="3">
        <f ca="1"/>
        <v>124.65782950748994</v>
      </c>
      <c r="F295" s="3">
        <f ca="1"/>
        <v>105.59477469156164</v>
      </c>
      <c r="G295" s="3">
        <f ca="1"/>
        <v>87.150564001961698</v>
      </c>
      <c r="H295" s="3">
        <f ca="1"/>
        <v>172.06537890044578</v>
      </c>
      <c r="I295" s="3">
        <f ca="1"/>
        <v>122.02072538860094</v>
      </c>
      <c r="J295" s="3">
        <f ca="1"/>
        <v>204.51010886469697</v>
      </c>
      <c r="K295" s="3">
        <f ca="1"/>
        <v>388.02308802308829</v>
      </c>
      <c r="L295" s="3">
        <f ca="1"/>
        <v>169.71054690278081</v>
      </c>
      <c r="M295" s="3">
        <f ca="1"/>
        <v>108.71704745166977</v>
      </c>
      <c r="N295" s="3">
        <f ca="1"/>
        <v>90.566037735848894</v>
      </c>
      <c r="O295" s="3">
        <f ca="1"/>
        <v>153.02962298025147</v>
      </c>
      <c r="P295" s="3">
        <f ca="1"/>
        <v>170.18115034643932</v>
      </c>
    </row>
    <row r="296" spans="1:16" x14ac:dyDescent="0.25">
      <c r="A296" vm="4306">
        <f ca="1"/>
        <v>45352</v>
      </c>
      <c r="B296" s="3">
        <f ca="1"/>
        <v>183.52412942144252</v>
      </c>
      <c r="C296" s="3">
        <f ca="1"/>
        <v>149.38751120406337</v>
      </c>
      <c r="D296" s="3">
        <f ca="1"/>
        <v>95.345512311358235</v>
      </c>
      <c r="E296" s="3">
        <f ca="1"/>
        <v>125.50382584330198</v>
      </c>
      <c r="F296" s="3">
        <f ca="1"/>
        <v>104.86243979679354</v>
      </c>
      <c r="G296" s="3">
        <f ca="1"/>
        <v>86.512996566944537</v>
      </c>
      <c r="H296" s="3">
        <f ca="1"/>
        <v>173.80791570984738</v>
      </c>
      <c r="I296" s="3">
        <f ca="1"/>
        <v>122.86269430051803</v>
      </c>
      <c r="J296" s="3">
        <f ca="1"/>
        <v>208.86469673405932</v>
      </c>
      <c r="K296" s="3">
        <f ca="1"/>
        <v>392.92127625460984</v>
      </c>
      <c r="L296" s="3">
        <f ca="1"/>
        <v>171.75876537941829</v>
      </c>
      <c r="M296" s="3">
        <f ca="1"/>
        <v>109.1915641476276</v>
      </c>
      <c r="N296" s="3">
        <f ca="1"/>
        <v>89.67813540510528</v>
      </c>
      <c r="O296" s="3">
        <f ca="1"/>
        <v>155.36355475763028</v>
      </c>
      <c r="P296" s="3">
        <f ca="1"/>
        <v>172.65214124718227</v>
      </c>
    </row>
    <row r="297" spans="1:16" x14ac:dyDescent="0.25">
      <c r="A297" vm="4320">
        <f ca="1"/>
        <v>45355</v>
      </c>
      <c r="B297" s="3">
        <f ca="1"/>
        <v>184.32958596106411</v>
      </c>
      <c r="C297" s="3">
        <f ca="1"/>
        <v>148.14972896837256</v>
      </c>
      <c r="D297" s="3">
        <f ca="1"/>
        <v>94.567116759332819</v>
      </c>
      <c r="E297" s="3">
        <f ca="1"/>
        <v>125.428386679599</v>
      </c>
      <c r="F297" s="3">
        <f ca="1"/>
        <v>104.80306129181234</v>
      </c>
      <c r="G297" s="3">
        <f ca="1"/>
        <v>86.145169200588484</v>
      </c>
      <c r="H297" s="3">
        <f ca="1"/>
        <v>180.87261920842906</v>
      </c>
      <c r="I297" s="3">
        <f ca="1"/>
        <v>123.80181347150248</v>
      </c>
      <c r="J297" s="3">
        <f ca="1"/>
        <v>205.98755832037347</v>
      </c>
      <c r="K297" s="3">
        <f ca="1"/>
        <v>402.6775693442363</v>
      </c>
      <c r="L297" s="3">
        <f ca="1"/>
        <v>171.31782945736438</v>
      </c>
      <c r="M297" s="3">
        <f ca="1"/>
        <v>109.84182776801424</v>
      </c>
      <c r="N297" s="3">
        <f ca="1"/>
        <v>89.305383954934612</v>
      </c>
      <c r="O297" s="3">
        <f ca="1"/>
        <v>153.88240574506293</v>
      </c>
      <c r="P297" s="3">
        <f ca="1"/>
        <v>173.42849987478056</v>
      </c>
    </row>
    <row r="298" spans="1:16" x14ac:dyDescent="0.25">
      <c r="A298" vm="4333">
        <f ca="1"/>
        <v>45356</v>
      </c>
      <c r="B298" s="3">
        <f ca="1"/>
        <v>183.54469426926264</v>
      </c>
      <c r="C298" s="3">
        <f ca="1"/>
        <v>150.45029664091513</v>
      </c>
      <c r="D298" s="3">
        <f ca="1"/>
        <v>95.011914217633063</v>
      </c>
      <c r="E298" s="3">
        <f ca="1"/>
        <v>125.69781226425252</v>
      </c>
      <c r="F298" s="3">
        <f ca="1"/>
        <v>105.27149171999734</v>
      </c>
      <c r="G298" s="3">
        <f ca="1"/>
        <v>85.924472780774849</v>
      </c>
      <c r="H298" s="3">
        <f ca="1"/>
        <v>186.7621234634608</v>
      </c>
      <c r="I298" s="3">
        <f ca="1"/>
        <v>124.2875647668393</v>
      </c>
      <c r="J298" s="3">
        <f ca="1"/>
        <v>206.14307931570787</v>
      </c>
      <c r="K298" s="3">
        <f ca="1"/>
        <v>399.38271604938302</v>
      </c>
      <c r="L298" s="3">
        <f ca="1"/>
        <v>173.06023753644837</v>
      </c>
      <c r="M298" s="3">
        <f ca="1"/>
        <v>108.97627416520228</v>
      </c>
      <c r="N298" s="3">
        <f ca="1"/>
        <v>90.452955835235329</v>
      </c>
      <c r="O298" s="3">
        <f ca="1"/>
        <v>149.62971274685827</v>
      </c>
      <c r="P298" s="3">
        <f ca="1"/>
        <v>173.18640955004562</v>
      </c>
    </row>
    <row r="299" spans="1:16" x14ac:dyDescent="0.25">
      <c r="A299" vm="4346">
        <f ca="1"/>
        <v>45357</v>
      </c>
      <c r="B299" s="3">
        <f ca="1"/>
        <v>180.97066081711017</v>
      </c>
      <c r="C299" s="3">
        <f ca="1"/>
        <v>151.72222459345258</v>
      </c>
      <c r="D299" s="3">
        <f ca="1"/>
        <v>94.551231135822107</v>
      </c>
      <c r="E299" s="3">
        <f ca="1"/>
        <v>123.06283004634111</v>
      </c>
      <c r="F299" s="3">
        <f ca="1"/>
        <v>105.11314904004747</v>
      </c>
      <c r="G299" s="3">
        <f ca="1"/>
        <v>86.145169200588498</v>
      </c>
      <c r="H299" s="3">
        <f ca="1"/>
        <v>182.31797919762263</v>
      </c>
      <c r="I299" s="3">
        <f ca="1"/>
        <v>123.86658031088074</v>
      </c>
      <c r="J299" s="3">
        <f ca="1"/>
        <v>201.08864696734082</v>
      </c>
      <c r="K299" s="3">
        <f ca="1"/>
        <v>392.99342632676002</v>
      </c>
      <c r="L299" s="3">
        <f ca="1"/>
        <v>170.47862883151984</v>
      </c>
      <c r="M299" s="3">
        <f ca="1"/>
        <v>109.02460456942021</v>
      </c>
      <c r="N299" s="3">
        <f ca="1"/>
        <v>90.461332272317804</v>
      </c>
      <c r="O299" s="3">
        <f ca="1"/>
        <v>148.86669658886905</v>
      </c>
      <c r="P299" s="3">
        <f ca="1"/>
        <v>168.06494699056654</v>
      </c>
    </row>
    <row r="300" spans="1:16" x14ac:dyDescent="0.25">
      <c r="A300" vm="4360">
        <f ca="1"/>
        <v>45358</v>
      </c>
      <c r="B300" s="3">
        <f ca="1"/>
        <v>182.0777351247603</v>
      </c>
      <c r="C300" s="3">
        <f ca="1"/>
        <v>153.9288915446669</v>
      </c>
      <c r="D300" s="3">
        <f ca="1"/>
        <v>94.598888006354272</v>
      </c>
      <c r="E300" s="3">
        <f ca="1"/>
        <v>123.44002586485604</v>
      </c>
      <c r="F300" s="3">
        <f ca="1"/>
        <v>105.27808933166192</v>
      </c>
      <c r="G300" s="3">
        <f ca="1"/>
        <v>86.684649337910713</v>
      </c>
      <c r="H300" s="3">
        <f ca="1"/>
        <v>191.23328380386334</v>
      </c>
      <c r="I300" s="3">
        <f ca="1"/>
        <v>123.34844559585484</v>
      </c>
      <c r="J300" s="3">
        <f ca="1"/>
        <v>187.16951788491468</v>
      </c>
      <c r="K300" s="3">
        <f ca="1"/>
        <v>397.6992143658814</v>
      </c>
      <c r="L300" s="3">
        <f ca="1"/>
        <v>171.96500960102412</v>
      </c>
      <c r="M300" s="3">
        <f ca="1"/>
        <v>109.13884007029894</v>
      </c>
      <c r="N300" s="3">
        <f ca="1"/>
        <v>90.77544866291106</v>
      </c>
      <c r="O300" s="3">
        <f ca="1"/>
        <v>147.44165170556565</v>
      </c>
      <c r="P300" s="3">
        <f ca="1"/>
        <v>167.83120460806381</v>
      </c>
    </row>
    <row r="301" spans="1:16" x14ac:dyDescent="0.25">
      <c r="A301" vm="4372">
        <f ca="1"/>
        <v>45359</v>
      </c>
      <c r="B301" s="3">
        <f ca="1"/>
        <v>184.90540170002765</v>
      </c>
      <c r="C301" s="3">
        <f ca="1"/>
        <v>155.95202526783052</v>
      </c>
      <c r="D301" s="3">
        <f ca="1"/>
        <v>94.424146147736323</v>
      </c>
      <c r="E301" s="3">
        <f ca="1"/>
        <v>125.56309947192577</v>
      </c>
      <c r="F301" s="3">
        <f ca="1"/>
        <v>105.97083855644256</v>
      </c>
      <c r="G301" s="3">
        <f ca="1"/>
        <v>84.600294261893055</v>
      </c>
      <c r="H301" s="3">
        <f ca="1"/>
        <v>201.53991625016891</v>
      </c>
      <c r="I301" s="3">
        <f ca="1"/>
        <v>122.79792746113981</v>
      </c>
      <c r="J301" s="3">
        <f ca="1"/>
        <v>183.20373250388823</v>
      </c>
      <c r="K301" s="3">
        <f ca="1"/>
        <v>410.60606060606102</v>
      </c>
      <c r="L301" s="3">
        <f ca="1"/>
        <v>173.75720076808193</v>
      </c>
      <c r="M301" s="3">
        <f ca="1"/>
        <v>112.17047451669615</v>
      </c>
      <c r="N301" s="3">
        <f ca="1"/>
        <v>90.044604527464074</v>
      </c>
      <c r="O301" s="3">
        <f ca="1"/>
        <v>150.78545780969492</v>
      </c>
      <c r="P301" s="3">
        <f ca="1"/>
        <v>170.77385424492834</v>
      </c>
    </row>
    <row r="302" spans="1:16" x14ac:dyDescent="0.25">
      <c r="A302" vm="4386">
        <f ca="1"/>
        <v>45362</v>
      </c>
      <c r="B302" s="3">
        <f ca="1"/>
        <v>184.17534960241318</v>
      </c>
      <c r="C302" s="3">
        <f ca="1"/>
        <v>151.44052242946782</v>
      </c>
      <c r="D302" s="3">
        <f ca="1"/>
        <v>94.551231135822121</v>
      </c>
      <c r="E302" s="3">
        <f ca="1"/>
        <v>125.92951826705453</v>
      </c>
      <c r="F302" s="3">
        <f ca="1"/>
        <v>105.79270304149895</v>
      </c>
      <c r="G302" s="3">
        <f ca="1"/>
        <v>85.434036292300135</v>
      </c>
      <c r="H302" s="3">
        <f ca="1"/>
        <v>197.71714169931118</v>
      </c>
      <c r="I302" s="3">
        <f ca="1"/>
        <v>123.67227979274601</v>
      </c>
      <c r="J302" s="3">
        <f ca="1"/>
        <v>184.29237947122886</v>
      </c>
      <c r="K302" s="3">
        <f ca="1"/>
        <v>405.60365560365597</v>
      </c>
      <c r="L302" s="3">
        <f ca="1"/>
        <v>172.14991821349835</v>
      </c>
      <c r="M302" s="3">
        <f ca="1"/>
        <v>113.22056239015836</v>
      </c>
      <c r="N302" s="3">
        <f ca="1"/>
        <v>90.653990325214991</v>
      </c>
      <c r="O302" s="3">
        <f ca="1"/>
        <v>151.94120287253153</v>
      </c>
      <c r="P302" s="3">
        <f ca="1"/>
        <v>169.55505467902137</v>
      </c>
    </row>
    <row r="303" spans="1:16" x14ac:dyDescent="0.25">
      <c r="A303" vm="4401">
        <f ca="1"/>
        <v>45363</v>
      </c>
      <c r="B303" s="3">
        <f ca="1"/>
        <v>183.72635042500707</v>
      </c>
      <c r="C303" s="3">
        <f ca="1"/>
        <v>152.37526142814468</v>
      </c>
      <c r="D303" s="3">
        <f ca="1"/>
        <v>95.694996028594147</v>
      </c>
      <c r="E303" s="3">
        <f ca="1"/>
        <v>126.00495743075751</v>
      </c>
      <c r="F303" s="3">
        <f ca="1"/>
        <v>106.58441644124825</v>
      </c>
      <c r="G303" s="3">
        <f ca="1"/>
        <v>85.777341834232445</v>
      </c>
      <c r="H303" s="3">
        <f ca="1"/>
        <v>187.78873429690677</v>
      </c>
      <c r="I303" s="3">
        <f ca="1"/>
        <v>123.18652849740923</v>
      </c>
      <c r="J303" s="3">
        <f ca="1"/>
        <v>188.33592534992249</v>
      </c>
      <c r="K303" s="3">
        <f ca="1"/>
        <v>387.67837101170466</v>
      </c>
      <c r="L303" s="3">
        <f ca="1"/>
        <v>170.07325225801864</v>
      </c>
      <c r="M303" s="3">
        <f ca="1"/>
        <v>115.10544815465749</v>
      </c>
      <c r="N303" s="3">
        <f ca="1"/>
        <v>91.041400540280009</v>
      </c>
      <c r="O303" s="3">
        <f ca="1"/>
        <v>154.47710951526042</v>
      </c>
      <c r="P303" s="3">
        <f ca="1"/>
        <v>168.84547958928096</v>
      </c>
    </row>
    <row r="304" spans="1:16" x14ac:dyDescent="0.25">
      <c r="A304" vm="4414">
        <f ca="1"/>
        <v>45364</v>
      </c>
      <c r="B304" s="3">
        <f ca="1"/>
        <v>184.49410474362512</v>
      </c>
      <c r="C304" s="3">
        <f ca="1"/>
        <v>154.32156728840334</v>
      </c>
      <c r="D304" s="3">
        <f ca="1"/>
        <v>96.108022239872938</v>
      </c>
      <c r="E304" s="3">
        <f ca="1"/>
        <v>125.9887918956783</v>
      </c>
      <c r="F304" s="3">
        <f ca="1"/>
        <v>106.83512568450219</v>
      </c>
      <c r="G304" s="3">
        <f ca="1"/>
        <v>84.845512506130447</v>
      </c>
      <c r="H304" s="3">
        <f ca="1"/>
        <v>195.05605835472116</v>
      </c>
      <c r="I304" s="3">
        <f ca="1"/>
        <v>122.47409326424861</v>
      </c>
      <c r="J304" s="3">
        <f ca="1"/>
        <v>188.25816485225531</v>
      </c>
      <c r="K304" s="3">
        <f ca="1"/>
        <v>400.63331729998436</v>
      </c>
      <c r="L304" s="3">
        <f ca="1"/>
        <v>171.9436739918925</v>
      </c>
      <c r="M304" s="3">
        <f ca="1"/>
        <v>115.05272407732885</v>
      </c>
      <c r="N304" s="3">
        <f ca="1"/>
        <v>91.074906288609952</v>
      </c>
      <c r="O304" s="3">
        <f ca="1"/>
        <v>155.40843806104141</v>
      </c>
      <c r="P304" s="3">
        <f ca="1"/>
        <v>173.33667251022595</v>
      </c>
    </row>
    <row r="305" spans="1:16" x14ac:dyDescent="0.25">
      <c r="A305" vm="4429">
        <f ca="1"/>
        <v>45365</v>
      </c>
      <c r="B305" s="3">
        <f ca="1"/>
        <v>184.93282149712115</v>
      </c>
      <c r="C305" s="3">
        <f ca="1"/>
        <v>154.88923983097877</v>
      </c>
      <c r="D305" s="3">
        <f ca="1"/>
        <v>97.092930897537755</v>
      </c>
      <c r="E305" s="3">
        <f ca="1"/>
        <v>125.97801487229216</v>
      </c>
      <c r="F305" s="3">
        <f ca="1"/>
        <v>107.07923731609156</v>
      </c>
      <c r="G305" s="3">
        <f ca="1"/>
        <v>84.673859735164285</v>
      </c>
      <c r="H305" s="3">
        <f ca="1"/>
        <v>192.0032419289478</v>
      </c>
      <c r="I305" s="3">
        <f ca="1"/>
        <v>122.34455958549214</v>
      </c>
      <c r="J305" s="3">
        <f ca="1"/>
        <v>194.47900466563016</v>
      </c>
      <c r="K305" s="3">
        <f ca="1"/>
        <v>397.2823472823477</v>
      </c>
      <c r="L305" s="3">
        <f ca="1"/>
        <v>171.9863452101558</v>
      </c>
      <c r="M305" s="3">
        <f ca="1"/>
        <v>115.86115992970142</v>
      </c>
      <c r="N305" s="3">
        <f ca="1"/>
        <v>91.00998890122068</v>
      </c>
      <c r="O305" s="3">
        <f ca="1"/>
        <v>156.85592459605039</v>
      </c>
      <c r="P305" s="3">
        <f ca="1"/>
        <v>173.26154103013582</v>
      </c>
    </row>
    <row r="306" spans="1:16" x14ac:dyDescent="0.25">
      <c r="A306" vm="4443">
        <f ca="1"/>
        <v>45366</v>
      </c>
      <c r="B306" s="3">
        <f ca="1"/>
        <v>183.79832739237756</v>
      </c>
      <c r="C306" s="3">
        <f ca="1"/>
        <v>155.11118699048197</v>
      </c>
      <c r="D306" s="3">
        <f ca="1"/>
        <v>96.108022239872952</v>
      </c>
      <c r="E306" s="3">
        <f ca="1"/>
        <v>124.77637676473748</v>
      </c>
      <c r="F306" s="3">
        <f ca="1"/>
        <v>106.55142838292537</v>
      </c>
      <c r="G306" s="3">
        <f ca="1"/>
        <v>84.158901422265799</v>
      </c>
      <c r="H306" s="3">
        <f ca="1"/>
        <v>188.59921653383773</v>
      </c>
      <c r="I306" s="3">
        <f ca="1"/>
        <v>119.91580310880821</v>
      </c>
      <c r="J306" s="3">
        <f ca="1"/>
        <v>192.06842923794738</v>
      </c>
      <c r="K306" s="3">
        <f ca="1"/>
        <v>394.28411095077803</v>
      </c>
      <c r="L306" s="3">
        <f ca="1"/>
        <v>172.36327430481478</v>
      </c>
      <c r="M306" s="3">
        <f ca="1"/>
        <v>114.60017574692462</v>
      </c>
      <c r="N306" s="3">
        <f ca="1"/>
        <v>91.254999685883405</v>
      </c>
      <c r="O306" s="3">
        <f ca="1"/>
        <v>160.5700179533215</v>
      </c>
      <c r="P306" s="3">
        <f ca="1"/>
        <v>177.48559979964912</v>
      </c>
    </row>
    <row r="307" spans="1:16" x14ac:dyDescent="0.25">
      <c r="A307" vm="4458">
        <f ca="1"/>
        <v>45369</v>
      </c>
      <c r="B307" s="3">
        <f ca="1"/>
        <v>183.51384699753245</v>
      </c>
      <c r="C307" s="3">
        <f ca="1"/>
        <v>158.55563617738707</v>
      </c>
      <c r="D307" s="3">
        <f ca="1"/>
        <v>95.123113582208148</v>
      </c>
      <c r="E307" s="3">
        <f ca="1"/>
        <v>123.96271149908387</v>
      </c>
      <c r="F307" s="3">
        <f ca="1"/>
        <v>106.47225704295043</v>
      </c>
      <c r="G307" s="3">
        <f ca="1"/>
        <v>84.281510544384474</v>
      </c>
      <c r="H307" s="3">
        <f ca="1"/>
        <v>185.03309469134143</v>
      </c>
      <c r="I307" s="3">
        <f ca="1"/>
        <v>119.72150259067348</v>
      </c>
      <c r="J307" s="3">
        <f ca="1"/>
        <v>202.33281493001581</v>
      </c>
      <c r="K307" s="3">
        <f ca="1"/>
        <v>388.08722142055518</v>
      </c>
      <c r="L307" s="3">
        <f ca="1"/>
        <v>172.64063722352608</v>
      </c>
      <c r="M307" s="3">
        <f ca="1"/>
        <v>117.59226713532533</v>
      </c>
      <c r="N307" s="3">
        <f ca="1"/>
        <v>91.26547023223651</v>
      </c>
      <c r="O307" s="3">
        <f ca="1"/>
        <v>158.41561938958722</v>
      </c>
      <c r="P307" s="3">
        <f ca="1"/>
        <v>173.81250521746364</v>
      </c>
    </row>
    <row r="308" spans="1:16" x14ac:dyDescent="0.25">
      <c r="A308" vm="4473">
        <f ca="1"/>
        <v>45370</v>
      </c>
      <c r="B308" s="3">
        <f ca="1"/>
        <v>183.80175486701421</v>
      </c>
      <c r="C308" s="3">
        <f ca="1"/>
        <v>156.70323103845666</v>
      </c>
      <c r="D308" s="3">
        <f ca="1"/>
        <v>95.520254169976212</v>
      </c>
      <c r="E308" s="3">
        <f ca="1"/>
        <v>123.93576894061852</v>
      </c>
      <c r="F308" s="3">
        <f ca="1"/>
        <v>106.36009764465263</v>
      </c>
      <c r="G308" s="3">
        <f ca="1"/>
        <v>85.630210887690026</v>
      </c>
      <c r="H308" s="3">
        <f ca="1"/>
        <v>184.57382142374721</v>
      </c>
      <c r="I308" s="3">
        <f ca="1"/>
        <v>120.82253886010353</v>
      </c>
      <c r="J308" s="3">
        <f ca="1"/>
        <v>202.410575427683</v>
      </c>
      <c r="K308" s="3">
        <f ca="1"/>
        <v>398.41269841269883</v>
      </c>
      <c r="L308" s="3">
        <f ca="1"/>
        <v>173.39449541284404</v>
      </c>
      <c r="M308" s="3">
        <f ca="1"/>
        <v>117.0254833040424</v>
      </c>
      <c r="N308" s="3">
        <f ca="1"/>
        <v>90.71681360333362</v>
      </c>
      <c r="O308" s="3">
        <f ca="1"/>
        <v>165.70915619389604</v>
      </c>
      <c r="P308" s="3">
        <f ca="1"/>
        <v>174.18816261791443</v>
      </c>
    </row>
    <row r="309" spans="1:16" x14ac:dyDescent="0.25">
      <c r="A309" vm="4486">
        <f ca="1"/>
        <v>45371</v>
      </c>
      <c r="B309" s="3">
        <f ca="1"/>
        <v>184.68604332327968</v>
      </c>
      <c r="C309" s="3">
        <f ca="1"/>
        <v>158.93123906270014</v>
      </c>
      <c r="D309" s="3">
        <f ca="1"/>
        <v>95.679110405083421</v>
      </c>
      <c r="E309" s="3">
        <f ca="1"/>
        <v>124.01120810432148</v>
      </c>
      <c r="F309" s="3">
        <f ca="1"/>
        <v>106.76914956785643</v>
      </c>
      <c r="G309" s="3">
        <f ca="1"/>
        <v>86.488474742520822</v>
      </c>
      <c r="H309" s="3">
        <f ca="1"/>
        <v>182.18289882480084</v>
      </c>
      <c r="I309" s="3">
        <f ca="1"/>
        <v>119.75388601036259</v>
      </c>
      <c r="J309" s="3">
        <f ca="1"/>
        <v>203.96578538102668</v>
      </c>
      <c r="K309" s="3">
        <f ca="1"/>
        <v>397.81946448613155</v>
      </c>
      <c r="L309" s="3">
        <f ca="1"/>
        <v>175.22935779816513</v>
      </c>
      <c r="M309" s="3">
        <f ca="1"/>
        <v>118.07996485061533</v>
      </c>
      <c r="N309" s="3">
        <f ca="1"/>
        <v>91.552363202311696</v>
      </c>
      <c r="O309" s="3">
        <f ca="1"/>
        <v>164.97980251346516</v>
      </c>
      <c r="P309" s="3">
        <f ca="1"/>
        <v>175.89531680440746</v>
      </c>
    </row>
    <row r="310" spans="1:16" x14ac:dyDescent="0.25">
      <c r="A310" vm="4496">
        <f ca="1"/>
        <v>45372</v>
      </c>
      <c r="B310" s="3">
        <f ca="1"/>
        <v>187.29777899643571</v>
      </c>
      <c r="C310" s="3">
        <f ca="1"/>
        <v>161.87203892611728</v>
      </c>
      <c r="D310" s="3">
        <f ca="1"/>
        <v>96.505162827641016</v>
      </c>
      <c r="E310" s="3">
        <f ca="1"/>
        <v>125.69781226425252</v>
      </c>
      <c r="F310" s="3">
        <f ca="1"/>
        <v>106.87471135448966</v>
      </c>
      <c r="G310" s="3">
        <f ca="1"/>
        <v>86.684649337910713</v>
      </c>
      <c r="H310" s="3">
        <f ca="1"/>
        <v>184.7224098338512</v>
      </c>
      <c r="I310" s="3">
        <f ca="1"/>
        <v>121.7940414507771</v>
      </c>
      <c r="J310" s="3">
        <f ca="1"/>
        <v>209.79782270606557</v>
      </c>
      <c r="K310" s="3">
        <f ca="1"/>
        <v>405.25893859227227</v>
      </c>
      <c r="L310" s="3">
        <f ca="1"/>
        <v>177.44826114785576</v>
      </c>
      <c r="M310" s="3">
        <f ca="1"/>
        <v>117.97012302284732</v>
      </c>
      <c r="N310" s="3">
        <f ca="1"/>
        <v>92.2266663874519</v>
      </c>
      <c r="O310" s="3">
        <f ca="1"/>
        <v>166.89856373429103</v>
      </c>
      <c r="P310" s="3">
        <f ca="1"/>
        <v>177.48977377076525</v>
      </c>
    </row>
    <row r="311" spans="1:16" x14ac:dyDescent="0.25">
      <c r="A311" vm="4511">
        <f ca="1"/>
        <v>45373</v>
      </c>
      <c r="B311" s="3">
        <f ca="1"/>
        <v>192.15793803125882</v>
      </c>
      <c r="C311" s="3">
        <f ca="1"/>
        <v>165.88416065559781</v>
      </c>
      <c r="D311" s="3">
        <f ca="1"/>
        <v>96.060365369340772</v>
      </c>
      <c r="E311" s="3">
        <f ca="1"/>
        <v>122.36771203793502</v>
      </c>
      <c r="F311" s="3">
        <f ca="1"/>
        <v>106.78894240285017</v>
      </c>
      <c r="G311" s="3">
        <f ca="1"/>
        <v>87.29769494850413</v>
      </c>
      <c r="H311" s="3">
        <f ca="1"/>
        <v>188.36957990004058</v>
      </c>
      <c r="I311" s="3">
        <f ca="1"/>
        <v>122.63601036269418</v>
      </c>
      <c r="J311" s="3">
        <f ca="1"/>
        <v>215.08553654743415</v>
      </c>
      <c r="K311" s="3">
        <f ca="1"/>
        <v>407.05467372134075</v>
      </c>
      <c r="L311" s="3">
        <f ca="1"/>
        <v>182.27722068131712</v>
      </c>
      <c r="M311" s="3">
        <f ca="1"/>
        <v>118.34358523725859</v>
      </c>
      <c r="N311" s="3">
        <f ca="1"/>
        <v>92.802546436872873</v>
      </c>
      <c r="O311" s="3">
        <f ca="1"/>
        <v>165.61938958707378</v>
      </c>
      <c r="P311" s="3">
        <f ca="1"/>
        <v>179.21779781283888</v>
      </c>
    </row>
    <row r="312" spans="1:16" x14ac:dyDescent="0.25">
      <c r="A312" vm="4523">
        <f ca="1"/>
        <v>45376</v>
      </c>
      <c r="B312" s="3">
        <f ca="1"/>
        <v>190.1871401151634</v>
      </c>
      <c r="C312" s="3">
        <f ca="1"/>
        <v>165.18844167484747</v>
      </c>
      <c r="D312" s="3">
        <f ca="1"/>
        <v>96.092136616362211</v>
      </c>
      <c r="E312" s="3">
        <f ca="1"/>
        <v>123.39691777131146</v>
      </c>
      <c r="F312" s="3">
        <f ca="1"/>
        <v>106.65699016955861</v>
      </c>
      <c r="G312" s="3">
        <f ca="1"/>
        <v>87.910740559097562</v>
      </c>
      <c r="H312" s="3">
        <f ca="1"/>
        <v>189.84195596379851</v>
      </c>
      <c r="I312" s="3">
        <f ca="1"/>
        <v>120.95207253885999</v>
      </c>
      <c r="J312" s="3">
        <f ca="1"/>
        <v>199.53343701399712</v>
      </c>
      <c r="K312" s="3">
        <f ca="1"/>
        <v>408.51370851370888</v>
      </c>
      <c r="L312" s="3">
        <f ca="1"/>
        <v>182.00696963231633</v>
      </c>
      <c r="M312" s="3">
        <f ca="1"/>
        <v>117.8558875219686</v>
      </c>
      <c r="N312" s="3">
        <f ca="1"/>
        <v>93.372144158481987</v>
      </c>
      <c r="O312" s="3">
        <f ca="1"/>
        <v>169.17639138240594</v>
      </c>
      <c r="P312" s="3">
        <f ca="1"/>
        <v>178.95483763252332</v>
      </c>
    </row>
    <row r="313" spans="1:16" x14ac:dyDescent="0.25">
      <c r="A313" vm="4534">
        <f ca="1"/>
        <v>45377</v>
      </c>
      <c r="B313" s="3">
        <f ca="1"/>
        <v>188.69276117356756</v>
      </c>
      <c r="C313" s="3">
        <f ca="1"/>
        <v>165.31221989841657</v>
      </c>
      <c r="D313" s="3">
        <f ca="1"/>
        <v>95.949166004765701</v>
      </c>
      <c r="E313" s="3">
        <f ca="1"/>
        <v>118.90828753098384</v>
      </c>
      <c r="F313" s="3">
        <f ca="1"/>
        <v>105.68714125486574</v>
      </c>
      <c r="G313" s="3">
        <f ca="1"/>
        <v>88.719960765080884</v>
      </c>
      <c r="H313" s="3">
        <f ca="1"/>
        <v>189.42320680805085</v>
      </c>
      <c r="I313" s="3">
        <f ca="1"/>
        <v>119.30051813471493</v>
      </c>
      <c r="J313" s="3">
        <f ca="1"/>
        <v>203.73250388802512</v>
      </c>
      <c r="K313" s="3">
        <f ca="1"/>
        <v>403.25476992143695</v>
      </c>
      <c r="L313" s="3">
        <f ca="1"/>
        <v>181.73671858331554</v>
      </c>
      <c r="M313" s="3">
        <f ca="1"/>
        <v>118.82249560632711</v>
      </c>
      <c r="N313" s="3">
        <f ca="1"/>
        <v>93.462190857118713</v>
      </c>
      <c r="O313" s="3">
        <f ca="1"/>
        <v>168.39093357271113</v>
      </c>
      <c r="P313" s="3">
        <f ca="1"/>
        <v>176.50054261624484</v>
      </c>
    </row>
    <row r="314" spans="1:16" x14ac:dyDescent="0.25">
      <c r="A314" vm="4546">
        <f ca="1"/>
        <v>45378</v>
      </c>
      <c r="B314" s="3">
        <f ca="1"/>
        <v>188.22319714834134</v>
      </c>
      <c r="C314" s="3">
        <f ca="1"/>
        <v>165.82013743651038</v>
      </c>
      <c r="D314" s="3">
        <f ca="1"/>
        <v>96.171564733915815</v>
      </c>
      <c r="E314" s="3">
        <f ca="1"/>
        <v>119.36631102489483</v>
      </c>
      <c r="F314" s="3">
        <f ca="1"/>
        <v>105.92465527479052</v>
      </c>
      <c r="G314" s="3">
        <f ca="1"/>
        <v>89.185875429131883</v>
      </c>
      <c r="H314" s="3">
        <f ca="1"/>
        <v>187.54558962582743</v>
      </c>
      <c r="I314" s="3">
        <f ca="1"/>
        <v>117.00129533678748</v>
      </c>
      <c r="J314" s="3">
        <f ca="1"/>
        <v>200.66096423017132</v>
      </c>
      <c r="K314" s="3">
        <f ca="1"/>
        <v>397.53888087221458</v>
      </c>
      <c r="L314" s="3">
        <f ca="1"/>
        <v>184.32543915795461</v>
      </c>
      <c r="M314" s="3">
        <f ca="1"/>
        <v>118.31722319859425</v>
      </c>
      <c r="N314" s="3">
        <f ca="1"/>
        <v>93.395179360458812</v>
      </c>
      <c r="O314" s="3">
        <f ca="1"/>
        <v>169.06418312387808</v>
      </c>
      <c r="P314" s="3">
        <f ca="1"/>
        <v>175.99549211119432</v>
      </c>
    </row>
    <row r="315" spans="1:16" x14ac:dyDescent="0.25">
      <c r="A315" vm="4557">
        <f ca="1"/>
        <v>45379</v>
      </c>
      <c r="B315" s="3">
        <f ca="1"/>
        <v>191.2702221003567</v>
      </c>
      <c r="C315" s="3">
        <f ca="1"/>
        <v>165.87135601178034</v>
      </c>
      <c r="D315" s="3">
        <f ca="1"/>
        <v>96.949960285941245</v>
      </c>
      <c r="E315" s="3">
        <f ca="1"/>
        <v>121.52171570212298</v>
      </c>
      <c r="F315" s="3">
        <f ca="1"/>
        <v>107.28376327769347</v>
      </c>
      <c r="G315" s="3">
        <f ca="1"/>
        <v>89.57822461991168</v>
      </c>
      <c r="H315" s="3">
        <f ca="1"/>
        <v>184.6413616101581</v>
      </c>
      <c r="I315" s="3">
        <f ca="1"/>
        <v>119.30051813471493</v>
      </c>
      <c r="J315" s="3">
        <f ca="1"/>
        <v>205.83203732503912</v>
      </c>
      <c r="K315" s="3">
        <f ca="1"/>
        <v>395.91149591149633</v>
      </c>
      <c r="L315" s="3">
        <f ca="1"/>
        <v>184.73081573145575</v>
      </c>
      <c r="M315" s="3">
        <f ca="1"/>
        <v>119.5254833040424</v>
      </c>
      <c r="N315" s="3">
        <f ca="1"/>
        <v>95.654723263459658</v>
      </c>
      <c r="O315" s="3">
        <f ca="1"/>
        <v>169.28859964093377</v>
      </c>
      <c r="P315" s="3">
        <f ca="1"/>
        <v>175.90366474663969</v>
      </c>
    </row>
    <row r="316" spans="1:16" x14ac:dyDescent="0.25">
      <c r="A316" vm="4572">
        <f ca="1"/>
        <v>45383</v>
      </c>
      <c r="B316" s="3">
        <f ca="1"/>
        <v>190.4956128324653</v>
      </c>
      <c r="C316" s="3">
        <f ca="1"/>
        <v>167.24998932946357</v>
      </c>
      <c r="D316" s="3">
        <f ca="1"/>
        <v>97.188244638602086</v>
      </c>
      <c r="E316" s="3">
        <f ca="1"/>
        <v>121.14451988360804</v>
      </c>
      <c r="F316" s="3">
        <f ca="1"/>
        <v>107.04624925776868</v>
      </c>
      <c r="G316" s="3">
        <f ca="1"/>
        <v>90.485532123589948</v>
      </c>
      <c r="H316" s="3">
        <f ca="1"/>
        <v>183.77684722409842</v>
      </c>
      <c r="I316" s="3">
        <f ca="1"/>
        <v>120.04533678756466</v>
      </c>
      <c r="J316" s="3">
        <f ca="1"/>
        <v>207.46500777605004</v>
      </c>
      <c r="K316" s="3">
        <f ca="1"/>
        <v>389.27368927368968</v>
      </c>
      <c r="L316" s="3">
        <f ca="1"/>
        <v>184.76637508000849</v>
      </c>
      <c r="M316" s="3">
        <f ca="1"/>
        <v>119.40246045694219</v>
      </c>
      <c r="N316" s="3">
        <f ca="1"/>
        <v>95.254748392770907</v>
      </c>
      <c r="O316" s="3">
        <f ca="1"/>
        <v>169.35592459605047</v>
      </c>
      <c r="P316" s="3">
        <f ca="1"/>
        <v>175.6073127973952</v>
      </c>
    </row>
    <row r="317" spans="1:16" x14ac:dyDescent="0.25">
      <c r="A317" vm="4584">
        <f ca="1"/>
        <v>45384</v>
      </c>
      <c r="B317" s="3">
        <f ca="1"/>
        <v>188.85727995612859</v>
      </c>
      <c r="C317" s="3">
        <f ca="1"/>
        <v>168.12924153826464</v>
      </c>
      <c r="D317" s="3">
        <f ca="1"/>
        <v>96.393963463065944</v>
      </c>
      <c r="E317" s="3">
        <f ca="1"/>
        <v>119.10227395193436</v>
      </c>
      <c r="F317" s="3">
        <f ca="1"/>
        <v>105.94444810978426</v>
      </c>
      <c r="G317" s="3">
        <f ca="1"/>
        <v>90.877881314369759</v>
      </c>
      <c r="H317" s="3">
        <f ca="1"/>
        <v>191.12521950560591</v>
      </c>
      <c r="I317" s="3">
        <f ca="1"/>
        <v>119.10621761658022</v>
      </c>
      <c r="J317" s="3">
        <f ca="1"/>
        <v>205.83203732503912</v>
      </c>
      <c r="K317" s="3">
        <f ca="1"/>
        <v>393.89931056597766</v>
      </c>
      <c r="L317" s="3">
        <f ca="1"/>
        <v>184.38233411563894</v>
      </c>
      <c r="M317" s="3">
        <f ca="1"/>
        <v>116.87170474516715</v>
      </c>
      <c r="N317" s="3">
        <f ca="1"/>
        <v>94.819173664481582</v>
      </c>
      <c r="O317" s="3">
        <f ca="1"/>
        <v>174.47262118491943</v>
      </c>
      <c r="P317" s="3">
        <f ca="1"/>
        <v>177.21429167710136</v>
      </c>
    </row>
    <row r="318" spans="1:16" x14ac:dyDescent="0.25">
      <c r="A318" vm="4598">
        <f ca="1"/>
        <v>45385</v>
      </c>
      <c r="B318" s="3">
        <f ca="1"/>
        <v>187.63367151083111</v>
      </c>
      <c r="C318" s="3">
        <f ca="1"/>
        <v>166.96828716547876</v>
      </c>
      <c r="D318" s="3">
        <f ca="1"/>
        <v>95.552025416997637</v>
      </c>
      <c r="E318" s="3">
        <f ca="1"/>
        <v>116.53734238603288</v>
      </c>
      <c r="F318" s="3">
        <f ca="1"/>
        <v>105.93785049811967</v>
      </c>
      <c r="G318" s="3">
        <f ca="1"/>
        <v>91.687101520353082</v>
      </c>
      <c r="H318" s="3">
        <f ca="1"/>
        <v>189.40969877076867</v>
      </c>
      <c r="I318" s="3">
        <f ca="1"/>
        <v>118.23186528497399</v>
      </c>
      <c r="J318" s="3">
        <f ca="1"/>
        <v>201.08864696734085</v>
      </c>
      <c r="K318" s="3">
        <f ca="1"/>
        <v>398.72534872534914</v>
      </c>
      <c r="L318" s="3">
        <f ca="1"/>
        <v>182.13498328710614</v>
      </c>
      <c r="M318" s="3">
        <f ca="1"/>
        <v>117.49121265377875</v>
      </c>
      <c r="N318" s="3">
        <f ca="1"/>
        <v>94.913408581659553</v>
      </c>
      <c r="O318" s="3">
        <f ca="1"/>
        <v>173.42908438061062</v>
      </c>
      <c r="P318" s="3">
        <f ca="1"/>
        <v>175.90783871775582</v>
      </c>
    </row>
    <row r="319" spans="1:16" x14ac:dyDescent="0.25">
      <c r="A319" vm="4613">
        <f ca="1"/>
        <v>45386</v>
      </c>
      <c r="B319" s="3">
        <f ca="1"/>
        <v>191.44845078146449</v>
      </c>
      <c r="C319" s="3">
        <f ca="1"/>
        <v>168.99142088864235</v>
      </c>
      <c r="D319" s="3">
        <f ca="1"/>
        <v>95.043685464654502</v>
      </c>
      <c r="E319" s="3">
        <f ca="1"/>
        <v>116.74210583036955</v>
      </c>
      <c r="F319" s="3">
        <f ca="1"/>
        <v>103.02170614237646</v>
      </c>
      <c r="G319" s="3">
        <f ca="1"/>
        <v>91.638057871505595</v>
      </c>
      <c r="H319" s="3">
        <f ca="1"/>
        <v>191.81412940699721</v>
      </c>
      <c r="I319" s="3">
        <f ca="1"/>
        <v>117.94041450777192</v>
      </c>
      <c r="J319" s="3">
        <f ca="1"/>
        <v>202.25505443234863</v>
      </c>
      <c r="K319" s="3">
        <f ca="1"/>
        <v>406.23697290363998</v>
      </c>
      <c r="L319" s="3">
        <f ca="1"/>
        <v>186.53723063793467</v>
      </c>
      <c r="M319" s="3">
        <f ca="1"/>
        <v>117.28910369068558</v>
      </c>
      <c r="N319" s="3">
        <f ca="1"/>
        <v>93.795154231147535</v>
      </c>
      <c r="O319" s="3">
        <f ca="1"/>
        <v>173.83303411131078</v>
      </c>
      <c r="P319" s="3">
        <f ca="1"/>
        <v>175.49461557725996</v>
      </c>
    </row>
    <row r="320" spans="1:16" x14ac:dyDescent="0.25">
      <c r="A320" vm="4629">
        <f ca="1"/>
        <v>45387</v>
      </c>
      <c r="B320" s="3">
        <f ca="1"/>
        <v>190.44762818755166</v>
      </c>
      <c r="C320" s="3">
        <f ca="1"/>
        <v>166.63536642622398</v>
      </c>
      <c r="D320" s="3">
        <f ca="1"/>
        <v>94.201747418586194</v>
      </c>
      <c r="E320" s="3">
        <f ca="1"/>
        <v>114.99083953012168</v>
      </c>
      <c r="F320" s="3">
        <f ca="1"/>
        <v>102.55987332585603</v>
      </c>
      <c r="G320" s="3">
        <f ca="1"/>
        <v>91.343795978420758</v>
      </c>
      <c r="H320" s="3">
        <f ca="1"/>
        <v>188.65324868296642</v>
      </c>
      <c r="I320" s="3">
        <f ca="1"/>
        <v>116.96891191709834</v>
      </c>
      <c r="J320" s="3">
        <f ca="1"/>
        <v>202.09953343701423</v>
      </c>
      <c r="K320" s="3">
        <f ca="1"/>
        <v>409.58794292127664</v>
      </c>
      <c r="L320" s="3">
        <f ca="1"/>
        <v>183.69248275371592</v>
      </c>
      <c r="M320" s="3">
        <f ca="1"/>
        <v>116.12917398945537</v>
      </c>
      <c r="N320" s="3">
        <f ca="1"/>
        <v>95.080937323309286</v>
      </c>
      <c r="O320" s="3">
        <f ca="1"/>
        <v>168.90709156193915</v>
      </c>
      <c r="P320" s="3">
        <f ca="1"/>
        <v>174.42190500041715</v>
      </c>
    </row>
    <row r="321" spans="1:16" x14ac:dyDescent="0.25">
      <c r="A321" vm="4641">
        <f ca="1"/>
        <v>45390</v>
      </c>
      <c r="B321" s="3">
        <f ca="1"/>
        <v>194.2247052371815</v>
      </c>
      <c r="C321" s="3">
        <f ca="1"/>
        <v>170.30176277263229</v>
      </c>
      <c r="D321" s="3">
        <f ca="1"/>
        <v>94.535345512311366</v>
      </c>
      <c r="E321" s="3">
        <f ca="1"/>
        <v>115.03394762366622</v>
      </c>
      <c r="F321" s="3">
        <f ca="1"/>
        <v>102.98871808405356</v>
      </c>
      <c r="G321" s="3">
        <f ca="1"/>
        <v>90.877881314369759</v>
      </c>
      <c r="H321" s="3">
        <f ca="1"/>
        <v>190.94961502093753</v>
      </c>
      <c r="I321" s="3">
        <f ca="1"/>
        <v>117.55181347150248</v>
      </c>
      <c r="J321" s="3">
        <f ca="1"/>
        <v>201.01088646967366</v>
      </c>
      <c r="K321" s="3">
        <f ca="1"/>
        <v>422.75132275132313</v>
      </c>
      <c r="L321" s="3">
        <f ca="1"/>
        <v>187.18441078159441</v>
      </c>
      <c r="M321" s="3">
        <f ca="1"/>
        <v>116.70913884007048</v>
      </c>
      <c r="N321" s="3">
        <f ca="1"/>
        <v>95.361547965572598</v>
      </c>
      <c r="O321" s="3">
        <f ca="1"/>
        <v>171.11759425493733</v>
      </c>
      <c r="P321" s="3">
        <f ca="1"/>
        <v>177.61081893313275</v>
      </c>
    </row>
    <row r="322" spans="1:16" x14ac:dyDescent="0.25">
      <c r="A322" vm="4654">
        <f ca="1"/>
        <v>45391</v>
      </c>
      <c r="B322" s="3">
        <f ca="1"/>
        <v>193.9710721140666</v>
      </c>
      <c r="C322" s="3">
        <f ca="1"/>
        <v>170.94199496350683</v>
      </c>
      <c r="D322" s="3">
        <f ca="1"/>
        <v>94.154090548054029</v>
      </c>
      <c r="E322" s="3">
        <f ca="1"/>
        <v>114.58670115314139</v>
      </c>
      <c r="F322" s="3">
        <f ca="1"/>
        <v>102.9491324140661</v>
      </c>
      <c r="G322" s="3">
        <f ca="1"/>
        <v>90.853359489946016</v>
      </c>
      <c r="H322" s="3">
        <f ca="1"/>
        <v>192.88126435228966</v>
      </c>
      <c r="I322" s="3">
        <f ca="1"/>
        <v>116.7422279792745</v>
      </c>
      <c r="J322" s="3">
        <f ca="1"/>
        <v>203.57698289269075</v>
      </c>
      <c r="K322" s="3">
        <f ca="1"/>
        <v>416.26583293249996</v>
      </c>
      <c r="L322" s="3">
        <f ca="1"/>
        <v>186.51589502880302</v>
      </c>
      <c r="M322" s="3">
        <f ca="1"/>
        <v>116.87170474516715</v>
      </c>
      <c r="N322" s="3">
        <f ca="1"/>
        <v>94.733315184386072</v>
      </c>
      <c r="O322" s="3">
        <f ca="1"/>
        <v>173.75448833034127</v>
      </c>
      <c r="P322" s="3">
        <f ca="1"/>
        <v>177.22263961933359</v>
      </c>
    </row>
    <row r="323" spans="1:16" x14ac:dyDescent="0.25">
      <c r="A323" vm="4667">
        <f ca="1"/>
        <v>45392</v>
      </c>
      <c r="B323" s="3">
        <f ca="1"/>
        <v>192.40128873046365</v>
      </c>
      <c r="C323" s="3">
        <f ca="1"/>
        <v>167.37803576763844</v>
      </c>
      <c r="D323" s="3">
        <f ca="1"/>
        <v>94.868943606036552</v>
      </c>
      <c r="E323" s="3">
        <f ca="1"/>
        <v>115.70212307360694</v>
      </c>
      <c r="F323" s="3">
        <f ca="1"/>
        <v>103.3581843372699</v>
      </c>
      <c r="G323" s="3">
        <f ca="1"/>
        <v>91.123099558607137</v>
      </c>
      <c r="H323" s="3">
        <f ca="1"/>
        <v>196.4068620829394</v>
      </c>
      <c r="I323" s="3">
        <f ca="1"/>
        <v>116.41839378238332</v>
      </c>
      <c r="J323" s="3">
        <f ca="1"/>
        <v>198.91135303265963</v>
      </c>
      <c r="K323" s="3">
        <f ca="1"/>
        <v>414.38191438191473</v>
      </c>
      <c r="L323" s="3">
        <f ca="1"/>
        <v>182.34833937842251</v>
      </c>
      <c r="M323" s="3">
        <f ca="1"/>
        <v>115.54042179261883</v>
      </c>
      <c r="N323" s="3">
        <f ca="1"/>
        <v>93.726048625217018</v>
      </c>
      <c r="O323" s="3">
        <f ca="1"/>
        <v>175.71813285457827</v>
      </c>
      <c r="P323" s="3">
        <f ca="1"/>
        <v>177.92804073795787</v>
      </c>
    </row>
    <row r="324" spans="1:16" x14ac:dyDescent="0.25">
      <c r="A324" vm="4681">
        <f ca="1"/>
        <v>45393</v>
      </c>
      <c r="B324" s="3">
        <f ca="1"/>
        <v>190.35165889772441</v>
      </c>
      <c r="C324" s="3">
        <f ca="1"/>
        <v>163.42993725724534</v>
      </c>
      <c r="D324" s="3">
        <f ca="1"/>
        <v>93.598093725178728</v>
      </c>
      <c r="E324" s="3">
        <f ca="1"/>
        <v>112.73305313072517</v>
      </c>
      <c r="F324" s="3">
        <f ca="1"/>
        <v>103.7408458138154</v>
      </c>
      <c r="G324" s="3">
        <f ca="1"/>
        <v>90.289357528200085</v>
      </c>
      <c r="H324" s="3">
        <f ca="1"/>
        <v>197.51452114007839</v>
      </c>
      <c r="I324" s="3">
        <f ca="1"/>
        <v>114.66968911917087</v>
      </c>
      <c r="J324" s="3">
        <f ca="1"/>
        <v>199.06687402799403</v>
      </c>
      <c r="K324" s="3">
        <f ca="1"/>
        <v>416.73080006413386</v>
      </c>
      <c r="L324" s="3">
        <f ca="1"/>
        <v>180.85484673920769</v>
      </c>
      <c r="M324" s="3">
        <f ca="1"/>
        <v>116.39718804920933</v>
      </c>
      <c r="N324" s="3">
        <f ca="1"/>
        <v>94.593009863254423</v>
      </c>
      <c r="O324" s="3">
        <f ca="1"/>
        <v>175.20197486535025</v>
      </c>
      <c r="P324" s="3">
        <f ca="1"/>
        <v>176.66750146088967</v>
      </c>
    </row>
    <row r="325" spans="1:16" x14ac:dyDescent="0.25">
      <c r="A325" vm="4694">
        <f ca="1"/>
        <v>45394</v>
      </c>
      <c r="B325" s="3">
        <f ca="1"/>
        <v>190.49561283246527</v>
      </c>
      <c r="C325" s="3">
        <f ca="1"/>
        <v>161.18485637457857</v>
      </c>
      <c r="D325" s="3">
        <f ca="1"/>
        <v>93.804606830818116</v>
      </c>
      <c r="E325" s="3">
        <f ca="1"/>
        <v>111.15421920465555</v>
      </c>
      <c r="F325" s="3">
        <f ca="1"/>
        <v>102.81718018077456</v>
      </c>
      <c r="G325" s="3">
        <f ca="1"/>
        <v>89.700833742030383</v>
      </c>
      <c r="H325" s="3">
        <f ca="1"/>
        <v>198.83830879373232</v>
      </c>
      <c r="I325" s="3">
        <f ca="1"/>
        <v>114.73445595854911</v>
      </c>
      <c r="J325" s="3">
        <f ca="1"/>
        <v>198.60031104199089</v>
      </c>
      <c r="K325" s="3">
        <f ca="1"/>
        <v>419.40035273368653</v>
      </c>
      <c r="L325" s="3">
        <f ca="1"/>
        <v>183.48623853211004</v>
      </c>
      <c r="M325" s="3">
        <f ca="1"/>
        <v>117.89982425307575</v>
      </c>
      <c r="N325" s="3">
        <f ca="1"/>
        <v>94.720750528762352</v>
      </c>
      <c r="O325" s="3">
        <f ca="1"/>
        <v>178.87118491921024</v>
      </c>
      <c r="P325" s="3">
        <f ca="1"/>
        <v>178.61674597211763</v>
      </c>
    </row>
    <row r="326" spans="1:16" x14ac:dyDescent="0.25">
      <c r="A326" vm="4708">
        <f ca="1"/>
        <v>45397</v>
      </c>
      <c r="B326" s="3">
        <f ca="1"/>
        <v>188.62078420619713</v>
      </c>
      <c r="C326" s="3">
        <f ca="1"/>
        <v>159.26415980195489</v>
      </c>
      <c r="D326" s="3">
        <f ca="1"/>
        <v>92.581413820492472</v>
      </c>
      <c r="E326" s="3">
        <f ca="1"/>
        <v>109.9256385386355</v>
      </c>
      <c r="F326" s="3">
        <f ca="1"/>
        <v>102.48070198588111</v>
      </c>
      <c r="G326" s="3">
        <f ca="1"/>
        <v>88.131436978911211</v>
      </c>
      <c r="H326" s="3">
        <f ca="1"/>
        <v>192.51654734567074</v>
      </c>
      <c r="I326" s="3">
        <f ca="1"/>
        <v>114.44300518134705</v>
      </c>
      <c r="J326" s="3">
        <f ca="1"/>
        <v>196.50077760497689</v>
      </c>
      <c r="K326" s="3">
        <f ca="1"/>
        <v>410.37357704024413</v>
      </c>
      <c r="L326" s="3">
        <f ca="1"/>
        <v>181.13220965791902</v>
      </c>
      <c r="M326" s="3">
        <f ca="1"/>
        <v>115.21968365553622</v>
      </c>
      <c r="N326" s="3">
        <f ca="1"/>
        <v>94.318681548802971</v>
      </c>
      <c r="O326" s="3">
        <f ca="1"/>
        <v>176.98608617594272</v>
      </c>
      <c r="P326" s="3">
        <f ca="1"/>
        <v>176.09984138909732</v>
      </c>
    </row>
    <row r="327" spans="1:16" x14ac:dyDescent="0.25">
      <c r="A327" vm="4721">
        <f ca="1"/>
        <v>45398</v>
      </c>
      <c r="B327" s="3">
        <f ca="1"/>
        <v>186.23868933369917</v>
      </c>
      <c r="C327" s="3">
        <f ca="1"/>
        <v>159.25562337274323</v>
      </c>
      <c r="D327" s="3">
        <f ca="1"/>
        <v>92.359015091342357</v>
      </c>
      <c r="E327" s="3">
        <f ca="1"/>
        <v>108.42224377626887</v>
      </c>
      <c r="F327" s="3">
        <f ca="1"/>
        <v>102.55987332585603</v>
      </c>
      <c r="G327" s="3">
        <f ca="1"/>
        <v>89.038744482589493</v>
      </c>
      <c r="H327" s="3">
        <f ca="1"/>
        <v>189.30163447251118</v>
      </c>
      <c r="I327" s="3">
        <f ca="1"/>
        <v>113.79533678756466</v>
      </c>
      <c r="J327" s="3">
        <f ca="1"/>
        <v>189.42457231726306</v>
      </c>
      <c r="K327" s="3">
        <f ca="1"/>
        <v>401.01811768478478</v>
      </c>
      <c r="L327" s="3">
        <f ca="1"/>
        <v>177.00732522580182</v>
      </c>
      <c r="M327" s="3">
        <f ca="1"/>
        <v>113.58523725834814</v>
      </c>
      <c r="N327" s="3">
        <f ca="1"/>
        <v>94.879902833329595</v>
      </c>
      <c r="O327" s="3">
        <f ca="1"/>
        <v>173.76570915619408</v>
      </c>
      <c r="P327" s="3">
        <f ca="1"/>
        <v>172.6521412471823</v>
      </c>
    </row>
    <row r="328" spans="1:16" x14ac:dyDescent="0.25">
      <c r="A328" vm="4735">
        <f ca="1"/>
        <v>45399</v>
      </c>
      <c r="B328" s="3">
        <f ca="1"/>
        <v>186.50260488072414</v>
      </c>
      <c r="C328" s="3">
        <f ca="1"/>
        <v>159.73366340859621</v>
      </c>
      <c r="D328" s="3">
        <f ca="1"/>
        <v>92.231930103256573</v>
      </c>
      <c r="E328" s="3">
        <f ca="1"/>
        <v>107.23677120379338</v>
      </c>
      <c r="F328" s="3">
        <f ca="1"/>
        <v>102.8897539090849</v>
      </c>
      <c r="G328" s="3">
        <f ca="1"/>
        <v>89.725355566454141</v>
      </c>
      <c r="H328" s="3">
        <f ca="1"/>
        <v>188.84236120491698</v>
      </c>
      <c r="I328" s="3">
        <f ca="1"/>
        <v>112.8238341968911</v>
      </c>
      <c r="J328" s="3">
        <f ca="1"/>
        <v>187.71384136858501</v>
      </c>
      <c r="K328" s="3">
        <f ca="1"/>
        <v>400.64133397466776</v>
      </c>
      <c r="L328" s="3">
        <f ca="1"/>
        <v>176.8650878315909</v>
      </c>
      <c r="M328" s="3">
        <f ca="1"/>
        <v>113.26010544815482</v>
      </c>
      <c r="N328" s="3">
        <f ca="1"/>
        <v>95.137478273616068</v>
      </c>
      <c r="O328" s="3">
        <f ca="1"/>
        <v>173.24955116696606</v>
      </c>
      <c r="P328" s="3">
        <f ca="1"/>
        <v>173.04449453209756</v>
      </c>
    </row>
    <row r="329" spans="1:16" x14ac:dyDescent="0.25">
      <c r="A329" vm="4747">
        <f ca="1"/>
        <v>45400</v>
      </c>
      <c r="B329" s="3">
        <f ca="1"/>
        <v>185.27899643542665</v>
      </c>
      <c r="C329" s="3">
        <f ca="1"/>
        <v>157.4288275214478</v>
      </c>
      <c r="D329" s="3">
        <f ca="1"/>
        <v>92.946783161239097</v>
      </c>
      <c r="E329" s="3">
        <f ca="1"/>
        <v>107.89955814204104</v>
      </c>
      <c r="F329" s="3">
        <f ca="1"/>
        <v>103.55611268720725</v>
      </c>
      <c r="G329" s="3">
        <f ca="1"/>
        <v>90.485532123589977</v>
      </c>
      <c r="H329" s="3">
        <f ca="1"/>
        <v>187.80224233418889</v>
      </c>
      <c r="I329" s="3">
        <f ca="1"/>
        <v>110.62176165803098</v>
      </c>
      <c r="J329" s="3">
        <f ca="1"/>
        <v>181.25972006220863</v>
      </c>
      <c r="K329" s="3">
        <f ca="1"/>
        <v>396.16001282667997</v>
      </c>
      <c r="L329" s="3">
        <f ca="1"/>
        <v>174.9235474006116</v>
      </c>
      <c r="M329" s="3">
        <f ca="1"/>
        <v>113.05360281195097</v>
      </c>
      <c r="N329" s="3">
        <f ca="1"/>
        <v>95.501853286704261</v>
      </c>
      <c r="O329" s="3">
        <f ca="1"/>
        <v>174.4501795332138</v>
      </c>
      <c r="P329" s="3">
        <f ca="1"/>
        <v>171.90082644628072</v>
      </c>
    </row>
    <row r="330" spans="1:16" x14ac:dyDescent="0.25">
      <c r="A330" vm="4759">
        <f ca="1"/>
        <v>45401</v>
      </c>
      <c r="B330" s="3">
        <f ca="1"/>
        <v>184.4289827255281</v>
      </c>
      <c r="C330" s="3">
        <f ca="1"/>
        <v>156.81847283281408</v>
      </c>
      <c r="D330" s="3">
        <f ca="1"/>
        <v>93.582208101668002</v>
      </c>
      <c r="E330" s="3">
        <f ca="1"/>
        <v>108.20670330854604</v>
      </c>
      <c r="F330" s="3">
        <f ca="1"/>
        <v>103.77383387213828</v>
      </c>
      <c r="G330" s="3">
        <f ca="1"/>
        <v>91.000490436488448</v>
      </c>
      <c r="H330" s="3">
        <f ca="1"/>
        <v>178.67080913143326</v>
      </c>
      <c r="I330" s="3">
        <f ca="1"/>
        <v>111.36658031088074</v>
      </c>
      <c r="J330" s="3">
        <f ca="1"/>
        <v>179.47122861586337</v>
      </c>
      <c r="K330" s="3">
        <f ca="1"/>
        <v>402.27673561006941</v>
      </c>
      <c r="L330" s="3">
        <f ca="1"/>
        <v>174.72441504871628</v>
      </c>
      <c r="M330" s="3">
        <f ca="1"/>
        <v>113.65553602811967</v>
      </c>
      <c r="N330" s="3">
        <f ca="1"/>
        <v>95.510229723786736</v>
      </c>
      <c r="O330" s="3">
        <f ca="1"/>
        <v>175.05610412926407</v>
      </c>
      <c r="P330" s="3">
        <f ca="1"/>
        <v>168.74113031137796</v>
      </c>
    </row>
    <row r="331" spans="1:16" x14ac:dyDescent="0.25">
      <c r="A331" vm="4771">
        <f ca="1"/>
        <v>45404</v>
      </c>
      <c r="B331" s="3">
        <f ca="1"/>
        <v>183.24993145050752</v>
      </c>
      <c r="C331" s="3">
        <f ca="1"/>
        <v>156.81847283281408</v>
      </c>
      <c r="D331" s="3">
        <f ca="1"/>
        <v>95.583796664019076</v>
      </c>
      <c r="E331" s="3">
        <f ca="1"/>
        <v>107.50619678844689</v>
      </c>
      <c r="F331" s="3">
        <f ca="1"/>
        <v>104.33463086362735</v>
      </c>
      <c r="G331" s="3">
        <f ca="1"/>
        <v>92.643452672878837</v>
      </c>
      <c r="H331" s="3">
        <f ca="1"/>
        <v>172.49763609347565</v>
      </c>
      <c r="I331" s="3">
        <f ca="1"/>
        <v>111.20466321243515</v>
      </c>
      <c r="J331" s="3">
        <f ca="1"/>
        <v>185.84758942457253</v>
      </c>
      <c r="K331" s="3">
        <f ca="1"/>
        <v>385.65816899150275</v>
      </c>
      <c r="L331" s="3">
        <f ca="1"/>
        <v>173.00334257876392</v>
      </c>
      <c r="M331" s="3">
        <f ca="1"/>
        <v>114.54305799648523</v>
      </c>
      <c r="N331" s="3">
        <f ca="1"/>
        <v>97.139446736330456</v>
      </c>
      <c r="O331" s="3">
        <f ca="1"/>
        <v>172.9017055655298</v>
      </c>
      <c r="P331" s="3">
        <f ca="1"/>
        <v>166.59153518657624</v>
      </c>
    </row>
    <row r="332" spans="1:16" x14ac:dyDescent="0.25">
      <c r="A332" vm="4785">
        <f ca="1"/>
        <v>45405</v>
      </c>
      <c r="B332" s="3">
        <f ca="1"/>
        <v>184.98766109130818</v>
      </c>
      <c r="C332" s="3">
        <f ca="1"/>
        <v>158.04771863929321</v>
      </c>
      <c r="D332" s="3">
        <f ca="1"/>
        <v>96.187450357426542</v>
      </c>
      <c r="E332" s="3">
        <f ca="1"/>
        <v>108.25519991378367</v>
      </c>
      <c r="F332" s="3">
        <f ca="1"/>
        <v>105.91805766312594</v>
      </c>
      <c r="G332" s="3">
        <f ca="1"/>
        <v>93.550760176557105</v>
      </c>
      <c r="H332" s="3">
        <f ca="1"/>
        <v>175.26678373632316</v>
      </c>
      <c r="I332" s="3">
        <f ca="1"/>
        <v>112.11139896373048</v>
      </c>
      <c r="J332" s="3">
        <f ca="1"/>
        <v>183.12597200622105</v>
      </c>
      <c r="K332" s="3">
        <f ca="1"/>
        <v>386.18726952060331</v>
      </c>
      <c r="L332" s="3">
        <f ca="1"/>
        <v>174.63907261218972</v>
      </c>
      <c r="M332" s="3">
        <f ca="1"/>
        <v>114.12126537785606</v>
      </c>
      <c r="N332" s="3">
        <f ca="1"/>
        <v>96.60754298159253</v>
      </c>
      <c r="O332" s="3">
        <f ca="1"/>
        <v>175.35906642728921</v>
      </c>
      <c r="P332" s="3">
        <f ca="1"/>
        <v>167.35954587194226</v>
      </c>
    </row>
    <row r="333" spans="1:16" x14ac:dyDescent="0.25">
      <c r="A333" vm="4798">
        <f ca="1"/>
        <v>45406</v>
      </c>
      <c r="B333" s="3">
        <f ca="1"/>
        <v>188.64820400329063</v>
      </c>
      <c r="C333" s="3">
        <f ca="1"/>
        <v>161.90618464296386</v>
      </c>
      <c r="D333" s="3">
        <f ca="1"/>
        <v>96.330420969023038</v>
      </c>
      <c r="E333" s="3">
        <f ca="1"/>
        <v>110.99795236555649</v>
      </c>
      <c r="F333" s="3">
        <f ca="1"/>
        <v>106.55142838292537</v>
      </c>
      <c r="G333" s="3">
        <f ca="1"/>
        <v>93.354585581167214</v>
      </c>
      <c r="H333" s="3">
        <f ca="1"/>
        <v>180.2377414561665</v>
      </c>
      <c r="I333" s="3">
        <f ca="1"/>
        <v>112.43523316062169</v>
      </c>
      <c r="J333" s="3">
        <f ca="1"/>
        <v>185.92534992223972</v>
      </c>
      <c r="K333" s="3">
        <f ca="1"/>
        <v>397.70723104056486</v>
      </c>
      <c r="L333" s="3">
        <f ca="1"/>
        <v>179.1835573572292</v>
      </c>
      <c r="M333" s="3">
        <f ca="1"/>
        <v>114.96485061511443</v>
      </c>
      <c r="N333" s="3">
        <f ca="1"/>
        <v>96.345779322764812</v>
      </c>
      <c r="O333" s="3">
        <f ca="1"/>
        <v>177.58078994614019</v>
      </c>
      <c r="P333" s="3">
        <f ca="1"/>
        <v>170.1185407796975</v>
      </c>
    </row>
    <row r="334" spans="1:16" x14ac:dyDescent="0.25">
      <c r="A334" vm="4812">
        <f ca="1"/>
        <v>45407</v>
      </c>
      <c r="B334" s="3">
        <f ca="1"/>
        <v>187.26007677543214</v>
      </c>
      <c r="C334" s="3">
        <f ca="1"/>
        <v>160.18609415681422</v>
      </c>
      <c r="D334" s="3">
        <f ca="1"/>
        <v>97.776012708498811</v>
      </c>
      <c r="E334" s="3">
        <f ca="1"/>
        <v>109.27901713546704</v>
      </c>
      <c r="F334" s="3">
        <f ca="1"/>
        <v>107.27716566602889</v>
      </c>
      <c r="G334" s="3">
        <f ca="1"/>
        <v>94.580676802354063</v>
      </c>
      <c r="H334" s="3">
        <f ca="1"/>
        <v>179.61637174118607</v>
      </c>
      <c r="I334" s="3">
        <f ca="1"/>
        <v>109.0349740932642</v>
      </c>
      <c r="J334" s="3">
        <f ca="1"/>
        <v>186.31415241057562</v>
      </c>
      <c r="K334" s="3">
        <f ca="1"/>
        <v>395.62289562289607</v>
      </c>
      <c r="L334" s="3">
        <f ca="1"/>
        <v>180.05831733162648</v>
      </c>
      <c r="M334" s="3">
        <f ca="1"/>
        <v>114.91652021089649</v>
      </c>
      <c r="N334" s="3">
        <f ca="1"/>
        <v>96.148933051326367</v>
      </c>
      <c r="O334" s="3">
        <f ca="1"/>
        <v>178.55700179533227</v>
      </c>
      <c r="P334" s="3">
        <f ca="1"/>
        <v>170.74046247599935</v>
      </c>
    </row>
    <row r="335" spans="1:16" x14ac:dyDescent="0.25">
      <c r="A335" vm="4826">
        <f ca="1"/>
        <v>45408</v>
      </c>
      <c r="B335" s="3">
        <f ca="1"/>
        <v>188.29860159034851</v>
      </c>
      <c r="C335" s="3">
        <f ca="1"/>
        <v>163.05860258653806</v>
      </c>
      <c r="D335" s="3">
        <f ca="1"/>
        <v>98.077839555202544</v>
      </c>
      <c r="E335" s="3">
        <f ca="1"/>
        <v>108.60006466214016</v>
      </c>
      <c r="F335" s="3">
        <f ca="1"/>
        <v>107.24417760770601</v>
      </c>
      <c r="G335" s="3">
        <f ca="1"/>
        <v>94.090240313879306</v>
      </c>
      <c r="H335" s="3">
        <f ca="1"/>
        <v>184.49277320005413</v>
      </c>
      <c r="I335" s="3">
        <f ca="1"/>
        <v>110.20077720207249</v>
      </c>
      <c r="J335" s="3">
        <f ca="1"/>
        <v>181.88180404354605</v>
      </c>
      <c r="K335" s="3">
        <f ca="1"/>
        <v>353.83998717332088</v>
      </c>
      <c r="L335" s="3">
        <f ca="1"/>
        <v>181.4878031434464</v>
      </c>
      <c r="M335" s="3">
        <f ca="1"/>
        <v>114.986818980668</v>
      </c>
      <c r="N335" s="3">
        <f ca="1"/>
        <v>97.330010679957027</v>
      </c>
      <c r="O335" s="3">
        <f ca="1"/>
        <v>175.04488330341127</v>
      </c>
      <c r="P335" s="3">
        <f ca="1"/>
        <v>166.55814341764724</v>
      </c>
    </row>
    <row r="336" spans="1:16" x14ac:dyDescent="0.25">
      <c r="A336" vm="4839">
        <f ca="1"/>
        <v>45411</v>
      </c>
      <c r="B336" s="3">
        <f ca="1"/>
        <v>189.75870578557746</v>
      </c>
      <c r="C336" s="3">
        <f ca="1"/>
        <v>170.96760425114178</v>
      </c>
      <c r="D336" s="3">
        <f ca="1"/>
        <v>98.077839555202544</v>
      </c>
      <c r="E336" s="3">
        <f ca="1"/>
        <v>109.87175342170475</v>
      </c>
      <c r="F336" s="3">
        <f ca="1"/>
        <v>106.41287853796925</v>
      </c>
      <c r="G336" s="3">
        <f ca="1"/>
        <v>93.57528200098082</v>
      </c>
      <c r="H336" s="3">
        <f ca="1"/>
        <v>186.81615561258957</v>
      </c>
      <c r="I336" s="3">
        <f ca="1"/>
        <v>110.07124352331601</v>
      </c>
      <c r="J336" s="3">
        <f ca="1"/>
        <v>187.325038880249</v>
      </c>
      <c r="K336" s="3">
        <f ca="1"/>
        <v>355.37117203783907</v>
      </c>
      <c r="L336" s="3">
        <f ca="1"/>
        <v>186.08918284617027</v>
      </c>
      <c r="M336" s="3">
        <f ca="1"/>
        <v>114.25307557117769</v>
      </c>
      <c r="N336" s="3">
        <f ca="1"/>
        <v>96.599166544510055</v>
      </c>
      <c r="O336" s="3">
        <f ca="1"/>
        <v>192.94210053859976</v>
      </c>
      <c r="P336" s="3">
        <f ca="1"/>
        <v>169.59679439018251</v>
      </c>
    </row>
    <row r="337" spans="1:16" x14ac:dyDescent="0.25">
      <c r="A337" vm="4853">
        <f ca="1"/>
        <v>45412</v>
      </c>
      <c r="B337" s="3">
        <f ca="1"/>
        <v>190.03290375651252</v>
      </c>
      <c r="C337" s="3">
        <f ca="1"/>
        <v>169.44811985146617</v>
      </c>
      <c r="D337" s="3">
        <f ca="1"/>
        <v>98.554408260524227</v>
      </c>
      <c r="E337" s="3">
        <f ca="1"/>
        <v>110.69080719905145</v>
      </c>
      <c r="F337" s="3">
        <f ca="1"/>
        <v>106.65699016955861</v>
      </c>
      <c r="G337" s="3">
        <f ca="1"/>
        <v>94.77685139774394</v>
      </c>
      <c r="H337" s="3">
        <f ca="1"/>
        <v>187.0863163582332</v>
      </c>
      <c r="I337" s="3">
        <f ca="1"/>
        <v>109.94170984455954</v>
      </c>
      <c r="J337" s="3">
        <f ca="1"/>
        <v>190.97978227060671</v>
      </c>
      <c r="K337" s="3">
        <f ca="1"/>
        <v>346.8173801507138</v>
      </c>
      <c r="L337" s="3">
        <f ca="1"/>
        <v>186.57278998648744</v>
      </c>
      <c r="M337" s="3">
        <f ca="1"/>
        <v>114.75834797891055</v>
      </c>
      <c r="N337" s="3">
        <f ca="1"/>
        <v>97.910078947919246</v>
      </c>
      <c r="O337" s="3">
        <f ca="1"/>
        <v>186.43402154398578</v>
      </c>
      <c r="P337" s="3">
        <f ca="1"/>
        <v>167.89798814592172</v>
      </c>
    </row>
    <row r="338" spans="1:16" x14ac:dyDescent="0.25">
      <c r="A338" vm="4866">
        <f ca="1"/>
        <v>45413</v>
      </c>
      <c r="B338" s="3">
        <f ca="1"/>
        <v>186.76652042774913</v>
      </c>
      <c r="C338" s="3">
        <f ca="1"/>
        <v>165.71343207136459</v>
      </c>
      <c r="D338" s="3">
        <f ca="1"/>
        <v>98.12549642573471</v>
      </c>
      <c r="E338" s="3">
        <f ca="1"/>
        <v>110.22739519344741</v>
      </c>
      <c r="F338" s="3">
        <f ca="1"/>
        <v>107.67302236590353</v>
      </c>
      <c r="G338" s="3">
        <f ca="1"/>
        <v>94.678764100048994</v>
      </c>
      <c r="H338" s="3">
        <f ca="1"/>
        <v>185.51938403349999</v>
      </c>
      <c r="I338" s="3">
        <f ca="1"/>
        <v>107.57772020725382</v>
      </c>
      <c r="J338" s="3">
        <f ca="1"/>
        <v>198.52255054432368</v>
      </c>
      <c r="K338" s="3">
        <f ca="1"/>
        <v>344.85329485329521</v>
      </c>
      <c r="L338" s="3">
        <f ca="1"/>
        <v>183.88450323590072</v>
      </c>
      <c r="M338" s="3">
        <f ca="1"/>
        <v>111.36203866432355</v>
      </c>
      <c r="N338" s="3">
        <f ca="1"/>
        <v>97.361422319016356</v>
      </c>
      <c r="O338" s="3">
        <f ca="1"/>
        <v>182.65260323159799</v>
      </c>
      <c r="P338" s="3">
        <f ca="1"/>
        <v>162.50521746389484</v>
      </c>
    </row>
    <row r="339" spans="1:16" x14ac:dyDescent="0.25">
      <c r="A339" vm="4877">
        <f ca="1"/>
        <v>45414</v>
      </c>
      <c r="B339" s="3">
        <f ca="1"/>
        <v>186.09816287359504</v>
      </c>
      <c r="C339" s="3">
        <f ca="1"/>
        <v>164.40309018737466</v>
      </c>
      <c r="D339" s="3">
        <f ca="1"/>
        <v>98.379666401906263</v>
      </c>
      <c r="E339" s="3">
        <f ca="1"/>
        <v>110.48604375471477</v>
      </c>
      <c r="F339" s="3">
        <f ca="1"/>
        <v>107.80497459919508</v>
      </c>
      <c r="G339" s="3">
        <f ca="1"/>
        <v>88.965179009318248</v>
      </c>
      <c r="H339" s="3">
        <f ca="1"/>
        <v>182.27745508577607</v>
      </c>
      <c r="I339" s="3">
        <f ca="1"/>
        <v>107.5129533678756</v>
      </c>
      <c r="J339" s="3">
        <f ca="1"/>
        <v>201.39968895800951</v>
      </c>
      <c r="K339" s="3">
        <f ca="1"/>
        <v>352.08433541766914</v>
      </c>
      <c r="L339" s="3">
        <f ca="1"/>
        <v>182.07097645971126</v>
      </c>
      <c r="M339" s="3">
        <f ca="1"/>
        <v>111.57732864674885</v>
      </c>
      <c r="N339" s="3">
        <f ca="1"/>
        <v>96.691307352417397</v>
      </c>
      <c r="O339" s="3">
        <f ca="1"/>
        <v>183.86445242369854</v>
      </c>
      <c r="P339" s="3">
        <f ca="1"/>
        <v>164.84681526003811</v>
      </c>
    </row>
    <row r="340" spans="1:16" x14ac:dyDescent="0.25">
      <c r="A340" vm="4892">
        <f ca="1"/>
        <v>45415</v>
      </c>
      <c r="B340" s="3">
        <f ca="1"/>
        <v>181.88922401974253</v>
      </c>
      <c r="C340" s="3">
        <f ca="1"/>
        <v>168.62435443254091</v>
      </c>
      <c r="D340" s="3">
        <f ca="1"/>
        <v>98.474980142970608</v>
      </c>
      <c r="E340" s="3">
        <f ca="1"/>
        <v>111.13266515788322</v>
      </c>
      <c r="F340" s="3">
        <f ca="1"/>
        <v>108.09526951243649</v>
      </c>
      <c r="G340" s="3">
        <f ca="1"/>
        <v>90.044139283962679</v>
      </c>
      <c r="H340" s="3">
        <f ca="1"/>
        <v>184.01999189517767</v>
      </c>
      <c r="I340" s="3">
        <f ca="1"/>
        <v>108.711139896373</v>
      </c>
      <c r="J340" s="3">
        <f ca="1"/>
        <v>206.29860031104221</v>
      </c>
      <c r="K340" s="3">
        <f ca="1"/>
        <v>354.08048741382117</v>
      </c>
      <c r="L340" s="3">
        <f ca="1"/>
        <v>181.35267761894602</v>
      </c>
      <c r="M340" s="3">
        <f ca="1"/>
        <v>111.63444639718823</v>
      </c>
      <c r="N340" s="3">
        <f ca="1"/>
        <v>96.999141415198793</v>
      </c>
      <c r="O340" s="3">
        <f ca="1"/>
        <v>186.96140035906657</v>
      </c>
      <c r="P340" s="3">
        <f ca="1"/>
        <v>166.05726688371286</v>
      </c>
    </row>
    <row r="341" spans="1:16" x14ac:dyDescent="0.25">
      <c r="A341" vm="4906">
        <f ca="1"/>
        <v>45418</v>
      </c>
      <c r="B341" s="3">
        <f ca="1"/>
        <v>183.77433506992077</v>
      </c>
      <c r="C341" s="3">
        <f ca="1"/>
        <v>170.07554739852324</v>
      </c>
      <c r="D341" s="3">
        <f ca="1"/>
        <v>98.760921366163629</v>
      </c>
      <c r="E341" s="3">
        <f ca="1"/>
        <v>111.98405000538833</v>
      </c>
      <c r="F341" s="3">
        <f ca="1"/>
        <v>108.50432143564029</v>
      </c>
      <c r="G341" s="3">
        <f ca="1"/>
        <v>89.13683178028441</v>
      </c>
      <c r="H341" s="3">
        <f ca="1"/>
        <v>191.21977576658119</v>
      </c>
      <c r="I341" s="3">
        <f ca="1"/>
        <v>109.61787564766834</v>
      </c>
      <c r="J341" s="3">
        <f ca="1"/>
        <v>202.72161741835168</v>
      </c>
      <c r="K341" s="3">
        <f ca="1"/>
        <v>362.32162898829603</v>
      </c>
      <c r="L341" s="3">
        <f ca="1"/>
        <v>182.29855629044872</v>
      </c>
      <c r="M341" s="3">
        <f ca="1"/>
        <v>112.51318101933234</v>
      </c>
      <c r="N341" s="3">
        <f ca="1"/>
        <v>96.729001319288599</v>
      </c>
      <c r="O341" s="3">
        <f ca="1"/>
        <v>187.65709156193913</v>
      </c>
      <c r="P341" s="3">
        <f ca="1"/>
        <v>169.7387094081306</v>
      </c>
    </row>
    <row r="342" spans="1:16" x14ac:dyDescent="0.25">
      <c r="A342" vm="4919">
        <f ca="1"/>
        <v>45419</v>
      </c>
      <c r="B342" s="3">
        <f ca="1"/>
        <v>188.78187551412148</v>
      </c>
      <c r="C342" s="3">
        <f ca="1"/>
        <v>173.06329762260449</v>
      </c>
      <c r="D342" s="3">
        <f ca="1"/>
        <v>99.04686258935665</v>
      </c>
      <c r="E342" s="3">
        <f ca="1"/>
        <v>112.9000969932103</v>
      </c>
      <c r="F342" s="3">
        <f ca="1"/>
        <v>108.49112621231113</v>
      </c>
      <c r="G342" s="3">
        <f ca="1"/>
        <v>87.641000490436454</v>
      </c>
      <c r="H342" s="3">
        <f ca="1"/>
        <v>192.93529650141843</v>
      </c>
      <c r="I342" s="3">
        <f ca="1"/>
        <v>109.06735751295331</v>
      </c>
      <c r="J342" s="3">
        <f ca="1"/>
        <v>199.066874027994</v>
      </c>
      <c r="K342" s="3">
        <f ca="1"/>
        <v>373.32050665384043</v>
      </c>
      <c r="L342" s="3">
        <f ca="1"/>
        <v>191.66488869923899</v>
      </c>
      <c r="M342" s="3">
        <f ca="1"/>
        <v>113.05360281195098</v>
      </c>
      <c r="N342" s="3">
        <f ca="1"/>
        <v>96.911188825832667</v>
      </c>
      <c r="O342" s="3">
        <f ca="1"/>
        <v>188.62208258527843</v>
      </c>
      <c r="P342" s="3">
        <f ca="1"/>
        <v>172.61040153602107</v>
      </c>
    </row>
    <row r="343" spans="1:16" x14ac:dyDescent="0.25">
      <c r="A343" vm="4933">
        <f ca="1"/>
        <v>45420</v>
      </c>
      <c r="B343" s="3">
        <f ca="1"/>
        <v>188.57279956128352</v>
      </c>
      <c r="C343" s="3">
        <f ca="1"/>
        <v>173.09744333945113</v>
      </c>
      <c r="D343" s="3">
        <f ca="1"/>
        <v>99.475774424146167</v>
      </c>
      <c r="E343" s="3">
        <f ca="1"/>
        <v>114.70524841038888</v>
      </c>
      <c r="F343" s="3">
        <f ca="1"/>
        <v>109.36201095203535</v>
      </c>
      <c r="G343" s="3">
        <f ca="1"/>
        <v>87.812653261402616</v>
      </c>
      <c r="H343" s="3">
        <f ca="1"/>
        <v>190.61191408888297</v>
      </c>
      <c r="I343" s="3">
        <f ca="1"/>
        <v>109.97409326424867</v>
      </c>
      <c r="J343" s="3">
        <f ca="1"/>
        <v>201.01088646967364</v>
      </c>
      <c r="K343" s="3">
        <f ca="1"/>
        <v>375.37277537277583</v>
      </c>
      <c r="L343" s="3">
        <f ca="1"/>
        <v>189.8015788350757</v>
      </c>
      <c r="M343" s="3">
        <f ca="1"/>
        <v>113.57205623901601</v>
      </c>
      <c r="N343" s="3">
        <f ca="1"/>
        <v>97.727891441375149</v>
      </c>
      <c r="O343" s="3">
        <f ca="1"/>
        <v>192.15664272890501</v>
      </c>
      <c r="P343" s="3">
        <f ca="1"/>
        <v>170.85733366725071</v>
      </c>
    </row>
    <row r="344" spans="1:16" x14ac:dyDescent="0.25">
      <c r="A344" vm="4949">
        <f ca="1"/>
        <v>45421</v>
      </c>
      <c r="B344" s="3">
        <f ca="1"/>
        <v>190.19399506443679</v>
      </c>
      <c r="C344" s="3">
        <f ca="1"/>
        <v>174.35229843356524</v>
      </c>
      <c r="D344" s="3">
        <f ca="1"/>
        <v>99.841143764892792</v>
      </c>
      <c r="E344" s="3">
        <f ca="1"/>
        <v>113.20724215971532</v>
      </c>
      <c r="F344" s="3">
        <f ca="1"/>
        <v>108.90677574717951</v>
      </c>
      <c r="G344" s="3">
        <f ca="1"/>
        <v>88.008827856792507</v>
      </c>
      <c r="H344" s="3">
        <f ca="1"/>
        <v>193.9754153721465</v>
      </c>
      <c r="I344" s="3">
        <f ca="1"/>
        <v>110.81606217616574</v>
      </c>
      <c r="J344" s="3">
        <f ca="1"/>
        <v>201.94401244167983</v>
      </c>
      <c r="K344" s="3">
        <f ca="1"/>
        <v>378.86804553471268</v>
      </c>
      <c r="L344" s="3">
        <f ca="1"/>
        <v>188.4503235900718</v>
      </c>
      <c r="M344" s="3">
        <f ca="1"/>
        <v>113.51493848857665</v>
      </c>
      <c r="N344" s="3">
        <f ca="1"/>
        <v>97.618997759302829</v>
      </c>
      <c r="O344" s="3">
        <f ca="1"/>
        <v>190.05834829443464</v>
      </c>
      <c r="P344" s="3">
        <f ca="1"/>
        <v>171.35821020118513</v>
      </c>
    </row>
    <row r="345" spans="1:16" x14ac:dyDescent="0.25">
      <c r="A345" vm="4962">
        <f ca="1"/>
        <v>45422</v>
      </c>
      <c r="B345" s="3">
        <f ca="1"/>
        <v>192.17507540444231</v>
      </c>
      <c r="C345" s="3">
        <f ca="1"/>
        <v>178.24491015408253</v>
      </c>
      <c r="D345" s="3">
        <f ca="1"/>
        <v>99.888800635424957</v>
      </c>
      <c r="E345" s="3">
        <f ca="1"/>
        <v>121.7749757516972</v>
      </c>
      <c r="F345" s="3">
        <f ca="1"/>
        <v>109.54674407864353</v>
      </c>
      <c r="G345" s="3">
        <f ca="1"/>
        <v>87.567435017165238</v>
      </c>
      <c r="H345" s="3">
        <f ca="1"/>
        <v>192.88126435228966</v>
      </c>
      <c r="I345" s="3">
        <f ca="1"/>
        <v>111.72279792746109</v>
      </c>
      <c r="J345" s="3">
        <f ca="1"/>
        <v>203.42146189735635</v>
      </c>
      <c r="K345" s="3">
        <f ca="1"/>
        <v>381.12874779541499</v>
      </c>
      <c r="L345" s="3">
        <f ca="1"/>
        <v>192.14138396984566</v>
      </c>
      <c r="M345" s="3">
        <f ca="1"/>
        <v>114.54305799648526</v>
      </c>
      <c r="N345" s="3">
        <f ca="1"/>
        <v>98.085984126651468</v>
      </c>
      <c r="O345" s="3">
        <f ca="1"/>
        <v>190.70915619389606</v>
      </c>
      <c r="P345" s="3">
        <f ca="1"/>
        <v>172.10117705985445</v>
      </c>
    </row>
    <row r="346" spans="1:16" x14ac:dyDescent="0.25">
      <c r="A346" vm="4976">
        <f ca="1"/>
        <v>45425</v>
      </c>
      <c r="B346" s="3">
        <f ca="1"/>
        <v>192.32588428845654</v>
      </c>
      <c r="C346" s="3">
        <f ca="1"/>
        <v>177.82662512271114</v>
      </c>
      <c r="D346" s="3">
        <f ca="1"/>
        <v>100.49245432883241</v>
      </c>
      <c r="E346" s="3">
        <f ca="1"/>
        <v>124.65244099579677</v>
      </c>
      <c r="F346" s="3">
        <f ca="1"/>
        <v>110.0811506234743</v>
      </c>
      <c r="G346" s="3">
        <f ca="1"/>
        <v>88.867091711623303</v>
      </c>
      <c r="H346" s="3">
        <f ca="1"/>
        <v>201.62096447386202</v>
      </c>
      <c r="I346" s="3">
        <f ca="1"/>
        <v>111.33419689119167</v>
      </c>
      <c r="J346" s="3">
        <f ca="1"/>
        <v>210.80870917573895</v>
      </c>
      <c r="K346" s="3">
        <f ca="1"/>
        <v>381.75404842071561</v>
      </c>
      <c r="L346" s="3">
        <f ca="1"/>
        <v>193.0730389019273</v>
      </c>
      <c r="M346" s="3">
        <f ca="1"/>
        <v>115.09226713532533</v>
      </c>
      <c r="N346" s="3">
        <f ca="1"/>
        <v>98.188595480911928</v>
      </c>
      <c r="O346" s="3">
        <f ca="1"/>
        <v>189.23922800718151</v>
      </c>
      <c r="P346" s="3">
        <f ca="1"/>
        <v>173.11127806995549</v>
      </c>
    </row>
    <row r="347" spans="1:16" x14ac:dyDescent="0.25">
      <c r="A347" vm="4988">
        <f ca="1"/>
        <v>45426</v>
      </c>
      <c r="B347" s="3">
        <f ca="1"/>
        <v>188.86413490540195</v>
      </c>
      <c r="C347" s="3">
        <f ca="1"/>
        <v>176.99859148918003</v>
      </c>
      <c r="D347" s="3">
        <f ca="1"/>
        <v>101.00079428117553</v>
      </c>
      <c r="E347" s="3">
        <f ca="1"/>
        <v>125.31522793404442</v>
      </c>
      <c r="F347" s="3">
        <f ca="1"/>
        <v>109.43458468034572</v>
      </c>
      <c r="G347" s="3">
        <f ca="1"/>
        <v>89.48013732221672</v>
      </c>
      <c r="H347" s="3">
        <f ca="1"/>
        <v>197.7711738484399</v>
      </c>
      <c r="I347" s="3">
        <f ca="1"/>
        <v>111.78756476683932</v>
      </c>
      <c r="J347" s="3">
        <f ca="1"/>
        <v>204.8989113530329</v>
      </c>
      <c r="K347" s="3">
        <f ca="1"/>
        <v>375.18839185505902</v>
      </c>
      <c r="L347" s="3">
        <f ca="1"/>
        <v>188.77035772704642</v>
      </c>
      <c r="M347" s="3">
        <f ca="1"/>
        <v>113.69507908611618</v>
      </c>
      <c r="N347" s="3">
        <f ca="1"/>
        <v>98.540405838376373</v>
      </c>
      <c r="O347" s="3">
        <f ca="1"/>
        <v>189.78904847396782</v>
      </c>
      <c r="P347" s="3">
        <f ca="1"/>
        <v>172.68553301611126</v>
      </c>
    </row>
    <row r="348" spans="1:16" x14ac:dyDescent="0.25">
      <c r="A348" vm="5003">
        <f ca="1"/>
        <v>45427</v>
      </c>
      <c r="B348" s="3">
        <f ca="1"/>
        <v>188.30545653962187</v>
      </c>
      <c r="C348" s="3">
        <f ca="1"/>
        <v>178.80404626744627</v>
      </c>
      <c r="D348" s="3">
        <f ca="1"/>
        <v>100.23828435266084</v>
      </c>
      <c r="E348" s="3">
        <f ca="1"/>
        <v>127.16887595646061</v>
      </c>
      <c r="F348" s="3">
        <f ca="1"/>
        <v>109.36201095203536</v>
      </c>
      <c r="G348" s="3">
        <f ca="1"/>
        <v>88.744482589504599</v>
      </c>
      <c r="H348" s="3">
        <f ca="1"/>
        <v>205.25462650276921</v>
      </c>
      <c r="I348" s="3">
        <f ca="1"/>
        <v>109.87694300518129</v>
      </c>
      <c r="J348" s="3">
        <f ca="1"/>
        <v>202.02177293934704</v>
      </c>
      <c r="K348" s="3">
        <f ca="1"/>
        <v>378.26679493346211</v>
      </c>
      <c r="L348" s="3">
        <f ca="1"/>
        <v>187.29820069696319</v>
      </c>
      <c r="M348" s="3">
        <f ca="1"/>
        <v>111.59490333919176</v>
      </c>
      <c r="N348" s="3">
        <f ca="1"/>
        <v>97.832596904906225</v>
      </c>
      <c r="O348" s="3">
        <f ca="1"/>
        <v>191.13554757630178</v>
      </c>
      <c r="P348" s="3">
        <f ca="1"/>
        <v>173.87094081308931</v>
      </c>
    </row>
    <row r="349" spans="1:16" x14ac:dyDescent="0.25">
      <c r="A349" vm="5016">
        <f ca="1"/>
        <v>45428</v>
      </c>
      <c r="B349" s="3">
        <f ca="1"/>
        <v>189.63188922402</v>
      </c>
      <c r="C349" s="3">
        <f ca="1"/>
        <v>179.84122241666304</v>
      </c>
      <c r="D349" s="3">
        <f ca="1"/>
        <v>100.28594122319302</v>
      </c>
      <c r="E349" s="3">
        <f ca="1"/>
        <v>126.87789632503483</v>
      </c>
      <c r="F349" s="3">
        <f ca="1"/>
        <v>109.85683182687868</v>
      </c>
      <c r="G349" s="3">
        <f ca="1"/>
        <v>87.910740559097547</v>
      </c>
      <c r="H349" s="3">
        <f ca="1"/>
        <v>210.15804403620163</v>
      </c>
      <c r="I349" s="3">
        <f ca="1"/>
        <v>109.58549222797923</v>
      </c>
      <c r="J349" s="3">
        <f ca="1"/>
        <v>205.4432348367032</v>
      </c>
      <c r="K349" s="3">
        <f ca="1"/>
        <v>386.03495270161994</v>
      </c>
      <c r="L349" s="3">
        <f ca="1"/>
        <v>192.58231989189954</v>
      </c>
      <c r="M349" s="3">
        <f ca="1"/>
        <v>110.84797891036925</v>
      </c>
      <c r="N349" s="3">
        <f ca="1"/>
        <v>97.183423031013476</v>
      </c>
      <c r="O349" s="3">
        <f ca="1"/>
        <v>193.57046678635561</v>
      </c>
      <c r="P349" s="3">
        <f ca="1"/>
        <v>176.59236998079945</v>
      </c>
    </row>
    <row r="350" spans="1:16" x14ac:dyDescent="0.25">
      <c r="A350" vm="5028">
        <f ca="1"/>
        <v>45429</v>
      </c>
      <c r="B350" s="3">
        <f ca="1"/>
        <v>184.90882917466436</v>
      </c>
      <c r="C350" s="3">
        <f ca="1"/>
        <v>177.1522472149899</v>
      </c>
      <c r="D350" s="3">
        <f ca="1"/>
        <v>100.58776806989675</v>
      </c>
      <c r="E350" s="3">
        <f ca="1"/>
        <v>124.32913029421253</v>
      </c>
      <c r="F350" s="3">
        <f ca="1"/>
        <v>110.74750940159664</v>
      </c>
      <c r="G350" s="3">
        <f ca="1"/>
        <v>88.450220696419763</v>
      </c>
      <c r="H350" s="3">
        <f ca="1"/>
        <v>205.63285154667034</v>
      </c>
      <c r="I350" s="3">
        <f ca="1"/>
        <v>109.8769430051813</v>
      </c>
      <c r="J350" s="3">
        <f ca="1"/>
        <v>211.50855365474362</v>
      </c>
      <c r="K350" s="3">
        <f ca="1"/>
        <v>379.37309603976325</v>
      </c>
      <c r="L350" s="3">
        <f ca="1"/>
        <v>187.62534670364832</v>
      </c>
      <c r="M350" s="3">
        <f ca="1"/>
        <v>112.21001757469263</v>
      </c>
      <c r="N350" s="3">
        <f ca="1"/>
        <v>97.340481226310104</v>
      </c>
      <c r="O350" s="3">
        <f ca="1"/>
        <v>195.44434470377035</v>
      </c>
      <c r="P350" s="3">
        <f ca="1"/>
        <v>175.7200100175304</v>
      </c>
    </row>
    <row r="351" spans="1:16" x14ac:dyDescent="0.25">
      <c r="A351" vm="5042">
        <f ca="1"/>
        <v>45432</v>
      </c>
      <c r="B351" s="3">
        <f ca="1"/>
        <v>186.83506992048285</v>
      </c>
      <c r="C351" s="3">
        <f ca="1"/>
        <v>178.25344658329414</v>
      </c>
      <c r="D351" s="3">
        <f ca="1"/>
        <v>100.1270849880858</v>
      </c>
      <c r="E351" s="3">
        <f ca="1"/>
        <v>125.38527858605433</v>
      </c>
      <c r="F351" s="3">
        <f ca="1"/>
        <v>110.60236194497593</v>
      </c>
      <c r="G351" s="3">
        <f ca="1"/>
        <v>88.278567925453601</v>
      </c>
      <c r="H351" s="3">
        <f ca="1"/>
        <v>204.88990949615032</v>
      </c>
      <c r="I351" s="3">
        <f ca="1"/>
        <v>108.54922279792743</v>
      </c>
      <c r="J351" s="3">
        <f ca="1"/>
        <v>209.72006220839836</v>
      </c>
      <c r="K351" s="3">
        <f ca="1"/>
        <v>378.31489498156219</v>
      </c>
      <c r="L351" s="3">
        <f ca="1"/>
        <v>188.03783514686003</v>
      </c>
      <c r="M351" s="3">
        <f ca="1"/>
        <v>112.22759226713552</v>
      </c>
      <c r="N351" s="3">
        <f ca="1"/>
        <v>97.62737419638529</v>
      </c>
      <c r="O351" s="3">
        <f ca="1"/>
        <v>197.5538599640935</v>
      </c>
      <c r="P351" s="3">
        <f ca="1"/>
        <v>175.39444027047304</v>
      </c>
    </row>
    <row r="352" spans="1:16" x14ac:dyDescent="0.25">
      <c r="A352" vm="5058">
        <f ca="1"/>
        <v>45433</v>
      </c>
      <c r="B352" s="3">
        <f ca="1"/>
        <v>187.82561009048561</v>
      </c>
      <c r="C352" s="3">
        <f ca="1"/>
        <v>179.188185581971</v>
      </c>
      <c r="D352" s="3">
        <f ca="1"/>
        <v>99.396346306592548</v>
      </c>
      <c r="E352" s="3">
        <f ca="1"/>
        <v>125.41760965621275</v>
      </c>
      <c r="F352" s="3">
        <f ca="1"/>
        <v>110.38464076004489</v>
      </c>
      <c r="G352" s="3">
        <f ca="1"/>
        <v>87.739087788131386</v>
      </c>
      <c r="H352" s="3">
        <f ca="1"/>
        <v>207.41591246791853</v>
      </c>
      <c r="I352" s="3">
        <f ca="1"/>
        <v>108.19300518134709</v>
      </c>
      <c r="J352" s="3">
        <f ca="1"/>
        <v>203.65474339035794</v>
      </c>
      <c r="K352" s="3">
        <f ca="1"/>
        <v>375.85377585377637</v>
      </c>
      <c r="L352" s="3">
        <f ca="1"/>
        <v>190.35630467249834</v>
      </c>
      <c r="M352" s="3">
        <f ca="1"/>
        <v>110.0878734622146</v>
      </c>
      <c r="N352" s="3">
        <f ca="1"/>
        <v>97.811655812200016</v>
      </c>
      <c r="O352" s="3">
        <f ca="1"/>
        <v>198.51885098743281</v>
      </c>
      <c r="P352" s="3">
        <f ca="1"/>
        <v>177.53568745304256</v>
      </c>
    </row>
    <row r="353" spans="1:16" x14ac:dyDescent="0.25">
      <c r="A353" vm="5073">
        <f ca="1"/>
        <v>45434</v>
      </c>
      <c r="B353" s="3">
        <f ca="1"/>
        <v>187.43830545653989</v>
      </c>
      <c r="C353" s="3">
        <f ca="1"/>
        <v>182.16739937684062</v>
      </c>
      <c r="D353" s="3">
        <f ca="1"/>
        <v>99.936457505957122</v>
      </c>
      <c r="E353" s="3">
        <f ca="1"/>
        <v>124.25907964220261</v>
      </c>
      <c r="F353" s="3">
        <f ca="1"/>
        <v>111.07079237316093</v>
      </c>
      <c r="G353" s="3">
        <f ca="1"/>
        <v>88.082393330063695</v>
      </c>
      <c r="H353" s="3">
        <f ca="1"/>
        <v>207.57800891530468</v>
      </c>
      <c r="I353" s="3">
        <f ca="1"/>
        <v>107.09196891191705</v>
      </c>
      <c r="J353" s="3">
        <f ca="1"/>
        <v>207.2317262830484</v>
      </c>
      <c r="K353" s="3">
        <f ca="1"/>
        <v>372.47875581208967</v>
      </c>
      <c r="L353" s="3">
        <f ca="1"/>
        <v>193.47841547542845</v>
      </c>
      <c r="M353" s="3">
        <f ca="1"/>
        <v>110.27240773286486</v>
      </c>
      <c r="N353" s="3">
        <f ca="1"/>
        <v>98.069231252486503</v>
      </c>
      <c r="O353" s="3">
        <f ca="1"/>
        <v>199.5623877917416</v>
      </c>
      <c r="P353" s="3">
        <f ca="1"/>
        <v>179.08005676600692</v>
      </c>
    </row>
    <row r="354" spans="1:16" x14ac:dyDescent="0.25">
      <c r="A354" vm="5086">
        <f ca="1"/>
        <v>45435</v>
      </c>
      <c r="B354" s="3">
        <f ca="1"/>
        <v>187.16410748560489</v>
      </c>
      <c r="C354" s="3">
        <f ca="1"/>
        <v>180.76742498612825</v>
      </c>
      <c r="D354" s="3">
        <f ca="1"/>
        <v>100.07942811755362</v>
      </c>
      <c r="E354" s="3">
        <f ca="1"/>
        <v>124.25907964220261</v>
      </c>
      <c r="F354" s="3">
        <f ca="1"/>
        <v>110.71452134327374</v>
      </c>
      <c r="G354" s="3">
        <f ca="1"/>
        <v>89.210397253555598</v>
      </c>
      <c r="H354" s="3">
        <f ca="1"/>
        <v>210.92800216128609</v>
      </c>
      <c r="I354" s="3">
        <f ca="1"/>
        <v>110.13601036269425</v>
      </c>
      <c r="J354" s="3">
        <f ca="1"/>
        <v>205.36547433903596</v>
      </c>
      <c r="K354" s="3">
        <f ca="1"/>
        <v>375.00400833734221</v>
      </c>
      <c r="L354" s="3">
        <f ca="1"/>
        <v>192.80278785292651</v>
      </c>
      <c r="M354" s="3">
        <f ca="1"/>
        <v>109.37609841827786</v>
      </c>
      <c r="N354" s="3">
        <f ca="1"/>
        <v>98.362406550373549</v>
      </c>
      <c r="O354" s="3">
        <f ca="1"/>
        <v>197.91292639138251</v>
      </c>
      <c r="P354" s="3">
        <f ca="1"/>
        <v>179.69780449119264</v>
      </c>
    </row>
    <row r="355" spans="1:16" x14ac:dyDescent="0.25">
      <c r="A355" vm="5097">
        <f ca="1"/>
        <v>45436</v>
      </c>
      <c r="B355" s="3">
        <f ca="1"/>
        <v>180.4805319440639</v>
      </c>
      <c r="C355" s="3">
        <f ca="1"/>
        <v>180.63084211874167</v>
      </c>
      <c r="D355" s="3">
        <f ca="1"/>
        <v>98.633836378077845</v>
      </c>
      <c r="E355" s="3">
        <f ca="1"/>
        <v>122.21683371052895</v>
      </c>
      <c r="F355" s="3">
        <f ca="1"/>
        <v>109.18387543709179</v>
      </c>
      <c r="G355" s="3">
        <f ca="1"/>
        <v>87.78813143697883</v>
      </c>
      <c r="H355" s="3">
        <f ca="1"/>
        <v>212.19775766581125</v>
      </c>
      <c r="I355" s="3">
        <f ca="1"/>
        <v>108.48445595854918</v>
      </c>
      <c r="J355" s="3">
        <f ca="1"/>
        <v>201.47744945567669</v>
      </c>
      <c r="K355" s="3">
        <f ca="1"/>
        <v>373.4006734006739</v>
      </c>
      <c r="L355" s="3">
        <f ca="1"/>
        <v>196.67875684517458</v>
      </c>
      <c r="M355" s="3">
        <f ca="1"/>
        <v>107.69771528998261</v>
      </c>
      <c r="N355" s="3">
        <f ca="1"/>
        <v>97.81165581220003</v>
      </c>
      <c r="O355" s="3">
        <f ca="1"/>
        <v>194.73743267504503</v>
      </c>
      <c r="P355" s="3">
        <f ca="1"/>
        <v>178.22856665831844</v>
      </c>
    </row>
    <row r="356" spans="1:16" x14ac:dyDescent="0.25">
      <c r="A356" vm="5111">
        <f ca="1"/>
        <v>45440</v>
      </c>
      <c r="B356" s="3">
        <f ca="1"/>
        <v>181.59788867562406</v>
      </c>
      <c r="C356" s="3">
        <f ca="1"/>
        <v>182.64543941269363</v>
      </c>
      <c r="D356" s="3">
        <f ca="1"/>
        <v>98.490865766481335</v>
      </c>
      <c r="E356" s="3">
        <f ca="1"/>
        <v>123.48852247009356</v>
      </c>
      <c r="F356" s="3">
        <f ca="1"/>
        <v>109.07831365045855</v>
      </c>
      <c r="G356" s="3">
        <f ca="1"/>
        <v>87.910740559097519</v>
      </c>
      <c r="H356" s="3">
        <f ca="1"/>
        <v>216.1285965149265</v>
      </c>
      <c r="I356" s="3">
        <f ca="1"/>
        <v>109.39119170984451</v>
      </c>
      <c r="J356" s="3">
        <f ca="1"/>
        <v>202.33281493001573</v>
      </c>
      <c r="K356" s="3">
        <f ca="1"/>
        <v>383.37341670675062</v>
      </c>
      <c r="L356" s="3">
        <f ca="1"/>
        <v>201.57172320603084</v>
      </c>
      <c r="M356" s="3">
        <f ca="1"/>
        <v>109.18717047451688</v>
      </c>
      <c r="N356" s="3">
        <f ca="1"/>
        <v>97.868196762506813</v>
      </c>
      <c r="O356" s="3">
        <f ca="1"/>
        <v>196.35323159784576</v>
      </c>
      <c r="P356" s="3">
        <f ca="1"/>
        <v>179.54754153101231</v>
      </c>
    </row>
    <row r="357" spans="1:16" x14ac:dyDescent="0.25">
      <c r="A357" vm="5124">
        <f ca="1"/>
        <v>45441</v>
      </c>
      <c r="B357" s="3">
        <f ca="1"/>
        <v>180.4702495201538</v>
      </c>
      <c r="C357" s="3">
        <f ca="1"/>
        <v>179.87109991890389</v>
      </c>
      <c r="D357" s="3">
        <f ca="1"/>
        <v>98.204924543288328</v>
      </c>
      <c r="E357" s="3">
        <f ca="1"/>
        <v>120.37396271149888</v>
      </c>
      <c r="F357" s="3">
        <f ca="1"/>
        <v>107.61364386092237</v>
      </c>
      <c r="G357" s="3">
        <f ca="1"/>
        <v>85.948994605198536</v>
      </c>
      <c r="H357" s="3">
        <f ca="1"/>
        <v>215.33162231527768</v>
      </c>
      <c r="I357" s="3">
        <f ca="1"/>
        <v>108.41968911917091</v>
      </c>
      <c r="J357" s="3">
        <f ca="1"/>
        <v>202.79937791601881</v>
      </c>
      <c r="K357" s="3">
        <f ca="1"/>
        <v>384.73625140291864</v>
      </c>
      <c r="L357" s="3">
        <f ca="1"/>
        <v>198.87632458573353</v>
      </c>
      <c r="M357" s="3">
        <f ca="1"/>
        <v>107.86028119507927</v>
      </c>
      <c r="N357" s="3">
        <f ca="1"/>
        <v>96.010721839465333</v>
      </c>
      <c r="O357" s="3">
        <f ca="1"/>
        <v>197.93536804308812</v>
      </c>
      <c r="P357" s="3">
        <f ca="1"/>
        <v>179.61432506887024</v>
      </c>
    </row>
    <row r="358" spans="1:16" x14ac:dyDescent="0.25">
      <c r="A358" vm="5135">
        <f ca="1"/>
        <v>45442</v>
      </c>
      <c r="B358" s="3">
        <f ca="1"/>
        <v>179.32204551686345</v>
      </c>
      <c r="C358" s="3">
        <f ca="1"/>
        <v>176.9345682700926</v>
      </c>
      <c r="D358" s="3">
        <f ca="1"/>
        <v>98.014297061159652</v>
      </c>
      <c r="E358" s="3">
        <f ca="1"/>
        <v>120.3901282465781</v>
      </c>
      <c r="F358" s="3">
        <f ca="1"/>
        <v>106.65039255789405</v>
      </c>
      <c r="G358" s="3">
        <f ca="1"/>
        <v>84.99264345267278</v>
      </c>
      <c r="H358" s="3">
        <f ca="1"/>
        <v>208.48304741321095</v>
      </c>
      <c r="I358" s="3">
        <f ca="1"/>
        <v>107.64248704663207</v>
      </c>
      <c r="J358" s="3">
        <f ca="1"/>
        <v>198.60031104199084</v>
      </c>
      <c r="K358" s="3">
        <f ca="1"/>
        <v>380.27898027898084</v>
      </c>
      <c r="L358" s="3">
        <f ca="1"/>
        <v>197.68864234407224</v>
      </c>
      <c r="M358" s="3">
        <f ca="1"/>
        <v>107.19244288224974</v>
      </c>
      <c r="N358" s="3">
        <f ca="1"/>
        <v>94.804514899587218</v>
      </c>
      <c r="O358" s="3">
        <f ca="1"/>
        <v>197.37432675044897</v>
      </c>
      <c r="P358" s="3">
        <f ca="1"/>
        <v>179.13431839051648</v>
      </c>
    </row>
    <row r="359" spans="1:16" x14ac:dyDescent="0.25">
      <c r="A359" vm="5148">
        <f ca="1"/>
        <v>45443</v>
      </c>
      <c r="B359" s="3">
        <f ca="1"/>
        <v>179.75733479572278</v>
      </c>
      <c r="C359" s="3">
        <f ca="1"/>
        <v>178.057108711426</v>
      </c>
      <c r="D359" s="3">
        <f ca="1"/>
        <v>98.443208895949155</v>
      </c>
      <c r="E359" s="3">
        <f ca="1"/>
        <v>120.2823580127167</v>
      </c>
      <c r="F359" s="3">
        <f ca="1"/>
        <v>107.26397044269974</v>
      </c>
      <c r="G359" s="3">
        <f ca="1"/>
        <v>84.968121628249037</v>
      </c>
      <c r="H359" s="3">
        <f ca="1"/>
        <v>206.61893826826972</v>
      </c>
      <c r="I359" s="3">
        <f ca="1"/>
        <v>107.83678756476677</v>
      </c>
      <c r="J359" s="3">
        <f ca="1"/>
        <v>202.25505443234857</v>
      </c>
      <c r="K359" s="3">
        <f ca="1"/>
        <v>374.41879108545834</v>
      </c>
      <c r="L359" s="3">
        <f ca="1"/>
        <v>198.96166702226012</v>
      </c>
      <c r="M359" s="3">
        <f ca="1"/>
        <v>108.34358523725852</v>
      </c>
      <c r="N359" s="3">
        <f ca="1"/>
        <v>96.525872720038265</v>
      </c>
      <c r="O359" s="3">
        <f ca="1"/>
        <v>193.12163375224429</v>
      </c>
      <c r="P359" s="3">
        <f ca="1"/>
        <v>173.08206027214266</v>
      </c>
    </row>
    <row r="360" spans="1:16" x14ac:dyDescent="0.25">
      <c r="A360" vm="5163">
        <f ca="1"/>
        <v>45446</v>
      </c>
      <c r="B360" s="3">
        <f ca="1"/>
        <v>182.17713188922428</v>
      </c>
      <c r="C360" s="3">
        <f ca="1"/>
        <v>178.53514874727898</v>
      </c>
      <c r="D360" s="3">
        <f ca="1"/>
        <v>99.968228752978547</v>
      </c>
      <c r="E360" s="3">
        <f ca="1"/>
        <v>120.0991486151523</v>
      </c>
      <c r="F360" s="3">
        <f ca="1"/>
        <v>108.5571023289569</v>
      </c>
      <c r="G360" s="3">
        <f ca="1"/>
        <v>86.733692986758115</v>
      </c>
      <c r="H360" s="3">
        <f ca="1"/>
        <v>204.02539511009059</v>
      </c>
      <c r="I360" s="3">
        <f ca="1"/>
        <v>109.29404145077714</v>
      </c>
      <c r="J360" s="3">
        <f ca="1"/>
        <v>203.34370139968914</v>
      </c>
      <c r="K360" s="3">
        <f ca="1"/>
        <v>374.24242424242482</v>
      </c>
      <c r="L360" s="3">
        <f ca="1"/>
        <v>196.24493279283121</v>
      </c>
      <c r="M360" s="3">
        <f ca="1"/>
        <v>109.94288224956081</v>
      </c>
      <c r="N360" s="3">
        <f ca="1"/>
        <v>98.494335434422695</v>
      </c>
      <c r="O360" s="3">
        <f ca="1"/>
        <v>193.55924596050281</v>
      </c>
      <c r="P360" s="3">
        <f ca="1"/>
        <v>173.27406294348418</v>
      </c>
    </row>
    <row r="361" spans="1:16" x14ac:dyDescent="0.25">
      <c r="A361" vm="5177">
        <f ca="1"/>
        <v>45447</v>
      </c>
      <c r="B361" s="3">
        <f ca="1"/>
        <v>175.85686865917219</v>
      </c>
      <c r="C361" s="3">
        <f ca="1"/>
        <v>172.99927440351698</v>
      </c>
      <c r="D361" s="3">
        <f ca="1"/>
        <v>99.968228752978547</v>
      </c>
      <c r="E361" s="3">
        <f ca="1"/>
        <v>123.05744153464795</v>
      </c>
      <c r="F361" s="3">
        <f ca="1"/>
        <v>108.62967605726726</v>
      </c>
      <c r="G361" s="3">
        <f ca="1"/>
        <v>86.071603727317225</v>
      </c>
      <c r="H361" s="3">
        <f ca="1"/>
        <v>209.30703768742407</v>
      </c>
      <c r="I361" s="3">
        <f ca="1"/>
        <v>107.44818652849736</v>
      </c>
      <c r="J361" s="3">
        <f ca="1"/>
        <v>197.97822706065338</v>
      </c>
      <c r="K361" s="3">
        <f ca="1"/>
        <v>382.78819945486674</v>
      </c>
      <c r="L361" s="3">
        <f ca="1"/>
        <v>193.42152051774411</v>
      </c>
      <c r="M361" s="3">
        <f ca="1"/>
        <v>109.98242530755729</v>
      </c>
      <c r="N361" s="3">
        <f ca="1"/>
        <v>97.92054949427235</v>
      </c>
      <c r="O361" s="3">
        <f ca="1"/>
        <v>194.31104129263923</v>
      </c>
      <c r="P361" s="3">
        <f ca="1"/>
        <v>172.60205359378887</v>
      </c>
    </row>
    <row r="362" spans="1:16" x14ac:dyDescent="0.25">
      <c r="A362" vm="5190">
        <f ca="1"/>
        <v>45448</v>
      </c>
      <c r="B362" s="3">
        <f ca="1"/>
        <v>175.64093775706087</v>
      </c>
      <c r="C362" s="3">
        <f ca="1"/>
        <v>171.87673396218358</v>
      </c>
      <c r="D362" s="3">
        <f ca="1"/>
        <v>101.57267672756154</v>
      </c>
      <c r="E362" s="3">
        <f ca="1"/>
        <v>123.12749218665785</v>
      </c>
      <c r="F362" s="3">
        <f ca="1"/>
        <v>110.18671241010753</v>
      </c>
      <c r="G362" s="3">
        <f ca="1"/>
        <v>87.371260421775304</v>
      </c>
      <c r="H362" s="3">
        <f ca="1"/>
        <v>205.95704444144272</v>
      </c>
      <c r="I362" s="3">
        <f ca="1"/>
        <v>106.12046632124348</v>
      </c>
      <c r="J362" s="3">
        <f ca="1"/>
        <v>193.7791601866254</v>
      </c>
      <c r="K362" s="3">
        <f ca="1"/>
        <v>382.38736572069968</v>
      </c>
      <c r="L362" s="3">
        <f ca="1"/>
        <v>192.03470592418745</v>
      </c>
      <c r="M362" s="3">
        <f ca="1"/>
        <v>109.99121265377873</v>
      </c>
      <c r="N362" s="3">
        <f ca="1"/>
        <v>98.190689590182544</v>
      </c>
      <c r="O362" s="3">
        <f ca="1"/>
        <v>195.00673249551176</v>
      </c>
      <c r="P362" s="3">
        <f ca="1"/>
        <v>173.66641622839944</v>
      </c>
    </row>
    <row r="363" spans="1:16" x14ac:dyDescent="0.25">
      <c r="A363" vm="5203">
        <f ca="1"/>
        <v>45449</v>
      </c>
      <c r="B363" s="3">
        <f ca="1"/>
        <v>179.32547299150013</v>
      </c>
      <c r="C363" s="3">
        <f ca="1"/>
        <v>173.81023517862477</v>
      </c>
      <c r="D363" s="3">
        <f ca="1"/>
        <v>101.5409054805401</v>
      </c>
      <c r="E363" s="3">
        <f ca="1"/>
        <v>123.88727233538077</v>
      </c>
      <c r="F363" s="3">
        <f ca="1"/>
        <v>109.55334169030812</v>
      </c>
      <c r="G363" s="3">
        <f ca="1"/>
        <v>85.017165277096538</v>
      </c>
      <c r="H363" s="3">
        <f ca="1"/>
        <v>220.07294340132384</v>
      </c>
      <c r="I363" s="3">
        <f ca="1"/>
        <v>107.02720207253878</v>
      </c>
      <c r="J363" s="3">
        <f ca="1"/>
        <v>194.63452566096444</v>
      </c>
      <c r="K363" s="3">
        <f ca="1"/>
        <v>396.87349687349757</v>
      </c>
      <c r="L363" s="3">
        <f ca="1"/>
        <v>196.23782092312069</v>
      </c>
      <c r="M363" s="3">
        <f ca="1"/>
        <v>109.85500878734639</v>
      </c>
      <c r="N363" s="3">
        <f ca="1"/>
        <v>97.424245597134998</v>
      </c>
      <c r="O363" s="3">
        <f ca="1"/>
        <v>196.82450628366257</v>
      </c>
      <c r="P363" s="3">
        <f ca="1"/>
        <v>176.98054929459863</v>
      </c>
    </row>
    <row r="364" spans="1:16" x14ac:dyDescent="0.25">
      <c r="A364" vm="5217">
        <f ca="1"/>
        <v>45450</v>
      </c>
      <c r="B364" s="3">
        <f ca="1"/>
        <v>176.59034823142335</v>
      </c>
      <c r="C364" s="3">
        <f ca="1"/>
        <v>173.929745187588</v>
      </c>
      <c r="D364" s="3">
        <f ca="1"/>
        <v>101.90627482128673</v>
      </c>
      <c r="E364" s="3">
        <f ca="1"/>
        <v>124.19441750188577</v>
      </c>
      <c r="F364" s="3">
        <f ca="1"/>
        <v>111.14996371313583</v>
      </c>
      <c r="G364" s="3">
        <f ca="1"/>
        <v>84.77194703285916</v>
      </c>
      <c r="H364" s="3">
        <f ca="1"/>
        <v>218.92476023233831</v>
      </c>
      <c r="I364" s="3">
        <f ca="1"/>
        <v>106.83290155440407</v>
      </c>
      <c r="J364" s="3">
        <f ca="1"/>
        <v>183.59253499222413</v>
      </c>
      <c r="K364" s="3">
        <f ca="1"/>
        <v>395.8313291646632</v>
      </c>
      <c r="L364" s="3">
        <f ca="1"/>
        <v>190.08605362349761</v>
      </c>
      <c r="M364" s="3">
        <f ca="1"/>
        <v>109.89015817223216</v>
      </c>
      <c r="N364" s="3">
        <f ca="1"/>
        <v>98.134148639875761</v>
      </c>
      <c r="O364" s="3">
        <f ca="1"/>
        <v>198.30565529622987</v>
      </c>
      <c r="P364" s="3">
        <f ca="1"/>
        <v>177.19342182152073</v>
      </c>
    </row>
    <row r="365" spans="1:16" x14ac:dyDescent="0.25">
      <c r="A365" vm="5230">
        <f ca="1"/>
        <v>45453</v>
      </c>
      <c r="B365" s="3">
        <f ca="1"/>
        <v>176.90567589799861</v>
      </c>
      <c r="C365" s="3">
        <f ca="1"/>
        <v>174.50595415937511</v>
      </c>
      <c r="D365" s="3">
        <f ca="1"/>
        <v>101.52501985702936</v>
      </c>
      <c r="E365" s="3">
        <f ca="1"/>
        <v>122.23838775730123</v>
      </c>
      <c r="F365" s="3">
        <f ca="1"/>
        <v>110.21970046843042</v>
      </c>
      <c r="G365" s="3">
        <f ca="1"/>
        <v>84.33055419323189</v>
      </c>
      <c r="H365" s="3">
        <f ca="1"/>
        <v>222.05862488180477</v>
      </c>
      <c r="I365" s="3">
        <f ca="1"/>
        <v>106.0556994818652</v>
      </c>
      <c r="J365" s="3">
        <f ca="1"/>
        <v>186.3919129082428</v>
      </c>
      <c r="K365" s="3">
        <f ca="1"/>
        <v>395.18999518999584</v>
      </c>
      <c r="L365" s="3">
        <f ca="1"/>
        <v>191.53687504444918</v>
      </c>
      <c r="M365" s="3">
        <f ca="1"/>
        <v>110.25043936731124</v>
      </c>
      <c r="N365" s="3">
        <f ca="1"/>
        <v>98.450359139739646</v>
      </c>
      <c r="O365" s="3">
        <f ca="1"/>
        <v>195.75852782764821</v>
      </c>
      <c r="P365" s="3">
        <f ca="1"/>
        <v>176.9137657567407</v>
      </c>
    </row>
    <row r="366" spans="1:16" x14ac:dyDescent="0.25">
      <c r="A366" vm="5245">
        <f ca="1"/>
        <v>45454</v>
      </c>
      <c r="B366" s="3">
        <f ca="1"/>
        <v>180.28516588977268</v>
      </c>
      <c r="C366" s="3">
        <f ca="1"/>
        <v>174.56144094925091</v>
      </c>
      <c r="D366" s="3">
        <f ca="1"/>
        <v>101.01667990468624</v>
      </c>
      <c r="E366" s="3">
        <f ca="1"/>
        <v>121.12835434852873</v>
      </c>
      <c r="F366" s="3">
        <f ca="1"/>
        <v>110.41103120670317</v>
      </c>
      <c r="G366" s="3">
        <f ca="1"/>
        <v>82.270720941637961</v>
      </c>
      <c r="H366" s="3">
        <f ca="1"/>
        <v>227.15115493718773</v>
      </c>
      <c r="I366" s="3">
        <f ca="1"/>
        <v>106.63860103626935</v>
      </c>
      <c r="J366" s="3">
        <f ca="1"/>
        <v>187.71384136858498</v>
      </c>
      <c r="K366" s="3">
        <f ca="1"/>
        <v>402.918069584737</v>
      </c>
      <c r="L366" s="3">
        <f ca="1"/>
        <v>193.13704572932221</v>
      </c>
      <c r="M366" s="3">
        <f ca="1"/>
        <v>110.5799648506153</v>
      </c>
      <c r="N366" s="3">
        <f ca="1"/>
        <v>97.891231964483637</v>
      </c>
      <c r="O366" s="3">
        <f ca="1"/>
        <v>196.37567324955126</v>
      </c>
      <c r="P366" s="3">
        <f ca="1"/>
        <v>178.5917021454209</v>
      </c>
    </row>
    <row r="367" spans="1:16" x14ac:dyDescent="0.25">
      <c r="A367" vm="5259">
        <f ca="1"/>
        <v>45455</v>
      </c>
      <c r="B367" s="3">
        <f ca="1"/>
        <v>179.25692349876638</v>
      </c>
      <c r="C367" s="3">
        <f ca="1"/>
        <v>174.54436809082759</v>
      </c>
      <c r="D367" s="3">
        <f ca="1"/>
        <v>100.95313741064334</v>
      </c>
      <c r="E367" s="3">
        <f ca="1"/>
        <v>121.4786076085783</v>
      </c>
      <c r="F367" s="3">
        <f ca="1"/>
        <v>110.49680015834267</v>
      </c>
      <c r="G367" s="3">
        <f ca="1"/>
        <v>82.515939185875325</v>
      </c>
      <c r="H367" s="3">
        <f ca="1"/>
        <v>223.84168580305291</v>
      </c>
      <c r="I367" s="3">
        <f ca="1"/>
        <v>105.79663212435226</v>
      </c>
      <c r="J367" s="3">
        <f ca="1"/>
        <v>198.83359253499248</v>
      </c>
      <c r="K367" s="3">
        <f ca="1"/>
        <v>406.82219015552425</v>
      </c>
      <c r="L367" s="3">
        <f ca="1"/>
        <v>193.12993385961167</v>
      </c>
      <c r="M367" s="3">
        <f ca="1"/>
        <v>110.29437609841845</v>
      </c>
      <c r="N367" s="3">
        <f ca="1"/>
        <v>96.915377044373912</v>
      </c>
      <c r="O367" s="3">
        <f ca="1"/>
        <v>198.1822262118493</v>
      </c>
      <c r="P367" s="3">
        <f ca="1"/>
        <v>180.59938225227455</v>
      </c>
    </row>
    <row r="368" spans="1:16" x14ac:dyDescent="0.25">
      <c r="A368" vm="5272">
        <f ca="1"/>
        <v>45456</v>
      </c>
      <c r="B368" s="3">
        <f ca="1"/>
        <v>182.67068823690732</v>
      </c>
      <c r="C368" s="3">
        <f ca="1"/>
        <v>177.38273080370476</v>
      </c>
      <c r="D368" s="3">
        <f ca="1"/>
        <v>99.888800635424914</v>
      </c>
      <c r="E368" s="3">
        <f ca="1"/>
        <v>121.69414807630112</v>
      </c>
      <c r="F368" s="3">
        <f ca="1"/>
        <v>108.97934947548987</v>
      </c>
      <c r="G368" s="3">
        <f ca="1"/>
        <v>80.725846002942518</v>
      </c>
      <c r="H368" s="3">
        <f ca="1"/>
        <v>233.66202890719984</v>
      </c>
      <c r="I368" s="3">
        <f ca="1"/>
        <v>106.08808290155432</v>
      </c>
      <c r="J368" s="3">
        <f ca="1"/>
        <v>201.32192846034238</v>
      </c>
      <c r="K368" s="3">
        <f ca="1"/>
        <v>407.920474587142</v>
      </c>
      <c r="L368" s="3">
        <f ca="1"/>
        <v>196.84944171822769</v>
      </c>
      <c r="M368" s="3">
        <f ca="1"/>
        <v>110.94463971880509</v>
      </c>
      <c r="N368" s="3">
        <f ca="1"/>
        <v>96.142650723514492</v>
      </c>
      <c r="O368" s="3">
        <f ca="1"/>
        <v>199.49506283662487</v>
      </c>
      <c r="P368" s="3">
        <f ca="1"/>
        <v>184.09717004758301</v>
      </c>
    </row>
    <row r="369" spans="1:16" x14ac:dyDescent="0.25">
      <c r="A369" vm="5287">
        <f ca="1"/>
        <v>45457</v>
      </c>
      <c r="B369" s="3">
        <f ca="1"/>
        <v>181.2791335344121</v>
      </c>
      <c r="C369" s="3">
        <f ca="1"/>
        <v>176.52908788253868</v>
      </c>
      <c r="D369" s="3">
        <f ca="1"/>
        <v>100.06354249404286</v>
      </c>
      <c r="E369" s="3">
        <f ca="1"/>
        <v>119.11305097532042</v>
      </c>
      <c r="F369" s="3">
        <f ca="1"/>
        <v>109.79085571023289</v>
      </c>
      <c r="G369" s="3">
        <f ca="1"/>
        <v>79.794016674840506</v>
      </c>
      <c r="H369" s="3">
        <f ca="1"/>
        <v>233.56747264622459</v>
      </c>
      <c r="I369" s="3">
        <f ca="1"/>
        <v>105.34326424870459</v>
      </c>
      <c r="J369" s="3">
        <f ca="1"/>
        <v>202.33281493001579</v>
      </c>
      <c r="K369" s="3">
        <f ca="1"/>
        <v>404.12057078723825</v>
      </c>
      <c r="L369" s="3">
        <f ca="1"/>
        <v>196.78543489083273</v>
      </c>
      <c r="M369" s="3">
        <f ca="1"/>
        <v>111.87170474516714</v>
      </c>
      <c r="N369" s="3">
        <f ca="1"/>
        <v>96.027474713630298</v>
      </c>
      <c r="O369" s="3">
        <f ca="1"/>
        <v>196.54398563734301</v>
      </c>
      <c r="P369" s="3">
        <f ca="1"/>
        <v>184.31421654562124</v>
      </c>
    </row>
    <row r="370" spans="1:16" x14ac:dyDescent="0.25">
      <c r="A370" vm="5302">
        <f ca="1"/>
        <v>45460</v>
      </c>
      <c r="B370" s="3">
        <f ca="1"/>
        <v>172.50479846449161</v>
      </c>
      <c r="C370" s="3">
        <f ca="1"/>
        <v>172.99073797430532</v>
      </c>
      <c r="D370" s="3">
        <f ca="1"/>
        <v>99.364575059571052</v>
      </c>
      <c r="E370" s="3">
        <f ca="1"/>
        <v>117.62582174803299</v>
      </c>
      <c r="F370" s="3">
        <f ca="1"/>
        <v>110.04156495348683</v>
      </c>
      <c r="G370" s="3">
        <f ca="1"/>
        <v>79.401667484060724</v>
      </c>
      <c r="H370" s="3">
        <f ca="1"/>
        <v>233.02715115493729</v>
      </c>
      <c r="I370" s="3">
        <f ca="1"/>
        <v>104.20984455958541</v>
      </c>
      <c r="J370" s="3">
        <f ca="1"/>
        <v>195.87869362363944</v>
      </c>
      <c r="K370" s="3">
        <f ca="1"/>
        <v>404.16867083533828</v>
      </c>
      <c r="L370" s="3">
        <f ca="1"/>
        <v>194.36028731953627</v>
      </c>
      <c r="M370" s="3">
        <f ca="1"/>
        <v>111.37961335676643</v>
      </c>
      <c r="N370" s="3">
        <f ca="1"/>
        <v>95.981404309676606</v>
      </c>
      <c r="O370" s="3">
        <f ca="1"/>
        <v>198.37298025134658</v>
      </c>
      <c r="P370" s="3">
        <f ca="1"/>
        <v>184.72743968611709</v>
      </c>
    </row>
    <row r="371" spans="1:16" x14ac:dyDescent="0.25">
      <c r="A371" vm="5314">
        <f ca="1"/>
        <v>45461</v>
      </c>
      <c r="B371" s="3">
        <f ca="1"/>
        <v>173.44049904030737</v>
      </c>
      <c r="C371" s="3">
        <f ca="1"/>
        <v>177.20346579025988</v>
      </c>
      <c r="D371" s="3">
        <f ca="1"/>
        <v>99.475774424146124</v>
      </c>
      <c r="E371" s="3">
        <f ca="1"/>
        <v>116.45651471063672</v>
      </c>
      <c r="F371" s="3">
        <f ca="1"/>
        <v>110.50999538167184</v>
      </c>
      <c r="G371" s="3">
        <f ca="1"/>
        <v>80.725846002942518</v>
      </c>
      <c r="H371" s="3">
        <f ca="1"/>
        <v>239.41645278940979</v>
      </c>
      <c r="I371" s="3">
        <f ca="1"/>
        <v>105.60233160621753</v>
      </c>
      <c r="J371" s="3">
        <f ca="1"/>
        <v>195.95645412130659</v>
      </c>
      <c r="K371" s="3">
        <f ca="1"/>
        <v>406.14878948212362</v>
      </c>
      <c r="L371" s="3">
        <f ca="1"/>
        <v>196.70009245430617</v>
      </c>
      <c r="M371" s="3">
        <f ca="1"/>
        <v>115.2636203866434</v>
      </c>
      <c r="N371" s="3">
        <f ca="1"/>
        <v>96.121709630808269</v>
      </c>
      <c r="O371" s="3">
        <f ca="1"/>
        <v>198.87791741472182</v>
      </c>
      <c r="P371" s="3">
        <f ca="1"/>
        <v>187.14834293346661</v>
      </c>
    </row>
    <row r="372" spans="1:16" x14ac:dyDescent="0.25">
      <c r="A372" vm="5327">
        <f ca="1"/>
        <v>45463</v>
      </c>
      <c r="B372" s="3">
        <f ca="1"/>
        <v>173.71469701124241</v>
      </c>
      <c r="C372" s="3">
        <f ca="1"/>
        <v>180.16987494131197</v>
      </c>
      <c r="D372" s="3">
        <f ca="1"/>
        <v>99.49166004765685</v>
      </c>
      <c r="E372" s="3">
        <f ca="1"/>
        <v>116.6612781549734</v>
      </c>
      <c r="F372" s="3">
        <f ca="1"/>
        <v>111.20934221811706</v>
      </c>
      <c r="G372" s="3">
        <f ca="1"/>
        <v>80.112800392349087</v>
      </c>
      <c r="H372" s="3">
        <f ca="1"/>
        <v>242.7259219235446</v>
      </c>
      <c r="I372" s="3">
        <f ca="1"/>
        <v>106.96243523316055</v>
      </c>
      <c r="J372" s="3">
        <f ca="1"/>
        <v>196.18973561430815</v>
      </c>
      <c r="K372" s="3">
        <f ca="1"/>
        <v>400.4248837582179</v>
      </c>
      <c r="L372" s="3">
        <f ca="1"/>
        <v>199.98577626057883</v>
      </c>
      <c r="M372" s="3">
        <f ca="1"/>
        <v>115.83919156414778</v>
      </c>
      <c r="N372" s="3">
        <f ca="1"/>
        <v>96.329026448599819</v>
      </c>
      <c r="O372" s="3">
        <f ca="1"/>
        <v>196.46543985637351</v>
      </c>
      <c r="P372" s="3">
        <f ca="1"/>
        <v>186.30102679689426</v>
      </c>
    </row>
    <row r="373" spans="1:16" x14ac:dyDescent="0.25">
      <c r="A373" vm="5340">
        <f ca="1"/>
        <v>45464</v>
      </c>
      <c r="B373" s="3">
        <f ca="1"/>
        <v>174.11228406909819</v>
      </c>
      <c r="C373" s="3">
        <f ca="1"/>
        <v>179.25647701566427</v>
      </c>
      <c r="D373" s="3">
        <f ca="1"/>
        <v>98.776806989674327</v>
      </c>
      <c r="E373" s="3">
        <f ca="1"/>
        <v>118.17544994072618</v>
      </c>
      <c r="F373" s="3">
        <f ca="1"/>
        <v>110.62215477996965</v>
      </c>
      <c r="G373" s="3">
        <f ca="1"/>
        <v>80.03923491907787</v>
      </c>
      <c r="H373" s="3">
        <f ca="1"/>
        <v>236.90395785492376</v>
      </c>
      <c r="I373" s="3">
        <f ca="1"/>
        <v>107.86917098445588</v>
      </c>
      <c r="J373" s="3">
        <f ca="1"/>
        <v>194.79004665629881</v>
      </c>
      <c r="K373" s="3">
        <f ca="1"/>
        <v>402.19656886323628</v>
      </c>
      <c r="L373" s="3">
        <f ca="1"/>
        <v>194.84389445985346</v>
      </c>
      <c r="M373" s="3">
        <f ca="1"/>
        <v>115.4789103690687</v>
      </c>
      <c r="N373" s="3">
        <f ca="1"/>
        <v>97.656691726173989</v>
      </c>
      <c r="O373" s="3">
        <f ca="1"/>
        <v>197.82315978456023</v>
      </c>
      <c r="P373" s="3">
        <f ca="1"/>
        <v>186.0338926454626</v>
      </c>
    </row>
    <row r="374" spans="1:16" x14ac:dyDescent="0.25">
      <c r="A374" vm="5351">
        <f ca="1"/>
        <v>45467</v>
      </c>
      <c r="B374" s="3">
        <f ca="1"/>
        <v>172.79956128324682</v>
      </c>
      <c r="C374" s="3">
        <f ca="1"/>
        <v>178.0784497844551</v>
      </c>
      <c r="D374" s="3">
        <f ca="1"/>
        <v>99.714058776806979</v>
      </c>
      <c r="E374" s="3">
        <f ca="1"/>
        <v>117.53421704925081</v>
      </c>
      <c r="F374" s="3">
        <f ca="1"/>
        <v>111.01141386817972</v>
      </c>
      <c r="G374" s="3">
        <f ca="1"/>
        <v>80.79941147621372</v>
      </c>
      <c r="H374" s="3">
        <f ca="1"/>
        <v>234.98581656085381</v>
      </c>
      <c r="I374" s="3">
        <f ca="1"/>
        <v>108.19300518134705</v>
      </c>
      <c r="J374" s="3">
        <f ca="1"/>
        <v>195.02332814930034</v>
      </c>
      <c r="K374" s="3">
        <f ca="1"/>
        <v>396.64902998236403</v>
      </c>
      <c r="L374" s="3">
        <f ca="1"/>
        <v>194.86523006898508</v>
      </c>
      <c r="M374" s="3">
        <f ca="1"/>
        <v>115.77328646748697</v>
      </c>
      <c r="N374" s="3">
        <f ca="1"/>
        <v>97.92054949427235</v>
      </c>
      <c r="O374" s="3">
        <f ca="1"/>
        <v>201.55969479353689</v>
      </c>
      <c r="P374" s="3">
        <f ca="1"/>
        <v>187.73687286083953</v>
      </c>
    </row>
    <row r="375" spans="1:16" x14ac:dyDescent="0.25">
      <c r="A375" vm="5363">
        <f ca="1"/>
        <v>45468</v>
      </c>
      <c r="B375" s="3">
        <f ca="1"/>
        <v>174.90060323553638</v>
      </c>
      <c r="C375" s="3">
        <f ca="1"/>
        <v>182.00947543642488</v>
      </c>
      <c r="D375" s="3">
        <f ca="1"/>
        <v>101.62033359809371</v>
      </c>
      <c r="E375" s="3">
        <f ca="1"/>
        <v>116.69360922513184</v>
      </c>
      <c r="F375" s="3">
        <f ca="1"/>
        <v>111.13676848980667</v>
      </c>
      <c r="G375" s="3">
        <f ca="1"/>
        <v>81.436978911230881</v>
      </c>
      <c r="H375" s="3">
        <f ca="1"/>
        <v>226.67837363231132</v>
      </c>
      <c r="I375" s="3">
        <f ca="1"/>
        <v>107.54533678756468</v>
      </c>
      <c r="J375" s="3">
        <f ca="1"/>
        <v>197.97822706065341</v>
      </c>
      <c r="K375" s="3">
        <f ca="1"/>
        <v>399.959916626584</v>
      </c>
      <c r="L375" s="3">
        <f ca="1"/>
        <v>195.02880307232766</v>
      </c>
      <c r="M375" s="3">
        <f ca="1"/>
        <v>116.48945518453441</v>
      </c>
      <c r="N375" s="3">
        <f ca="1"/>
        <v>98.739346219085434</v>
      </c>
      <c r="O375" s="3">
        <f ca="1"/>
        <v>201.0996409335728</v>
      </c>
      <c r="P375" s="3">
        <f ca="1"/>
        <v>186.85616495533824</v>
      </c>
    </row>
    <row r="376" spans="1:16" x14ac:dyDescent="0.25">
      <c r="A376" vm="5378">
        <f ca="1"/>
        <v>45469</v>
      </c>
      <c r="B376" s="3">
        <f ca="1"/>
        <v>173.19029339182921</v>
      </c>
      <c r="C376" s="3">
        <f ca="1"/>
        <v>177.31017115540564</v>
      </c>
      <c r="D376" s="3">
        <f ca="1"/>
        <v>101.41382049245432</v>
      </c>
      <c r="E376" s="3">
        <f ca="1"/>
        <v>116.08470740381489</v>
      </c>
      <c r="F376" s="3">
        <f ca="1"/>
        <v>110.08115062347429</v>
      </c>
      <c r="G376" s="3">
        <f ca="1"/>
        <v>80.431584109857653</v>
      </c>
      <c r="H376" s="3">
        <f ca="1"/>
        <v>233.14872349047693</v>
      </c>
      <c r="I376" s="3">
        <f ca="1"/>
        <v>105.92616580310873</v>
      </c>
      <c r="J376" s="3">
        <f ca="1"/>
        <v>197.51166407465027</v>
      </c>
      <c r="K376" s="3">
        <f ca="1"/>
        <v>409.3314093314101</v>
      </c>
      <c r="L376" s="3">
        <f ca="1"/>
        <v>194.13270748879876</v>
      </c>
      <c r="M376" s="3">
        <f ca="1"/>
        <v>114.97363796133581</v>
      </c>
      <c r="N376" s="3">
        <f ca="1"/>
        <v>98.018972629991552</v>
      </c>
      <c r="O376" s="3">
        <f ca="1"/>
        <v>206.49685816876132</v>
      </c>
      <c r="P376" s="3">
        <f ca="1"/>
        <v>188.22522748142555</v>
      </c>
    </row>
    <row r="377" spans="1:16" x14ac:dyDescent="0.25">
      <c r="A377" vm="5391">
        <f ca="1"/>
        <v>45470</v>
      </c>
      <c r="B377" s="3">
        <f ca="1"/>
        <v>172.2751576638336</v>
      </c>
      <c r="C377" s="3">
        <f ca="1"/>
        <v>176.03397498826234</v>
      </c>
      <c r="D377" s="3">
        <f ca="1"/>
        <v>101.74741858617949</v>
      </c>
      <c r="E377" s="3">
        <f ca="1"/>
        <v>116.44034917555753</v>
      </c>
      <c r="F377" s="3">
        <f ca="1"/>
        <v>110.47700732334891</v>
      </c>
      <c r="G377" s="3">
        <f ca="1"/>
        <v>79.254536537518277</v>
      </c>
      <c r="H377" s="3">
        <f ca="1"/>
        <v>232.43279751452124</v>
      </c>
      <c r="I377" s="3">
        <f ca="1"/>
        <v>106.8976683937823</v>
      </c>
      <c r="J377" s="3">
        <f ca="1"/>
        <v>196.96734059097997</v>
      </c>
      <c r="K377" s="3">
        <f ca="1"/>
        <v>411.35161135161212</v>
      </c>
      <c r="L377" s="3">
        <f ca="1"/>
        <v>189.5811108740487</v>
      </c>
      <c r="M377" s="3">
        <f ca="1"/>
        <v>114.70562390158186</v>
      </c>
      <c r="N377" s="3">
        <f ca="1"/>
        <v>97.792808828764407</v>
      </c>
      <c r="O377" s="3">
        <f ca="1"/>
        <v>206.32854578096956</v>
      </c>
      <c r="P377" s="3">
        <f ca="1"/>
        <v>188.73027798647607</v>
      </c>
    </row>
    <row r="378" spans="1:16" x14ac:dyDescent="0.25">
      <c r="A378" vm="5400">
        <f ca="1"/>
        <v>45471</v>
      </c>
      <c r="B378" s="3">
        <f ca="1"/>
        <v>172.82012613106696</v>
      </c>
      <c r="C378" s="3">
        <f ca="1"/>
        <v>175.52178923556269</v>
      </c>
      <c r="D378" s="3">
        <f ca="1"/>
        <v>101.52501985702936</v>
      </c>
      <c r="E378" s="3">
        <f ca="1"/>
        <v>116.628947084815</v>
      </c>
      <c r="F378" s="3">
        <f ca="1"/>
        <v>109.92940555518899</v>
      </c>
      <c r="G378" s="3">
        <f ca="1"/>
        <v>79.131927415399602</v>
      </c>
      <c r="H378" s="3">
        <f ca="1"/>
        <v>231.8384438741052</v>
      </c>
      <c r="I378" s="3">
        <f ca="1"/>
        <v>106.96243523316055</v>
      </c>
      <c r="J378" s="3">
        <f ca="1"/>
        <v>195.02332814930034</v>
      </c>
      <c r="K378" s="3">
        <f ca="1"/>
        <v>416.51434984768389</v>
      </c>
      <c r="L378" s="3">
        <f ca="1"/>
        <v>189.92959248986551</v>
      </c>
      <c r="M378" s="3">
        <f ca="1"/>
        <v>112.43848857645004</v>
      </c>
      <c r="N378" s="3">
        <f ca="1"/>
        <v>97.822126358553106</v>
      </c>
      <c r="O378" s="3">
        <f ca="1"/>
        <v>208.04533213644532</v>
      </c>
      <c r="P378" s="3">
        <f ca="1"/>
        <v>189.01828199348833</v>
      </c>
    </row>
    <row r="379" spans="1:16" x14ac:dyDescent="0.25">
      <c r="A379" vm="5411">
        <f ca="1"/>
        <v>45474</v>
      </c>
      <c r="B379" s="3">
        <f ca="1"/>
        <v>173.36509459830029</v>
      </c>
      <c r="C379" s="3">
        <f ca="1"/>
        <v>172.95232404285278</v>
      </c>
      <c r="D379" s="3">
        <f ca="1"/>
        <v>101.11199364575057</v>
      </c>
      <c r="E379" s="3">
        <f ca="1"/>
        <v>118.29938570966681</v>
      </c>
      <c r="F379" s="3">
        <f ca="1"/>
        <v>108.80781157221082</v>
      </c>
      <c r="G379" s="3">
        <f ca="1"/>
        <v>79.009318293280899</v>
      </c>
      <c r="H379" s="3">
        <f ca="1"/>
        <v>234.78319600162106</v>
      </c>
      <c r="I379" s="3">
        <f ca="1"/>
        <v>108.32253886010355</v>
      </c>
      <c r="J379" s="3">
        <f ca="1"/>
        <v>201.32192846034235</v>
      </c>
      <c r="K379" s="3">
        <f ca="1"/>
        <v>404.2167708834383</v>
      </c>
      <c r="L379" s="3">
        <f ca="1"/>
        <v>180.70549747528617</v>
      </c>
      <c r="M379" s="3">
        <f ca="1"/>
        <v>113.04042179261874</v>
      </c>
      <c r="N379" s="3">
        <f ca="1"/>
        <v>97.815844030741246</v>
      </c>
      <c r="O379" s="3">
        <f ca="1"/>
        <v>204.38734290843814</v>
      </c>
      <c r="P379" s="3">
        <f ca="1"/>
        <v>186.55563903497759</v>
      </c>
    </row>
    <row r="380" spans="1:16" x14ac:dyDescent="0.25">
      <c r="A380" vm="5425">
        <f ca="1"/>
        <v>45475</v>
      </c>
      <c r="B380" s="3">
        <f ca="1"/>
        <v>171.71990677269019</v>
      </c>
      <c r="C380" s="3">
        <f ca="1"/>
        <v>169.70848094242169</v>
      </c>
      <c r="D380" s="3">
        <f ca="1"/>
        <v>100.52422557585383</v>
      </c>
      <c r="E380" s="3">
        <f ca="1"/>
        <v>117.76053454035977</v>
      </c>
      <c r="F380" s="3">
        <f ca="1"/>
        <v>107.3563370060038</v>
      </c>
      <c r="G380" s="3">
        <f ca="1"/>
        <v>78.12653261402636</v>
      </c>
      <c r="H380" s="3">
        <f ca="1"/>
        <v>232.78400648385801</v>
      </c>
      <c r="I380" s="3">
        <f ca="1"/>
        <v>108.77590673575121</v>
      </c>
      <c r="J380" s="3">
        <f ca="1"/>
        <v>194.1679626749613</v>
      </c>
      <c r="K380" s="3">
        <f ca="1"/>
        <v>404.58553791887203</v>
      </c>
      <c r="L380" s="3">
        <f ca="1"/>
        <v>176.09700590285178</v>
      </c>
      <c r="M380" s="3">
        <f ca="1"/>
        <v>112.60544815465744</v>
      </c>
      <c r="N380" s="3">
        <f ca="1"/>
        <v>97.677632818880213</v>
      </c>
      <c r="O380" s="3">
        <f ca="1"/>
        <v>205.3298922800719</v>
      </c>
      <c r="P380" s="3">
        <f ca="1"/>
        <v>190.63778278654283</v>
      </c>
    </row>
    <row r="381" spans="1:16" x14ac:dyDescent="0.25">
      <c r="A381" vm="5438">
        <f ca="1"/>
        <v>45476</v>
      </c>
      <c r="B381" s="3">
        <f ca="1"/>
        <v>174.81148889498252</v>
      </c>
      <c r="C381" s="3">
        <f ca="1"/>
        <v>173.05902940799851</v>
      </c>
      <c r="D381" s="3">
        <f ca="1"/>
        <v>100.31771247021443</v>
      </c>
      <c r="E381" s="3">
        <f ca="1"/>
        <v>117.65276430649837</v>
      </c>
      <c r="F381" s="3">
        <f ca="1"/>
        <v>108.13485518242393</v>
      </c>
      <c r="G381" s="3">
        <f ca="1"/>
        <v>78.469838155958684</v>
      </c>
      <c r="H381" s="3">
        <f ca="1"/>
        <v>237.33621504795363</v>
      </c>
      <c r="I381" s="3">
        <f ca="1"/>
        <v>109.32642487046621</v>
      </c>
      <c r="J381" s="3">
        <f ca="1"/>
        <v>194.40124416796286</v>
      </c>
      <c r="K381" s="3">
        <f ca="1"/>
        <v>408.44957511624256</v>
      </c>
      <c r="L381" s="3">
        <f ca="1"/>
        <v>176.21790768793107</v>
      </c>
      <c r="M381" s="3">
        <f ca="1"/>
        <v>113.76977152899839</v>
      </c>
      <c r="N381" s="3">
        <f ca="1"/>
        <v>97.5226687328542</v>
      </c>
      <c r="O381" s="3">
        <f ca="1"/>
        <v>207.85457809694805</v>
      </c>
      <c r="P381" s="3">
        <f ca="1"/>
        <v>191.70214542115338</v>
      </c>
    </row>
    <row r="382" spans="1:16" x14ac:dyDescent="0.25">
      <c r="A382" vm="5452">
        <f ca="1"/>
        <v>45478</v>
      </c>
      <c r="B382" s="3">
        <f ca="1"/>
        <v>175.73347957225155</v>
      </c>
      <c r="C382" s="3">
        <f ca="1"/>
        <v>174.50595415937505</v>
      </c>
      <c r="D382" s="3">
        <f ca="1"/>
        <v>100.60365369340744</v>
      </c>
      <c r="E382" s="3">
        <f ca="1"/>
        <v>117.13546718396361</v>
      </c>
      <c r="F382" s="3">
        <f ca="1"/>
        <v>108.0886719007719</v>
      </c>
      <c r="G382" s="3">
        <f ca="1"/>
        <v>78.690534575772332</v>
      </c>
      <c r="H382" s="3">
        <f ca="1"/>
        <v>246.50817236255585</v>
      </c>
      <c r="I382" s="3">
        <f ca="1"/>
        <v>108.6463730569947</v>
      </c>
      <c r="J382" s="3">
        <f ca="1"/>
        <v>195.56765163297064</v>
      </c>
      <c r="K382" s="3">
        <f ca="1"/>
        <v>408.81834215167623</v>
      </c>
      <c r="L382" s="3">
        <f ca="1"/>
        <v>181.06820283052406</v>
      </c>
      <c r="M382" s="3">
        <f ca="1"/>
        <v>110.00439367311087</v>
      </c>
      <c r="N382" s="3">
        <f ca="1"/>
        <v>97.591774338784703</v>
      </c>
      <c r="O382" s="3">
        <f ca="1"/>
        <v>208.50538599640942</v>
      </c>
      <c r="P382" s="3">
        <f ca="1"/>
        <v>192.32406711745523</v>
      </c>
    </row>
    <row r="383" spans="1:16" x14ac:dyDescent="0.25">
      <c r="A383" vm="5466">
        <f ca="1"/>
        <v>45481</v>
      </c>
      <c r="B383" s="3">
        <f ca="1"/>
        <v>173.25884288456302</v>
      </c>
      <c r="C383" s="3">
        <f ca="1"/>
        <v>173.69499338426726</v>
      </c>
      <c r="D383" s="3">
        <f ca="1"/>
        <v>101.28673550436851</v>
      </c>
      <c r="E383" s="3">
        <f ca="1"/>
        <v>118.57419980601341</v>
      </c>
      <c r="F383" s="3">
        <f ca="1"/>
        <v>108.99914231048356</v>
      </c>
      <c r="G383" s="3">
        <f ca="1"/>
        <v>78.690534575772332</v>
      </c>
      <c r="H383" s="3">
        <f ca="1"/>
        <v>248.53437795488333</v>
      </c>
      <c r="I383" s="3">
        <f ca="1"/>
        <v>107.83678756476672</v>
      </c>
      <c r="J383" s="3">
        <f ca="1"/>
        <v>189.81337480559895</v>
      </c>
      <c r="K383" s="3">
        <f ca="1"/>
        <v>432.82828282828365</v>
      </c>
      <c r="L383" s="3">
        <f ca="1"/>
        <v>179.59604580044086</v>
      </c>
      <c r="M383" s="3">
        <f ca="1"/>
        <v>113.85764499121281</v>
      </c>
      <c r="N383" s="3">
        <f ca="1"/>
        <v>96.781354051054109</v>
      </c>
      <c r="O383" s="3">
        <f ca="1"/>
        <v>213.86894075403958</v>
      </c>
      <c r="P383" s="3">
        <f ca="1"/>
        <v>195.15819350530066</v>
      </c>
    </row>
    <row r="384" spans="1:16" x14ac:dyDescent="0.25">
      <c r="A384" vm="5481">
        <f ca="1"/>
        <v>45482</v>
      </c>
      <c r="B384" s="3">
        <f ca="1"/>
        <v>174.37962709075993</v>
      </c>
      <c r="C384" s="3">
        <f ca="1"/>
        <v>175.05228562892131</v>
      </c>
      <c r="D384" s="3">
        <f ca="1"/>
        <v>100.01588562351068</v>
      </c>
      <c r="E384" s="3">
        <f ca="1"/>
        <v>118.45565254876587</v>
      </c>
      <c r="F384" s="3">
        <f ca="1"/>
        <v>109.86342943854319</v>
      </c>
      <c r="G384" s="3">
        <f ca="1"/>
        <v>78.715056400196076</v>
      </c>
      <c r="H384" s="3">
        <f ca="1"/>
        <v>252.1004997973796</v>
      </c>
      <c r="I384" s="3">
        <f ca="1"/>
        <v>108.12823834196881</v>
      </c>
      <c r="J384" s="3">
        <f ca="1"/>
        <v>189.50233281493024</v>
      </c>
      <c r="K384" s="3">
        <f ca="1"/>
        <v>424.33862433862521</v>
      </c>
      <c r="L384" s="3">
        <f ca="1"/>
        <v>181.11087404878734</v>
      </c>
      <c r="M384" s="3">
        <f ca="1"/>
        <v>111.52899824253092</v>
      </c>
      <c r="N384" s="3">
        <f ca="1"/>
        <v>96.697589680229243</v>
      </c>
      <c r="O384" s="3">
        <f ca="1"/>
        <v>212.1072710951527</v>
      </c>
      <c r="P384" s="3">
        <f ca="1"/>
        <v>194.60722931797284</v>
      </c>
    </row>
    <row r="385" spans="1:16" x14ac:dyDescent="0.25">
      <c r="A385" vm="5494">
        <f ca="1"/>
        <v>45483</v>
      </c>
      <c r="B385" s="3">
        <f ca="1"/>
        <v>174.34877981902974</v>
      </c>
      <c r="C385" s="3">
        <f ca="1"/>
        <v>173.97242733364624</v>
      </c>
      <c r="D385" s="3">
        <f ca="1"/>
        <v>99.586973788721153</v>
      </c>
      <c r="E385" s="3">
        <f ca="1"/>
        <v>115.05011315874539</v>
      </c>
      <c r="F385" s="3">
        <f ca="1"/>
        <v>109.29603483538953</v>
      </c>
      <c r="G385" s="3">
        <f ca="1"/>
        <v>78.298185384992536</v>
      </c>
      <c r="H385" s="3">
        <f ca="1"/>
        <v>249.25030393083904</v>
      </c>
      <c r="I385" s="3">
        <f ca="1"/>
        <v>105.18134715025896</v>
      </c>
      <c r="J385" s="3">
        <f ca="1"/>
        <v>177.83825816485248</v>
      </c>
      <c r="K385" s="3">
        <f ca="1"/>
        <v>424.88375821709241</v>
      </c>
      <c r="L385" s="3">
        <f ca="1"/>
        <v>181.20332835502447</v>
      </c>
      <c r="M385" s="3">
        <f ca="1"/>
        <v>110.76010544815482</v>
      </c>
      <c r="N385" s="3">
        <f ca="1"/>
        <v>96.391849726718476</v>
      </c>
      <c r="O385" s="3">
        <f ca="1"/>
        <v>212.05116696588877</v>
      </c>
      <c r="P385" s="3">
        <f ca="1"/>
        <v>191.81066867017253</v>
      </c>
    </row>
    <row r="386" spans="1:16" x14ac:dyDescent="0.25">
      <c r="A386" vm="5505">
        <f ca="1"/>
        <v>45484</v>
      </c>
      <c r="B386" s="3">
        <f ca="1"/>
        <v>179.31519056759021</v>
      </c>
      <c r="C386" s="3">
        <f ca="1"/>
        <v>177.93333048785681</v>
      </c>
      <c r="D386" s="3">
        <f ca="1"/>
        <v>99.809372517871267</v>
      </c>
      <c r="E386" s="3">
        <f ca="1"/>
        <v>116.06854186873569</v>
      </c>
      <c r="F386" s="3">
        <f ca="1"/>
        <v>110.04816256515136</v>
      </c>
      <c r="G386" s="3">
        <f ca="1"/>
        <v>78.273663560568806</v>
      </c>
      <c r="H386" s="3">
        <f ca="1"/>
        <v>258.07105227610447</v>
      </c>
      <c r="I386" s="3">
        <f ca="1"/>
        <v>106.60621761658021</v>
      </c>
      <c r="J386" s="3">
        <f ca="1"/>
        <v>180.17107309486804</v>
      </c>
      <c r="K386" s="3">
        <f ca="1"/>
        <v>428.64357864357959</v>
      </c>
      <c r="L386" s="3">
        <f ca="1"/>
        <v>183.39378422587291</v>
      </c>
      <c r="M386" s="3">
        <f ca="1"/>
        <v>111.19507908611617</v>
      </c>
      <c r="N386" s="3">
        <f ca="1"/>
        <v>96.540531484932615</v>
      </c>
      <c r="O386" s="3">
        <f ca="1"/>
        <v>214.51974865350098</v>
      </c>
      <c r="P386" s="3">
        <f ca="1"/>
        <v>194.61140328908894</v>
      </c>
    </row>
    <row r="387" spans="1:16" x14ac:dyDescent="0.25">
      <c r="A387" vm="5518">
        <f ca="1"/>
        <v>45485</v>
      </c>
      <c r="B387" s="3">
        <f ca="1"/>
        <v>181.02550041129737</v>
      </c>
      <c r="C387" s="3">
        <f ca="1"/>
        <v>181.84728328140326</v>
      </c>
      <c r="D387" s="3">
        <f ca="1"/>
        <v>100.2382843526608</v>
      </c>
      <c r="E387" s="3">
        <f ca="1"/>
        <v>117.38333872184485</v>
      </c>
      <c r="F387" s="3">
        <f ca="1"/>
        <v>109.21686349541459</v>
      </c>
      <c r="G387" s="3">
        <f ca="1"/>
        <v>78.911230995585967</v>
      </c>
      <c r="H387" s="3">
        <f ca="1"/>
        <v>249.22328785627465</v>
      </c>
      <c r="I387" s="3">
        <f ca="1"/>
        <v>109.26165803108798</v>
      </c>
      <c r="J387" s="3">
        <f ca="1"/>
        <v>185.53654743390376</v>
      </c>
      <c r="K387" s="3">
        <f ca="1"/>
        <v>411.01491101491189</v>
      </c>
      <c r="L387" s="3">
        <f ca="1"/>
        <v>187.85292653438577</v>
      </c>
      <c r="M387" s="3">
        <f ca="1"/>
        <v>113.95869947275941</v>
      </c>
      <c r="N387" s="3">
        <f ca="1"/>
        <v>96.408602600883455</v>
      </c>
      <c r="O387" s="3">
        <f ca="1"/>
        <v>208.22486535008983</v>
      </c>
      <c r="P387" s="3">
        <f ca="1"/>
        <v>189.79046664997048</v>
      </c>
    </row>
    <row r="388" spans="1:16" x14ac:dyDescent="0.25">
      <c r="A388" vm="5531">
        <f ca="1"/>
        <v>45488</v>
      </c>
      <c r="B388" s="3">
        <f ca="1"/>
        <v>184.36386070743117</v>
      </c>
      <c r="C388" s="3">
        <f ca="1"/>
        <v>183.7637116394211</v>
      </c>
      <c r="D388" s="3">
        <f ca="1"/>
        <v>101.19142176330416</v>
      </c>
      <c r="E388" s="3">
        <f ca="1"/>
        <v>119.47408125875616</v>
      </c>
      <c r="F388" s="3">
        <f ca="1"/>
        <v>109.92280794352439</v>
      </c>
      <c r="G388" s="3">
        <f ca="1"/>
        <v>78.64149092692486</v>
      </c>
      <c r="H388" s="3">
        <f ca="1"/>
        <v>253.07307848169677</v>
      </c>
      <c r="I388" s="3">
        <f ca="1"/>
        <v>109.42357512953357</v>
      </c>
      <c r="J388" s="3">
        <f ca="1"/>
        <v>193.93468118195975</v>
      </c>
      <c r="K388" s="3">
        <f ca="1"/>
        <v>399.92784992785073</v>
      </c>
      <c r="L388" s="3">
        <f ca="1"/>
        <v>191.17416968921117</v>
      </c>
      <c r="M388" s="3">
        <f ca="1"/>
        <v>114.15641476274182</v>
      </c>
      <c r="N388" s="3">
        <f ca="1"/>
        <v>97.110129206541728</v>
      </c>
      <c r="O388" s="3">
        <f ca="1"/>
        <v>207.66382405745068</v>
      </c>
      <c r="P388" s="3">
        <f ca="1"/>
        <v>189.31045997161669</v>
      </c>
    </row>
    <row r="389" spans="1:16" x14ac:dyDescent="0.25">
      <c r="A389" vm="5544">
        <f ca="1"/>
        <v>45489</v>
      </c>
      <c r="B389" s="3">
        <f ca="1"/>
        <v>186.70825335892559</v>
      </c>
      <c r="C389" s="3">
        <f ca="1"/>
        <v>183.92163557983682</v>
      </c>
      <c r="D389" s="3">
        <f ca="1"/>
        <v>100.73073868149319</v>
      </c>
      <c r="E389" s="3">
        <f ca="1"/>
        <v>118.81668283220158</v>
      </c>
      <c r="F389" s="3">
        <f ca="1"/>
        <v>108.58349277561517</v>
      </c>
      <c r="G389" s="3">
        <f ca="1"/>
        <v>79.180971064247075</v>
      </c>
      <c r="H389" s="3">
        <f ca="1"/>
        <v>250.19586654059179</v>
      </c>
      <c r="I389" s="3">
        <f ca="1"/>
        <v>112.04663212435224</v>
      </c>
      <c r="J389" s="3">
        <f ca="1"/>
        <v>204.04354587869381</v>
      </c>
      <c r="K389" s="3">
        <f ca="1"/>
        <v>397.75533108866523</v>
      </c>
      <c r="L389" s="3">
        <f ca="1"/>
        <v>182.94573643410843</v>
      </c>
      <c r="M389" s="3">
        <f ca="1"/>
        <v>109.63532513181036</v>
      </c>
      <c r="N389" s="3">
        <f ca="1"/>
        <v>97.141540845601057</v>
      </c>
      <c r="O389" s="3">
        <f ca="1"/>
        <v>209.30206463195697</v>
      </c>
      <c r="P389" s="3">
        <f ca="1"/>
        <v>189.48159278737759</v>
      </c>
    </row>
    <row r="390" spans="1:16" x14ac:dyDescent="0.25">
      <c r="A390" vm="5559">
        <f ca="1"/>
        <v>45490</v>
      </c>
      <c r="B390" s="3">
        <f ca="1"/>
        <v>194.91362763915589</v>
      </c>
      <c r="C390" s="3">
        <f ca="1"/>
        <v>187.83558837338325</v>
      </c>
      <c r="D390" s="3">
        <f ca="1"/>
        <v>102.09690230341536</v>
      </c>
      <c r="E390" s="3">
        <f ca="1"/>
        <v>122.66408018105382</v>
      </c>
      <c r="F390" s="3">
        <f ca="1"/>
        <v>110.14712674012</v>
      </c>
      <c r="G390" s="3">
        <f ca="1"/>
        <v>80.529671407552627</v>
      </c>
      <c r="H390" s="3">
        <f ca="1"/>
        <v>251.30352559773081</v>
      </c>
      <c r="I390" s="3">
        <f ca="1"/>
        <v>114.41062176165794</v>
      </c>
      <c r="J390" s="3">
        <f ca="1"/>
        <v>216.48522550544345</v>
      </c>
      <c r="K390" s="3">
        <f ca="1"/>
        <v>392.64870931537678</v>
      </c>
      <c r="L390" s="3">
        <f ca="1"/>
        <v>184.4605646824549</v>
      </c>
      <c r="M390" s="3">
        <f ca="1"/>
        <v>109.0026362038666</v>
      </c>
      <c r="N390" s="3">
        <f ca="1"/>
        <v>98.125772202793257</v>
      </c>
      <c r="O390" s="3">
        <f ca="1"/>
        <v>206.37342908438066</v>
      </c>
      <c r="P390" s="3">
        <f ca="1"/>
        <v>187.62834961182037</v>
      </c>
    </row>
    <row r="391" spans="1:16" x14ac:dyDescent="0.25">
      <c r="A391" vm="5574">
        <f ca="1"/>
        <v>45491</v>
      </c>
      <c r="B391" s="3">
        <f ca="1"/>
        <v>191.23251987935333</v>
      </c>
      <c r="C391" s="3">
        <f ca="1"/>
        <v>181.77899184770996</v>
      </c>
      <c r="D391" s="3">
        <f ca="1"/>
        <v>103.5901509134233</v>
      </c>
      <c r="E391" s="3">
        <f ca="1"/>
        <v>123.24065093221236</v>
      </c>
      <c r="F391" s="3">
        <f ca="1"/>
        <v>111.78993204459978</v>
      </c>
      <c r="G391" s="3">
        <f ca="1"/>
        <v>83.128984796468757</v>
      </c>
      <c r="H391" s="3">
        <f ca="1"/>
        <v>231.25759827097139</v>
      </c>
      <c r="I391" s="3">
        <f ca="1"/>
        <v>114.79922279792738</v>
      </c>
      <c r="J391" s="3">
        <f ca="1"/>
        <v>224.49455676516354</v>
      </c>
      <c r="K391" s="3">
        <f ca="1"/>
        <v>370.36235369568777</v>
      </c>
      <c r="L391" s="3">
        <f ca="1"/>
        <v>174.19813669013573</v>
      </c>
      <c r="M391" s="3">
        <f ca="1"/>
        <v>109.06414762741669</v>
      </c>
      <c r="N391" s="3">
        <f ca="1"/>
        <v>99.694260046488949</v>
      </c>
      <c r="O391" s="3">
        <f ca="1"/>
        <v>203.1193895870737</v>
      </c>
      <c r="P391" s="3">
        <f ca="1"/>
        <v>185.12396694214846</v>
      </c>
    </row>
    <row r="392" spans="1:16" x14ac:dyDescent="0.25">
      <c r="A392" vm="5586">
        <f ca="1"/>
        <v>45492</v>
      </c>
      <c r="B392" s="3">
        <f ca="1"/>
        <v>187.71250342747504</v>
      </c>
      <c r="C392" s="3">
        <f ca="1"/>
        <v>180.55828247044246</v>
      </c>
      <c r="D392" s="3">
        <f ca="1"/>
        <v>103.55837966640186</v>
      </c>
      <c r="E392" s="3">
        <f ca="1"/>
        <v>121.48399612027141</v>
      </c>
      <c r="F392" s="3">
        <f ca="1"/>
        <v>111.13017087814204</v>
      </c>
      <c r="G392" s="3">
        <f ca="1"/>
        <v>82.810201078960176</v>
      </c>
      <c r="H392" s="3">
        <f ca="1"/>
        <v>232.16263676887769</v>
      </c>
      <c r="I392" s="3">
        <f ca="1"/>
        <v>113.40673575129527</v>
      </c>
      <c r="J392" s="3">
        <f ca="1"/>
        <v>222.5505443234839</v>
      </c>
      <c r="K392" s="3">
        <f ca="1"/>
        <v>381.47346480679892</v>
      </c>
      <c r="L392" s="3">
        <f ca="1"/>
        <v>188.25830310788695</v>
      </c>
      <c r="M392" s="3">
        <f ca="1"/>
        <v>109.07732864674884</v>
      </c>
      <c r="N392" s="3">
        <f ca="1"/>
        <v>99.6796012815946</v>
      </c>
      <c r="O392" s="3">
        <f ca="1"/>
        <v>199.38285457809704</v>
      </c>
      <c r="P392" s="3">
        <f ca="1"/>
        <v>183.80916604057069</v>
      </c>
    </row>
    <row r="393" spans="1:16" x14ac:dyDescent="0.25">
      <c r="A393" vm="5600">
        <f ca="1"/>
        <v>45495</v>
      </c>
      <c r="B393" s="3">
        <f ca="1"/>
        <v>186.67740608719535</v>
      </c>
      <c r="C393" s="3">
        <f ca="1"/>
        <v>177.98454906312676</v>
      </c>
      <c r="D393" s="3">
        <f ca="1"/>
        <v>103.71723590150911</v>
      </c>
      <c r="E393" s="3">
        <f ca="1"/>
        <v>120.85892876387526</v>
      </c>
      <c r="F393" s="3">
        <f ca="1"/>
        <v>110.81348551824233</v>
      </c>
      <c r="G393" s="3">
        <f ca="1"/>
        <v>81.216282491417246</v>
      </c>
      <c r="H393" s="3">
        <f ca="1"/>
        <v>223.92273402674613</v>
      </c>
      <c r="I393" s="3">
        <f ca="1"/>
        <v>112.33808290155432</v>
      </c>
      <c r="J393" s="3">
        <f ca="1"/>
        <v>222.47278382581672</v>
      </c>
      <c r="K393" s="3">
        <f ca="1"/>
        <v>382.22703222703302</v>
      </c>
      <c r="L393" s="3">
        <f ca="1"/>
        <v>183.88450323590064</v>
      </c>
      <c r="M393" s="3">
        <f ca="1"/>
        <v>107.84270650263636</v>
      </c>
      <c r="N393" s="3">
        <f ca="1"/>
        <v>99.453437480367455</v>
      </c>
      <c r="O393" s="3">
        <f ca="1"/>
        <v>199.34919210053869</v>
      </c>
      <c r="P393" s="3">
        <f ca="1"/>
        <v>182.44845145671562</v>
      </c>
    </row>
    <row r="394" spans="1:16" x14ac:dyDescent="0.25">
      <c r="A394" vm="5615">
        <f ca="1"/>
        <v>45496</v>
      </c>
      <c r="B394" s="3">
        <f ca="1"/>
        <v>189.23772964080106</v>
      </c>
      <c r="C394" s="3">
        <f ca="1"/>
        <v>182.41068760937287</v>
      </c>
      <c r="D394" s="3">
        <f ca="1"/>
        <v>102.89118347895152</v>
      </c>
      <c r="E394" s="3">
        <f ca="1"/>
        <v>123.27298200237078</v>
      </c>
      <c r="F394" s="3">
        <f ca="1"/>
        <v>111.00481625651507</v>
      </c>
      <c r="G394" s="3">
        <f ca="1"/>
        <v>80.48062775870514</v>
      </c>
      <c r="H394" s="3">
        <f ca="1"/>
        <v>228.75861137376756</v>
      </c>
      <c r="I394" s="3">
        <f ca="1"/>
        <v>111.75518134715017</v>
      </c>
      <c r="J394" s="3">
        <f ca="1"/>
        <v>228.07153965785403</v>
      </c>
      <c r="K394" s="3">
        <f ca="1"/>
        <v>390.73272406605815</v>
      </c>
      <c r="L394" s="3">
        <f ca="1"/>
        <v>190.39186402105105</v>
      </c>
      <c r="M394" s="3">
        <f ca="1"/>
        <v>106.85852372583496</v>
      </c>
      <c r="N394" s="3">
        <f ca="1"/>
        <v>99.384331874436924</v>
      </c>
      <c r="O394" s="3">
        <f ca="1"/>
        <v>203.84874326750455</v>
      </c>
      <c r="P394" s="3">
        <f ca="1"/>
        <v>184.8818766174135</v>
      </c>
    </row>
    <row r="395" spans="1:16" x14ac:dyDescent="0.25">
      <c r="A395" vm="5628">
        <f ca="1"/>
        <v>45497</v>
      </c>
      <c r="B395" s="3">
        <f ca="1"/>
        <v>189.08006580751342</v>
      </c>
      <c r="C395" s="3">
        <f ca="1"/>
        <v>183.31128089120307</v>
      </c>
      <c r="D395" s="3">
        <f ca="1"/>
        <v>103.19301032565525</v>
      </c>
      <c r="E395" s="3">
        <f ca="1"/>
        <v>124.85181592844039</v>
      </c>
      <c r="F395" s="3">
        <f ca="1"/>
        <v>109.92940555518896</v>
      </c>
      <c r="G395" s="3">
        <f ca="1"/>
        <v>80.431584109857653</v>
      </c>
      <c r="H395" s="3">
        <f ca="1"/>
        <v>229.39348912603018</v>
      </c>
      <c r="I395" s="3">
        <f ca="1"/>
        <v>108.93782383419682</v>
      </c>
      <c r="J395" s="3">
        <f ca="1"/>
        <v>235.30326594090229</v>
      </c>
      <c r="K395" s="3">
        <f ca="1"/>
        <v>391.76687510020918</v>
      </c>
      <c r="L395" s="3">
        <f ca="1"/>
        <v>188.08050636512331</v>
      </c>
      <c r="M395" s="3">
        <f ca="1"/>
        <v>108.07557117750454</v>
      </c>
      <c r="N395" s="3">
        <f ca="1"/>
        <v>104.97560362699696</v>
      </c>
      <c r="O395" s="3">
        <f ca="1"/>
        <v>203.98339317773795</v>
      </c>
      <c r="P395" s="3">
        <f ca="1"/>
        <v>185.67910510059241</v>
      </c>
    </row>
    <row r="396" spans="1:16" x14ac:dyDescent="0.25">
      <c r="A396" vm="5642">
        <f ca="1"/>
        <v>45498</v>
      </c>
      <c r="B396" s="3">
        <f ca="1"/>
        <v>181.40252262133299</v>
      </c>
      <c r="C396" s="3">
        <f ca="1"/>
        <v>175.96568355456898</v>
      </c>
      <c r="D396" s="3">
        <f ca="1"/>
        <v>104.54328832406669</v>
      </c>
      <c r="E396" s="3">
        <f ca="1"/>
        <v>124.86259295182653</v>
      </c>
      <c r="F396" s="3">
        <f ca="1"/>
        <v>110.83987596490064</v>
      </c>
      <c r="G396" s="3">
        <f ca="1"/>
        <v>81.04462972045107</v>
      </c>
      <c r="H396" s="3">
        <f ca="1"/>
        <v>215.85843576928292</v>
      </c>
      <c r="I396" s="3">
        <f ca="1"/>
        <v>107.51295336787558</v>
      </c>
      <c r="J396" s="3">
        <f ca="1"/>
        <v>228.84914463452591</v>
      </c>
      <c r="K396" s="3">
        <f ca="1"/>
        <v>369.78515311848713</v>
      </c>
      <c r="L396" s="3">
        <f ca="1"/>
        <v>179.16222174809752</v>
      </c>
      <c r="M396" s="3">
        <f ca="1"/>
        <v>108.47100175746939</v>
      </c>
      <c r="N396" s="3">
        <f ca="1"/>
        <v>107.8885096224318</v>
      </c>
      <c r="O396" s="3">
        <f ca="1"/>
        <v>193.70511669658893</v>
      </c>
      <c r="P396" s="3">
        <f ca="1"/>
        <v>179.0216211703812</v>
      </c>
    </row>
    <row r="397" spans="1:16" x14ac:dyDescent="0.25">
      <c r="A397" vm="5656">
        <f ca="1"/>
        <v>45499</v>
      </c>
      <c r="B397" s="3">
        <f ca="1"/>
        <v>186.84192486975635</v>
      </c>
      <c r="C397" s="3">
        <f ca="1"/>
        <v>175.28276921763614</v>
      </c>
      <c r="D397" s="3">
        <f ca="1"/>
        <v>104.95631453534548</v>
      </c>
      <c r="E397" s="3">
        <f ca="1"/>
        <v>122.62097208750926</v>
      </c>
      <c r="F397" s="3">
        <f ca="1"/>
        <v>110.11413868179713</v>
      </c>
      <c r="G397" s="3">
        <f ca="1"/>
        <v>81.633153506620772</v>
      </c>
      <c r="H397" s="3">
        <f ca="1"/>
        <v>216.50682155882765</v>
      </c>
      <c r="I397" s="3">
        <f ca="1"/>
        <v>108.80829015544035</v>
      </c>
      <c r="J397" s="3">
        <f ca="1"/>
        <v>240.0466562986006</v>
      </c>
      <c r="K397" s="3">
        <f ca="1"/>
        <v>363.48404681738083</v>
      </c>
      <c r="L397" s="3">
        <f ca="1"/>
        <v>176.95043026811746</v>
      </c>
      <c r="M397" s="3">
        <f ca="1"/>
        <v>109.56942003514953</v>
      </c>
      <c r="N397" s="3">
        <f ca="1"/>
        <v>109.18685737021727</v>
      </c>
      <c r="O397" s="3">
        <f ca="1"/>
        <v>187.70197486535014</v>
      </c>
      <c r="P397" s="3">
        <f ca="1"/>
        <v>174.63895149845533</v>
      </c>
    </row>
    <row r="398" spans="1:16" x14ac:dyDescent="0.25">
      <c r="A398" vm="5670">
        <f ca="1"/>
        <v>45502</v>
      </c>
      <c r="B398" s="3">
        <f ca="1"/>
        <v>190.09117082533629</v>
      </c>
      <c r="C398" s="3">
        <f ca="1"/>
        <v>181.25400145119286</v>
      </c>
      <c r="D398" s="3">
        <f ca="1"/>
        <v>106.51310563939633</v>
      </c>
      <c r="E398" s="3">
        <f ca="1"/>
        <v>125.43916370298507</v>
      </c>
      <c r="F398" s="3">
        <f ca="1"/>
        <v>111.57221085966874</v>
      </c>
      <c r="G398" s="3">
        <f ca="1"/>
        <v>81.804806277586934</v>
      </c>
      <c r="H398" s="3">
        <f ca="1"/>
        <v>218.74915574767002</v>
      </c>
      <c r="I398" s="3">
        <f ca="1"/>
        <v>111.13989637305691</v>
      </c>
      <c r="J398" s="3">
        <f ca="1"/>
        <v>237.79160186625219</v>
      </c>
      <c r="K398" s="3">
        <f ca="1"/>
        <v>373.33654000320729</v>
      </c>
      <c r="L398" s="3">
        <f ca="1"/>
        <v>182.58303107887062</v>
      </c>
      <c r="M398" s="3">
        <f ca="1"/>
        <v>111.37082601054497</v>
      </c>
      <c r="N398" s="3">
        <f ca="1"/>
        <v>109.89885452222866</v>
      </c>
      <c r="O398" s="3">
        <f ca="1"/>
        <v>187.38779174147223</v>
      </c>
      <c r="P398" s="3">
        <f ca="1"/>
        <v>177.50646965522967</v>
      </c>
    </row>
    <row r="399" spans="1:16" x14ac:dyDescent="0.25">
      <c r="A399" vm="5683">
        <f ca="1"/>
        <v>45503</v>
      </c>
      <c r="B399" s="3">
        <f ca="1"/>
        <v>188.00383877159348</v>
      </c>
      <c r="C399" s="3">
        <f ca="1"/>
        <v>181.88996542746156</v>
      </c>
      <c r="D399" s="3">
        <f ca="1"/>
        <v>106.16362192216043</v>
      </c>
      <c r="E399" s="3">
        <f ca="1"/>
        <v>127.34130833063891</v>
      </c>
      <c r="F399" s="3">
        <f ca="1"/>
        <v>112.11321501616409</v>
      </c>
      <c r="G399" s="3">
        <f ca="1"/>
        <v>81.951937224129352</v>
      </c>
      <c r="H399" s="3">
        <f ca="1"/>
        <v>216.14210455220871</v>
      </c>
      <c r="I399" s="3">
        <f ca="1"/>
        <v>111.39896373056987</v>
      </c>
      <c r="J399" s="3">
        <f ca="1"/>
        <v>234.44790046656323</v>
      </c>
      <c r="K399" s="3">
        <f ca="1"/>
        <v>373.34455667789064</v>
      </c>
      <c r="L399" s="3">
        <f ca="1"/>
        <v>182.22032572363273</v>
      </c>
      <c r="M399" s="3">
        <f ca="1"/>
        <v>108.15905096660823</v>
      </c>
      <c r="N399" s="3">
        <f ca="1"/>
        <v>110.49358155508523</v>
      </c>
      <c r="O399" s="3">
        <f ca="1"/>
        <v>190.22666068222625</v>
      </c>
      <c r="P399" s="3">
        <f ca="1"/>
        <v>178.11586943818321</v>
      </c>
    </row>
    <row r="400" spans="1:16" x14ac:dyDescent="0.25">
      <c r="A400" vm="5696">
        <f ca="1"/>
        <v>45504</v>
      </c>
      <c r="B400" s="3">
        <f ca="1"/>
        <v>188.92582944886249</v>
      </c>
      <c r="C400" s="3">
        <f ca="1"/>
        <v>178.05284049682007</v>
      </c>
      <c r="D400" s="3">
        <f ca="1"/>
        <v>107.51389992057187</v>
      </c>
      <c r="E400" s="3">
        <f ca="1"/>
        <v>127.8370514064014</v>
      </c>
      <c r="F400" s="3">
        <f ca="1"/>
        <v>106.68338061621687</v>
      </c>
      <c r="G400" s="3">
        <f ca="1"/>
        <v>82.981853849926324</v>
      </c>
      <c r="H400" s="3">
        <f ca="1"/>
        <v>208.75320815885465</v>
      </c>
      <c r="I400" s="3">
        <f ca="1"/>
        <v>113.40673575129529</v>
      </c>
      <c r="J400" s="3">
        <f ca="1"/>
        <v>237.71384136858501</v>
      </c>
      <c r="K400" s="3">
        <f ca="1"/>
        <v>371.32435465768862</v>
      </c>
      <c r="L400" s="3">
        <f ca="1"/>
        <v>178.93464191736004</v>
      </c>
      <c r="M400" s="3">
        <f ca="1"/>
        <v>106.89806678383144</v>
      </c>
      <c r="N400" s="3">
        <f ca="1"/>
        <v>112.5918790442482</v>
      </c>
      <c r="O400" s="3">
        <f ca="1"/>
        <v>191.07944344703773</v>
      </c>
      <c r="P400" s="3">
        <f ca="1"/>
        <v>176.52558644294155</v>
      </c>
    </row>
    <row r="401" spans="1:16" x14ac:dyDescent="0.25">
      <c r="A401" vm="5710">
        <f ca="1"/>
        <v>45505</v>
      </c>
      <c r="B401" s="3">
        <f ca="1"/>
        <v>192.33616671236672</v>
      </c>
      <c r="C401" s="3">
        <f ca="1"/>
        <v>178.65892697084797</v>
      </c>
      <c r="D401" s="3">
        <f ca="1"/>
        <v>106.02065131056391</v>
      </c>
      <c r="E401" s="3">
        <f ca="1"/>
        <v>128.65610518374808</v>
      </c>
      <c r="F401" s="3">
        <f ca="1"/>
        <v>106.06320511974658</v>
      </c>
      <c r="G401" s="3">
        <f ca="1"/>
        <v>86.341343795978304</v>
      </c>
      <c r="H401" s="3">
        <f ca="1"/>
        <v>223.96325813859264</v>
      </c>
      <c r="I401" s="3">
        <f ca="1"/>
        <v>113.66580310880823</v>
      </c>
      <c r="J401" s="3">
        <f ca="1"/>
        <v>242.76827371695202</v>
      </c>
      <c r="K401" s="3">
        <f ca="1"/>
        <v>380.65576398909798</v>
      </c>
      <c r="L401" s="3">
        <f ca="1"/>
        <v>188.73479837849365</v>
      </c>
      <c r="M401" s="3">
        <f ca="1"/>
        <v>107.71528998242547</v>
      </c>
      <c r="N401" s="3">
        <f ca="1"/>
        <v>113.48396959353305</v>
      </c>
      <c r="O401" s="3">
        <f ca="1"/>
        <v>192.48204667863556</v>
      </c>
      <c r="P401" s="3">
        <f ca="1"/>
        <v>174.61808164287478</v>
      </c>
    </row>
    <row r="402" spans="1:16" x14ac:dyDescent="0.25">
      <c r="A402" vm="5725">
        <f ca="1"/>
        <v>45506</v>
      </c>
      <c r="B402" s="3">
        <f ca="1"/>
        <v>183.21222922950406</v>
      </c>
      <c r="C402" s="3">
        <f ca="1"/>
        <v>172.86269153613034</v>
      </c>
      <c r="D402" s="3">
        <f ca="1"/>
        <v>107.95869737887209</v>
      </c>
      <c r="E402" s="3">
        <f ca="1"/>
        <v>129.86852031468891</v>
      </c>
      <c r="F402" s="3">
        <f ca="1"/>
        <v>109.31582767038326</v>
      </c>
      <c r="G402" s="3">
        <f ca="1"/>
        <v>86.807258460029303</v>
      </c>
      <c r="H402" s="3">
        <f ca="1"/>
        <v>213.67013372956927</v>
      </c>
      <c r="I402" s="3">
        <f ca="1"/>
        <v>112.59715025906731</v>
      </c>
      <c r="J402" s="3">
        <f ca="1"/>
        <v>231.49300155521018</v>
      </c>
      <c r="K402" s="3">
        <f ca="1"/>
        <v>399.02196568863309</v>
      </c>
      <c r="L402" s="3">
        <f ca="1"/>
        <v>181.2673351824194</v>
      </c>
      <c r="M402" s="3">
        <f ca="1"/>
        <v>107.8075571177506</v>
      </c>
      <c r="N402" s="3">
        <f ca="1"/>
        <v>114.93728142734453</v>
      </c>
      <c r="O402" s="3">
        <f ca="1"/>
        <v>191.6068222621185</v>
      </c>
      <c r="P402" s="3">
        <f ca="1"/>
        <v>174.10050922447593</v>
      </c>
    </row>
    <row r="403" spans="1:16" x14ac:dyDescent="0.25">
      <c r="A403" vm="5740">
        <f ca="1"/>
        <v>45509</v>
      </c>
      <c r="B403" s="3">
        <f ca="1"/>
        <v>177.7179873868937</v>
      </c>
      <c r="C403" s="3">
        <f ca="1"/>
        <v>169.56336164582345</v>
      </c>
      <c r="D403" s="3">
        <f ca="1"/>
        <v>110.13502779984113</v>
      </c>
      <c r="E403" s="3">
        <f ca="1"/>
        <v>130.72529367388711</v>
      </c>
      <c r="F403" s="3">
        <f ca="1"/>
        <v>112.21217919113275</v>
      </c>
      <c r="G403" s="3">
        <f ca="1"/>
        <v>88.425698871995948</v>
      </c>
      <c r="H403" s="3">
        <f ca="1"/>
        <v>202.4314467107931</v>
      </c>
      <c r="I403" s="3">
        <f ca="1"/>
        <v>110.36269430051807</v>
      </c>
      <c r="J403" s="3">
        <f ca="1"/>
        <v>218.8958009331262</v>
      </c>
      <c r="K403" s="3">
        <f ca="1"/>
        <v>391.32595799262538</v>
      </c>
      <c r="L403" s="3">
        <f ca="1"/>
        <v>171.33916506649592</v>
      </c>
      <c r="M403" s="3">
        <f ca="1"/>
        <v>108.49736379613374</v>
      </c>
      <c r="N403" s="3">
        <f ca="1"/>
        <v>114.91843444390892</v>
      </c>
      <c r="O403" s="3">
        <f ca="1"/>
        <v>187.00628366247759</v>
      </c>
      <c r="P403" s="3">
        <f ca="1"/>
        <v>170.50254612238061</v>
      </c>
    </row>
    <row r="404" spans="1:16" x14ac:dyDescent="0.25">
      <c r="A404" vm="5754">
        <f ca="1"/>
        <v>45510</v>
      </c>
      <c r="B404" s="3">
        <f ca="1"/>
        <v>173.53646833013471</v>
      </c>
      <c r="C404" s="3">
        <f ca="1"/>
        <v>160.90315421059364</v>
      </c>
      <c r="D404" s="3">
        <f ca="1"/>
        <v>108.18109610802222</v>
      </c>
      <c r="E404" s="3">
        <f ca="1"/>
        <v>128.19269317814405</v>
      </c>
      <c r="F404" s="3">
        <f ca="1"/>
        <v>110.8794616348881</v>
      </c>
      <c r="G404" s="3">
        <f ca="1"/>
        <v>86.31682197155456</v>
      </c>
      <c r="H404" s="3">
        <f ca="1"/>
        <v>199.85141158989614</v>
      </c>
      <c r="I404" s="3">
        <f ca="1"/>
        <v>106.86528497409321</v>
      </c>
      <c r="J404" s="3">
        <f ca="1"/>
        <v>209.95334370139992</v>
      </c>
      <c r="K404" s="3">
        <f ca="1"/>
        <v>381.37726471059875</v>
      </c>
      <c r="L404" s="3">
        <f ca="1"/>
        <v>170.38617452528266</v>
      </c>
      <c r="M404" s="3">
        <f ca="1"/>
        <v>103.8752196836557</v>
      </c>
      <c r="N404" s="3">
        <f ca="1"/>
        <v>114.20853140116816</v>
      </c>
      <c r="O404" s="3">
        <f ca="1"/>
        <v>178.69165170556556</v>
      </c>
      <c r="P404" s="3">
        <f ca="1"/>
        <v>164.9344686534767</v>
      </c>
    </row>
    <row r="405" spans="1:16" x14ac:dyDescent="0.25">
      <c r="A405" vm="5769">
        <f ca="1"/>
        <v>45511</v>
      </c>
      <c r="B405" s="3">
        <f ca="1"/>
        <v>177.55004112969598</v>
      </c>
      <c r="C405" s="3">
        <f ca="1"/>
        <v>163.48115583251519</v>
      </c>
      <c r="D405" s="3">
        <f ca="1"/>
        <v>108.1016679904686</v>
      </c>
      <c r="E405" s="3">
        <f ca="1"/>
        <v>128.88242267485705</v>
      </c>
      <c r="F405" s="3">
        <f ca="1"/>
        <v>110.89925446988184</v>
      </c>
      <c r="G405" s="3">
        <f ca="1"/>
        <v>85.384992643452549</v>
      </c>
      <c r="H405" s="3">
        <f ca="1"/>
        <v>209.90139132784023</v>
      </c>
      <c r="I405" s="3">
        <f ca="1"/>
        <v>109.65025906735747</v>
      </c>
      <c r="J405" s="3">
        <f ca="1"/>
        <v>214.46345256609663</v>
      </c>
      <c r="K405" s="3">
        <f ca="1"/>
        <v>396.09587942921343</v>
      </c>
      <c r="L405" s="3">
        <f ca="1"/>
        <v>176.39570443069479</v>
      </c>
      <c r="M405" s="3">
        <f ca="1"/>
        <v>104.79789103690705</v>
      </c>
      <c r="N405" s="3">
        <f ca="1"/>
        <v>113.40858165979066</v>
      </c>
      <c r="O405" s="3">
        <f ca="1"/>
        <v>177.61445242369842</v>
      </c>
      <c r="P405" s="3">
        <f ca="1"/>
        <v>166.79605977126619</v>
      </c>
    </row>
    <row r="406" spans="1:16" x14ac:dyDescent="0.25">
      <c r="A406" vm="5782">
        <f ca="1"/>
        <v>45512</v>
      </c>
      <c r="B406" s="3">
        <f ca="1"/>
        <v>175.65807513024438</v>
      </c>
      <c r="C406" s="3">
        <f ca="1"/>
        <v>160.69827990951379</v>
      </c>
      <c r="D406" s="3">
        <f ca="1"/>
        <v>108.75297855440823</v>
      </c>
      <c r="E406" s="3">
        <f ca="1"/>
        <v>125.8379135682723</v>
      </c>
      <c r="F406" s="3">
        <f ca="1"/>
        <v>112.17259352114529</v>
      </c>
      <c r="G406" s="3">
        <f ca="1"/>
        <v>85.017165277096495</v>
      </c>
      <c r="H406" s="3">
        <f ca="1"/>
        <v>209.42861002296382</v>
      </c>
      <c r="I406" s="3">
        <f ca="1"/>
        <v>108.8730569948186</v>
      </c>
      <c r="J406" s="3">
        <f ca="1"/>
        <v>204.97667185070006</v>
      </c>
      <c r="K406" s="3">
        <f ca="1"/>
        <v>391.95125861792599</v>
      </c>
      <c r="L406" s="3">
        <f ca="1"/>
        <v>176.72996230709049</v>
      </c>
      <c r="M406" s="3">
        <f ca="1"/>
        <v>104.48594024604589</v>
      </c>
      <c r="N406" s="3">
        <f ca="1"/>
        <v>114.86398760287277</v>
      </c>
      <c r="O406" s="3">
        <f ca="1"/>
        <v>178.3438061041293</v>
      </c>
      <c r="P406" s="3">
        <f ca="1"/>
        <v>166.30353117956403</v>
      </c>
    </row>
    <row r="407" spans="1:16" x14ac:dyDescent="0.25">
      <c r="A407" vm="5795">
        <f ca="1"/>
        <v>45513</v>
      </c>
      <c r="B407" s="3">
        <f ca="1"/>
        <v>194.70797916095461</v>
      </c>
      <c r="C407" s="3">
        <f ca="1"/>
        <v>164.56528234239613</v>
      </c>
      <c r="D407" s="3">
        <f ca="1"/>
        <v>109.18189038919776</v>
      </c>
      <c r="E407" s="3">
        <f ca="1"/>
        <v>129.15184825951059</v>
      </c>
      <c r="F407" s="3">
        <f ca="1"/>
        <v>112.73339051263436</v>
      </c>
      <c r="G407" s="3">
        <f ca="1"/>
        <v>86.34134379597829</v>
      </c>
      <c r="H407" s="3">
        <f ca="1"/>
        <v>222.27475347831978</v>
      </c>
      <c r="I407" s="3">
        <f ca="1"/>
        <v>110.91321243523311</v>
      </c>
      <c r="J407" s="3">
        <f ca="1"/>
        <v>216.48522550544345</v>
      </c>
      <c r="K407" s="3">
        <f ca="1"/>
        <v>408.55379188712595</v>
      </c>
      <c r="L407" s="3">
        <f ca="1"/>
        <v>186.89993599317256</v>
      </c>
      <c r="M407" s="3">
        <f ca="1"/>
        <v>105.39103690685431</v>
      </c>
      <c r="N407" s="3">
        <f ca="1"/>
        <v>115.51525558603612</v>
      </c>
      <c r="O407" s="3">
        <f ca="1"/>
        <v>181.8110412926392</v>
      </c>
      <c r="P407" s="3">
        <f ca="1"/>
        <v>168.08164287503109</v>
      </c>
    </row>
    <row r="408" spans="1:16" x14ac:dyDescent="0.25">
      <c r="A408" vm="5808">
        <f ca="1"/>
        <v>45516</v>
      </c>
      <c r="B408" s="3">
        <f ca="1"/>
        <v>195.30093227310152</v>
      </c>
      <c r="C408" s="3">
        <f ca="1"/>
        <v>165.67074992530618</v>
      </c>
      <c r="D408" s="3">
        <f ca="1"/>
        <v>109.10246227164416</v>
      </c>
      <c r="E408" s="3">
        <f ca="1"/>
        <v>127.15809893307454</v>
      </c>
      <c r="F408" s="3">
        <f ca="1"/>
        <v>112.51566932770329</v>
      </c>
      <c r="G408" s="3">
        <f ca="1"/>
        <v>86.488474742520708</v>
      </c>
      <c r="H408" s="3">
        <f ca="1"/>
        <v>225.74631905984077</v>
      </c>
      <c r="I408" s="3">
        <f ca="1"/>
        <v>110.10362694300512</v>
      </c>
      <c r="J408" s="3">
        <f ca="1"/>
        <v>218.11819595645431</v>
      </c>
      <c r="K408" s="3">
        <f ca="1"/>
        <v>415.0793650793658</v>
      </c>
      <c r="L408" s="3">
        <f ca="1"/>
        <v>184.63836142521865</v>
      </c>
      <c r="M408" s="3">
        <f ca="1"/>
        <v>106.06766256590528</v>
      </c>
      <c r="N408" s="3">
        <f ca="1"/>
        <v>115.50687914895363</v>
      </c>
      <c r="O408" s="3">
        <f ca="1"/>
        <v>183.65125673249557</v>
      </c>
      <c r="P408" s="3">
        <f ca="1"/>
        <v>169.471575256699</v>
      </c>
    </row>
    <row r="409" spans="1:16" x14ac:dyDescent="0.25">
      <c r="A409" vm="5822">
        <f ca="1"/>
        <v>45517</v>
      </c>
      <c r="B409" s="3">
        <f ca="1"/>
        <v>194.60515492185394</v>
      </c>
      <c r="C409" s="3">
        <f ca="1"/>
        <v>163.86956336164576</v>
      </c>
      <c r="D409" s="3">
        <f ca="1"/>
        <v>108.29229547259729</v>
      </c>
      <c r="E409" s="3">
        <f ca="1"/>
        <v>126.05884254768819</v>
      </c>
      <c r="F409" s="3">
        <f ca="1"/>
        <v>110.05476017681592</v>
      </c>
      <c r="G409" s="3">
        <f ca="1"/>
        <v>83.791074055909618</v>
      </c>
      <c r="H409" s="3">
        <f ca="1"/>
        <v>226.43522896123207</v>
      </c>
      <c r="I409" s="3">
        <f ca="1"/>
        <v>108.48445595854918</v>
      </c>
      <c r="J409" s="3">
        <f ca="1"/>
        <v>216.71850699844501</v>
      </c>
      <c r="K409" s="3">
        <f ca="1"/>
        <v>413.62033028699773</v>
      </c>
      <c r="L409" s="3">
        <f ca="1"/>
        <v>184.93705995306163</v>
      </c>
      <c r="M409" s="3">
        <f ca="1"/>
        <v>104.92091388400722</v>
      </c>
      <c r="N409" s="3">
        <f ca="1"/>
        <v>116.62303939019499</v>
      </c>
      <c r="O409" s="3">
        <f ca="1"/>
        <v>182.10278276481156</v>
      </c>
      <c r="P409" s="3">
        <f ca="1"/>
        <v>169.80131897487246</v>
      </c>
    </row>
    <row r="410" spans="1:16" x14ac:dyDescent="0.25">
      <c r="A410" vm="5833">
        <f ca="1"/>
        <v>45518</v>
      </c>
      <c r="B410" s="3">
        <f ca="1"/>
        <v>195.89045791061181</v>
      </c>
      <c r="C410" s="3">
        <f ca="1"/>
        <v>168.82496051901484</v>
      </c>
      <c r="D410" s="3">
        <f ca="1"/>
        <v>108.75297855440824</v>
      </c>
      <c r="E410" s="3">
        <f ca="1"/>
        <v>125.97801487229214</v>
      </c>
      <c r="F410" s="3">
        <f ca="1"/>
        <v>110.37144553671563</v>
      </c>
      <c r="G410" s="3">
        <f ca="1"/>
        <v>84.771947032859103</v>
      </c>
      <c r="H410" s="3">
        <f ca="1"/>
        <v>232.79751452114024</v>
      </c>
      <c r="I410" s="3">
        <f ca="1"/>
        <v>107.57772020725385</v>
      </c>
      <c r="J410" s="3">
        <f ca="1"/>
        <v>216.40746500777627</v>
      </c>
      <c r="K410" s="3">
        <f ca="1"/>
        <v>423.71332371332448</v>
      </c>
      <c r="L410" s="3">
        <f ca="1"/>
        <v>186.33098641632884</v>
      </c>
      <c r="M410" s="3">
        <f ca="1"/>
        <v>105.49209138840089</v>
      </c>
      <c r="N410" s="3">
        <f ca="1"/>
        <v>117.14866081712105</v>
      </c>
      <c r="O410" s="3">
        <f ca="1"/>
        <v>184.20107719928197</v>
      </c>
      <c r="P410" s="3">
        <f ca="1"/>
        <v>172.80657817847876</v>
      </c>
    </row>
    <row r="411" spans="1:16" x14ac:dyDescent="0.25">
      <c r="A411" vm="5846">
        <f ca="1"/>
        <v>45519</v>
      </c>
      <c r="B411" s="3">
        <f ca="1"/>
        <v>198.24170551137959</v>
      </c>
      <c r="C411" s="3">
        <f ca="1"/>
        <v>169.22617269196289</v>
      </c>
      <c r="D411" s="3">
        <f ca="1"/>
        <v>108.94360603653692</v>
      </c>
      <c r="E411" s="3">
        <f ca="1"/>
        <v>125.4391637029851</v>
      </c>
      <c r="F411" s="3">
        <f ca="1"/>
        <v>111.36768489806684</v>
      </c>
      <c r="G411" s="3">
        <f ca="1"/>
        <v>84.575772437469212</v>
      </c>
      <c r="H411" s="3">
        <f ca="1"/>
        <v>229.59610968526289</v>
      </c>
      <c r="I411" s="3">
        <f ca="1"/>
        <v>108.0310880829015</v>
      </c>
      <c r="J411" s="3">
        <f ca="1"/>
        <v>215.47433903577007</v>
      </c>
      <c r="K411" s="3">
        <f ca="1"/>
        <v>422.28635561968974</v>
      </c>
      <c r="L411" s="3">
        <f ca="1"/>
        <v>187.37643126377927</v>
      </c>
      <c r="M411" s="3">
        <f ca="1"/>
        <v>105.92267135325152</v>
      </c>
      <c r="N411" s="3">
        <f ca="1"/>
        <v>117.94442233995733</v>
      </c>
      <c r="O411" s="3">
        <f ca="1"/>
        <v>179.94838420107729</v>
      </c>
      <c r="P411" s="3">
        <f ca="1"/>
        <v>173.99615994657296</v>
      </c>
    </row>
    <row r="412" spans="1:16" x14ac:dyDescent="0.25">
      <c r="A412" vm="5860">
        <f ca="1"/>
        <v>45520</v>
      </c>
      <c r="B412" s="3">
        <f ca="1"/>
        <v>202.50891143405579</v>
      </c>
      <c r="C412" s="3">
        <f ca="1"/>
        <v>173.50719194161076</v>
      </c>
      <c r="D412" s="3">
        <f ca="1"/>
        <v>109.05480540111199</v>
      </c>
      <c r="E412" s="3">
        <f ca="1"/>
        <v>124.10820131479672</v>
      </c>
      <c r="F412" s="3">
        <f ca="1"/>
        <v>110.78709507158402</v>
      </c>
      <c r="G412" s="3">
        <f ca="1"/>
        <v>83.840117704757091</v>
      </c>
      <c r="H412" s="3">
        <f ca="1"/>
        <v>234.98581656085389</v>
      </c>
      <c r="I412" s="3">
        <f ca="1"/>
        <v>108.90544041450772</v>
      </c>
      <c r="J412" s="3">
        <f ca="1"/>
        <v>224.41679626749635</v>
      </c>
      <c r="K412" s="3">
        <f ca="1"/>
        <v>430.7599807599816</v>
      </c>
      <c r="L412" s="3">
        <f ca="1"/>
        <v>190.55543702439368</v>
      </c>
      <c r="M412" s="3">
        <f ca="1"/>
        <v>107.75043936731126</v>
      </c>
      <c r="N412" s="3">
        <f ca="1"/>
        <v>117.33084832366515</v>
      </c>
      <c r="O412" s="3">
        <f ca="1"/>
        <v>180.99192100538608</v>
      </c>
      <c r="P412" s="3">
        <f ca="1"/>
        <v>175.73670590199492</v>
      </c>
    </row>
    <row r="413" spans="1:16" x14ac:dyDescent="0.25">
      <c r="A413" vm="5873">
        <f ca="1"/>
        <v>45523</v>
      </c>
      <c r="B413" s="3">
        <f ca="1"/>
        <v>199.95887030436012</v>
      </c>
      <c r="C413" s="3">
        <f ca="1"/>
        <v>172.20965470143835</v>
      </c>
      <c r="D413" s="3">
        <f ca="1"/>
        <v>109.89674344718028</v>
      </c>
      <c r="E413" s="3">
        <f ca="1"/>
        <v>125.19668067679693</v>
      </c>
      <c r="F413" s="3">
        <f ca="1"/>
        <v>110.7673022365903</v>
      </c>
      <c r="G413" s="3">
        <f ca="1"/>
        <v>84.894556154977792</v>
      </c>
      <c r="H413" s="3">
        <f ca="1"/>
        <v>235.76928272322047</v>
      </c>
      <c r="I413" s="3">
        <f ca="1"/>
        <v>108.22538860103622</v>
      </c>
      <c r="J413" s="3">
        <f ca="1"/>
        <v>227.44945567651658</v>
      </c>
      <c r="K413" s="3">
        <f ca="1"/>
        <v>422.81545614879025</v>
      </c>
      <c r="L413" s="3">
        <f ca="1"/>
        <v>189.09750373373154</v>
      </c>
      <c r="M413" s="3">
        <f ca="1"/>
        <v>107.9525483304044</v>
      </c>
      <c r="N413" s="3">
        <f ca="1"/>
        <v>117.29734257533521</v>
      </c>
      <c r="O413" s="3">
        <f ca="1"/>
        <v>182.85457809694802</v>
      </c>
      <c r="P413" s="3">
        <f ca="1"/>
        <v>174.66816929626825</v>
      </c>
    </row>
    <row r="414" spans="1:16" x14ac:dyDescent="0.25">
      <c r="A414" vm="5888">
        <f ca="1"/>
        <v>45524</v>
      </c>
      <c r="B414" s="3">
        <f ca="1"/>
        <v>201.02138744173334</v>
      </c>
      <c r="C414" s="3">
        <f ca="1"/>
        <v>174.19864270775528</v>
      </c>
      <c r="D414" s="3">
        <f ca="1"/>
        <v>109.57903097696583</v>
      </c>
      <c r="E414" s="3">
        <f ca="1"/>
        <v>125.85946761504457</v>
      </c>
      <c r="F414" s="3">
        <f ca="1"/>
        <v>111.11697565481289</v>
      </c>
      <c r="G414" s="3">
        <f ca="1"/>
        <v>86.709171162334343</v>
      </c>
      <c r="H414" s="3">
        <f ca="1"/>
        <v>236.9985141158991</v>
      </c>
      <c r="I414" s="3">
        <f ca="1"/>
        <v>108.93782383419682</v>
      </c>
      <c r="J414" s="3">
        <f ca="1"/>
        <v>231.10419906687426</v>
      </c>
      <c r="K414" s="3">
        <f ca="1"/>
        <v>424.30655763989176</v>
      </c>
      <c r="L414" s="3">
        <f ca="1"/>
        <v>190.66922693976241</v>
      </c>
      <c r="M414" s="3">
        <f ca="1"/>
        <v>106.74868189806696</v>
      </c>
      <c r="N414" s="3">
        <f ca="1"/>
        <v>116.93296756224703</v>
      </c>
      <c r="O414" s="3">
        <f ca="1"/>
        <v>187.01750448833042</v>
      </c>
      <c r="P414" s="3">
        <f ca="1"/>
        <v>175.94540445780092</v>
      </c>
    </row>
    <row r="415" spans="1:16" x14ac:dyDescent="0.25">
      <c r="A415" vm="5899">
        <f ca="1"/>
        <v>45525</v>
      </c>
      <c r="B415" s="3">
        <f ca="1"/>
        <v>199.57842061968782</v>
      </c>
      <c r="C415" s="3">
        <f ca="1"/>
        <v>171.87673396218355</v>
      </c>
      <c r="D415" s="3">
        <f ca="1"/>
        <v>110.21445591739472</v>
      </c>
      <c r="E415" s="3">
        <f ca="1"/>
        <v>125.69781226425246</v>
      </c>
      <c r="F415" s="3">
        <f ca="1"/>
        <v>112.42990037606381</v>
      </c>
      <c r="G415" s="3">
        <f ca="1"/>
        <v>86.537518391368181</v>
      </c>
      <c r="H415" s="3">
        <f ca="1"/>
        <v>232.39227340267473</v>
      </c>
      <c r="I415" s="3">
        <f ca="1"/>
        <v>108.7435233160621</v>
      </c>
      <c r="J415" s="3">
        <f ca="1"/>
        <v>223.17262830482139</v>
      </c>
      <c r="K415" s="3">
        <f ca="1"/>
        <v>422.26230559563976</v>
      </c>
      <c r="L415" s="3">
        <f ca="1"/>
        <v>189.78735509565459</v>
      </c>
      <c r="M415" s="3">
        <f ca="1"/>
        <v>106.78822495606344</v>
      </c>
      <c r="N415" s="3">
        <f ca="1"/>
        <v>116.64398048290123</v>
      </c>
      <c r="O415" s="3">
        <f ca="1"/>
        <v>187.58976660682234</v>
      </c>
      <c r="P415" s="3">
        <f ca="1"/>
        <v>177.31029301277215</v>
      </c>
    </row>
    <row r="416" spans="1:16" x14ac:dyDescent="0.25">
      <c r="A416" vm="5913">
        <f ca="1"/>
        <v>45526</v>
      </c>
      <c r="B416" s="3">
        <f ca="1"/>
        <v>200.82944886207886</v>
      </c>
      <c r="C416" s="3">
        <f ca="1"/>
        <v>176.31140893764132</v>
      </c>
      <c r="D416" s="3">
        <f ca="1"/>
        <v>110.51628276409845</v>
      </c>
      <c r="E416" s="3">
        <f ca="1"/>
        <v>126.29593706218326</v>
      </c>
      <c r="F416" s="3">
        <f ca="1"/>
        <v>112.26496008444938</v>
      </c>
      <c r="G416" s="3">
        <f ca="1"/>
        <v>86.905345757724234</v>
      </c>
      <c r="H416" s="3">
        <f ca="1"/>
        <v>231.58179116574377</v>
      </c>
      <c r="I416" s="3">
        <f ca="1"/>
        <v>109.42357512953362</v>
      </c>
      <c r="J416" s="3">
        <f ca="1"/>
        <v>227.37169517884936</v>
      </c>
      <c r="K416" s="3">
        <f ca="1"/>
        <v>429.02036235369644</v>
      </c>
      <c r="L416" s="3">
        <f ca="1"/>
        <v>191.56532252329131</v>
      </c>
      <c r="M416" s="3">
        <f ca="1"/>
        <v>107.53075571177521</v>
      </c>
      <c r="N416" s="3">
        <f ca="1"/>
        <v>115.96339496994916</v>
      </c>
      <c r="O416" s="3">
        <f ca="1"/>
        <v>186.09739676840223</v>
      </c>
      <c r="P416" s="3">
        <f ca="1"/>
        <v>177.03481091910822</v>
      </c>
    </row>
    <row r="417" spans="1:16" x14ac:dyDescent="0.25">
      <c r="A417" vm="5927">
        <f ca="1"/>
        <v>45527</v>
      </c>
      <c r="B417" s="3">
        <f ca="1"/>
        <v>201.29558541266837</v>
      </c>
      <c r="C417" s="3">
        <f ca="1"/>
        <v>175.36386529514698</v>
      </c>
      <c r="D417" s="3">
        <f ca="1"/>
        <v>110.13502779984111</v>
      </c>
      <c r="E417" s="3">
        <f ca="1"/>
        <v>126.16661278154956</v>
      </c>
      <c r="F417" s="3">
        <f ca="1"/>
        <v>112.25836247278481</v>
      </c>
      <c r="G417" s="3">
        <f ca="1"/>
        <v>87.101520353114154</v>
      </c>
      <c r="H417" s="3">
        <f ca="1"/>
        <v>224.82777252465232</v>
      </c>
      <c r="I417" s="3">
        <f ca="1"/>
        <v>107.61010362694294</v>
      </c>
      <c r="J417" s="3">
        <f ca="1"/>
        <v>225.7387247278385</v>
      </c>
      <c r="K417" s="3">
        <f ca="1"/>
        <v>426.43097643097718</v>
      </c>
      <c r="L417" s="3">
        <f ca="1"/>
        <v>190.45587084844601</v>
      </c>
      <c r="M417" s="3">
        <f ca="1"/>
        <v>107.07381370826026</v>
      </c>
      <c r="N417" s="3">
        <f ca="1"/>
        <v>116.64816870144246</v>
      </c>
      <c r="O417" s="3">
        <f ca="1"/>
        <v>183.79712746858178</v>
      </c>
      <c r="P417" s="3">
        <f ca="1"/>
        <v>173.44936973036127</v>
      </c>
    </row>
    <row r="418" spans="1:16" x14ac:dyDescent="0.25">
      <c r="A418" vm="5940">
        <f ca="1"/>
        <v>45530</v>
      </c>
      <c r="B418" s="3">
        <f ca="1"/>
        <v>203.53029887578876</v>
      </c>
      <c r="C418" s="3">
        <f ca="1"/>
        <v>180.44304067608513</v>
      </c>
      <c r="D418" s="3">
        <f ca="1"/>
        <v>110.86576648133436</v>
      </c>
      <c r="E418" s="3">
        <f ca="1"/>
        <v>127.17426446815372</v>
      </c>
      <c r="F418" s="3">
        <f ca="1"/>
        <v>111.61179652965622</v>
      </c>
      <c r="G418" s="3">
        <f ca="1"/>
        <v>88.057871505639895</v>
      </c>
      <c r="H418" s="3">
        <f ca="1"/>
        <v>231.36566256922885</v>
      </c>
      <c r="I418" s="3">
        <f ca="1"/>
        <v>109.09974093264243</v>
      </c>
      <c r="J418" s="3">
        <f ca="1"/>
        <v>237.16951788491471</v>
      </c>
      <c r="K418" s="3">
        <f ca="1"/>
        <v>423.28042328042409</v>
      </c>
      <c r="L418" s="3">
        <f ca="1"/>
        <v>194.27494488300971</v>
      </c>
      <c r="M418" s="3">
        <f ca="1"/>
        <v>107.72407732864691</v>
      </c>
      <c r="N418" s="3">
        <f ca="1"/>
        <v>116.22515862877687</v>
      </c>
      <c r="O418" s="3">
        <f ca="1"/>
        <v>185.83931777378822</v>
      </c>
      <c r="P418" s="3">
        <f ca="1"/>
        <v>173.96694214876015</v>
      </c>
    </row>
    <row r="419" spans="1:16" x14ac:dyDescent="0.25">
      <c r="A419" vm="5954">
        <f ca="1"/>
        <v>45531</v>
      </c>
      <c r="B419" s="3">
        <f ca="1"/>
        <v>202.64943789416</v>
      </c>
      <c r="C419" s="3">
        <f ca="1"/>
        <v>178.94489734943869</v>
      </c>
      <c r="D419" s="3">
        <f ca="1"/>
        <v>112.53375694996025</v>
      </c>
      <c r="E419" s="3">
        <f ca="1"/>
        <v>126.66774436900511</v>
      </c>
      <c r="F419" s="3">
        <f ca="1"/>
        <v>112.39031470607637</v>
      </c>
      <c r="G419" s="3">
        <f ca="1"/>
        <v>88.106915154487382</v>
      </c>
      <c r="H419" s="3">
        <f ca="1"/>
        <v>228.38038632986641</v>
      </c>
      <c r="I419" s="3">
        <f ca="1"/>
        <v>109.0349740932642</v>
      </c>
      <c r="J419" s="3">
        <f ca="1"/>
        <v>235.14774494556789</v>
      </c>
      <c r="K419" s="3">
        <f ca="1"/>
        <v>417.76495109828522</v>
      </c>
      <c r="L419" s="3">
        <f ca="1"/>
        <v>192.73878102553155</v>
      </c>
      <c r="M419" s="3">
        <f ca="1"/>
        <v>106.81458699472775</v>
      </c>
      <c r="N419" s="3">
        <f ca="1"/>
        <v>116.87223839339899</v>
      </c>
      <c r="O419" s="3">
        <f ca="1"/>
        <v>186.44524236983847</v>
      </c>
      <c r="P419" s="3">
        <f ca="1"/>
        <v>172.58953168044059</v>
      </c>
    </row>
    <row r="420" spans="1:16" x14ac:dyDescent="0.25">
      <c r="A420" vm="5968">
        <f ca="1"/>
        <v>45532</v>
      </c>
      <c r="B420" s="3">
        <f ca="1"/>
        <v>202.25185083630424</v>
      </c>
      <c r="C420" s="3">
        <f ca="1"/>
        <v>177.73272440138288</v>
      </c>
      <c r="D420" s="3">
        <f ca="1"/>
        <v>113.58220810166793</v>
      </c>
      <c r="E420" s="3">
        <f ca="1"/>
        <v>127.40058195926269</v>
      </c>
      <c r="F420" s="3">
        <f ca="1"/>
        <v>111.66457742297285</v>
      </c>
      <c r="G420" s="3">
        <f ca="1"/>
        <v>87.641000490436383</v>
      </c>
      <c r="H420" s="3">
        <f ca="1"/>
        <v>230.37957584762952</v>
      </c>
      <c r="I420" s="3">
        <f ca="1"/>
        <v>108.74352331606211</v>
      </c>
      <c r="J420" s="3">
        <f ca="1"/>
        <v>235.7698289269054</v>
      </c>
      <c r="K420" s="3">
        <f ca="1"/>
        <v>416.14558281225032</v>
      </c>
      <c r="L420" s="3">
        <f ca="1"/>
        <v>192.27650949434602</v>
      </c>
      <c r="M420" s="3">
        <f ca="1"/>
        <v>105.4393673110722</v>
      </c>
      <c r="N420" s="3">
        <f ca="1"/>
        <v>117.35597763491259</v>
      </c>
      <c r="O420" s="3">
        <f ca="1"/>
        <v>184.78456014362663</v>
      </c>
      <c r="P420" s="3">
        <f ca="1"/>
        <v>172.73562066950478</v>
      </c>
    </row>
    <row r="421" spans="1:16" x14ac:dyDescent="0.25">
      <c r="A421" vm="5981">
        <f ca="1"/>
        <v>45533</v>
      </c>
      <c r="B421" s="3">
        <f ca="1"/>
        <v>201.5389361118732</v>
      </c>
      <c r="C421" s="3">
        <f ca="1"/>
        <v>177.7497972598062</v>
      </c>
      <c r="D421" s="3">
        <f ca="1"/>
        <v>113.97934868943601</v>
      </c>
      <c r="E421" s="3">
        <f ca="1"/>
        <v>127.74544670761921</v>
      </c>
      <c r="F421" s="3">
        <f ca="1"/>
        <v>111.53922280134589</v>
      </c>
      <c r="G421" s="3">
        <f ca="1"/>
        <v>86.782736635605588</v>
      </c>
      <c r="H421" s="3">
        <f ca="1"/>
        <v>228.55599081453479</v>
      </c>
      <c r="I421" s="3">
        <f ca="1"/>
        <v>109.19689119170977</v>
      </c>
      <c r="J421" s="3">
        <f ca="1"/>
        <v>239.19129082426156</v>
      </c>
      <c r="K421" s="3">
        <f ca="1"/>
        <v>414.28571428571507</v>
      </c>
      <c r="L421" s="3">
        <f ca="1"/>
        <v>190.24251475712958</v>
      </c>
      <c r="M421" s="3">
        <f ca="1"/>
        <v>105.61072056239031</v>
      </c>
      <c r="N421" s="3">
        <f ca="1"/>
        <v>118.10357464452454</v>
      </c>
      <c r="O421" s="3">
        <f ca="1"/>
        <v>182.73114901256739</v>
      </c>
      <c r="P421" s="3">
        <f ca="1"/>
        <v>171.38325402788195</v>
      </c>
    </row>
    <row r="422" spans="1:16" x14ac:dyDescent="0.25">
      <c r="A422" vm="5994">
        <f ca="1"/>
        <v>45534</v>
      </c>
      <c r="B422" s="3">
        <f ca="1"/>
        <v>202.63915547024996</v>
      </c>
      <c r="C422" s="3">
        <f ca="1"/>
        <v>176.49494216569207</v>
      </c>
      <c r="D422" s="3">
        <f ca="1"/>
        <v>114.45591739475768</v>
      </c>
      <c r="E422" s="3">
        <f ca="1"/>
        <v>128.09031145597572</v>
      </c>
      <c r="F422" s="3">
        <f ca="1"/>
        <v>112.1791911328099</v>
      </c>
      <c r="G422" s="3">
        <f ca="1"/>
        <v>86.463952918096993</v>
      </c>
      <c r="H422" s="3">
        <f ca="1"/>
        <v>228.48845062812393</v>
      </c>
      <c r="I422" s="3">
        <f ca="1"/>
        <v>109.90932642487039</v>
      </c>
      <c r="J422" s="3">
        <f ca="1"/>
        <v>236.3141524105757</v>
      </c>
      <c r="K422" s="3">
        <f ca="1"/>
        <v>415.44011544011624</v>
      </c>
      <c r="L422" s="3">
        <f ca="1"/>
        <v>192.76722850437372</v>
      </c>
      <c r="M422" s="3">
        <f ca="1"/>
        <v>104.55623901581737</v>
      </c>
      <c r="N422" s="3">
        <f ca="1"/>
        <v>118.70458400519298</v>
      </c>
      <c r="O422" s="3">
        <f ca="1"/>
        <v>181.53052064631964</v>
      </c>
      <c r="P422" s="3">
        <f ca="1"/>
        <v>172.43509474914416</v>
      </c>
    </row>
    <row r="423" spans="1:16" x14ac:dyDescent="0.25">
      <c r="A423" vm="6007">
        <f ca="1"/>
        <v>45538</v>
      </c>
      <c r="B423" s="3">
        <f ca="1"/>
        <v>205.71702769399553</v>
      </c>
      <c r="C423" s="3">
        <f ca="1"/>
        <v>180.88693499509154</v>
      </c>
      <c r="D423" s="3">
        <f ca="1"/>
        <v>115.12311358220803</v>
      </c>
      <c r="E423" s="3">
        <f ca="1"/>
        <v>129.91701691992657</v>
      </c>
      <c r="F423" s="3">
        <f ca="1"/>
        <v>113.17543049416111</v>
      </c>
      <c r="G423" s="3">
        <f ca="1"/>
        <v>86.880823933300533</v>
      </c>
      <c r="H423" s="3">
        <f ca="1"/>
        <v>231.93300013508056</v>
      </c>
      <c r="I423" s="3">
        <f ca="1"/>
        <v>110.97797927461134</v>
      </c>
      <c r="J423" s="3">
        <f ca="1"/>
        <v>235.14774494556789</v>
      </c>
      <c r="K423" s="3">
        <f ca="1"/>
        <v>417.91726791726865</v>
      </c>
      <c r="L423" s="3">
        <f ca="1"/>
        <v>195.66887134627683</v>
      </c>
      <c r="M423" s="3">
        <f ca="1"/>
        <v>105.7601054481548</v>
      </c>
      <c r="N423" s="3">
        <f ca="1"/>
        <v>118.9663476640207</v>
      </c>
      <c r="O423" s="3">
        <f ca="1"/>
        <v>183.32585278276488</v>
      </c>
      <c r="P423" s="3">
        <f ca="1"/>
        <v>174.11303113782432</v>
      </c>
    </row>
    <row r="424" spans="1:16" x14ac:dyDescent="0.25">
      <c r="A424" vm="6019">
        <f ca="1"/>
        <v>45539</v>
      </c>
      <c r="B424" s="3">
        <f ca="1"/>
        <v>197.1997532218266</v>
      </c>
      <c r="C424" s="3">
        <f ca="1"/>
        <v>172.17977719919756</v>
      </c>
      <c r="D424" s="3">
        <f ca="1"/>
        <v>115.98093725178707</v>
      </c>
      <c r="E424" s="3">
        <f ca="1"/>
        <v>131.02166181700599</v>
      </c>
      <c r="F424" s="3">
        <f ca="1"/>
        <v>115.14151877020518</v>
      </c>
      <c r="G424" s="3">
        <f ca="1"/>
        <v>87.273173124080344</v>
      </c>
      <c r="H424" s="3">
        <f ca="1"/>
        <v>216.79049034175353</v>
      </c>
      <c r="I424" s="3">
        <f ca="1"/>
        <v>111.98186528497401</v>
      </c>
      <c r="J424" s="3">
        <f ca="1"/>
        <v>222.5505443234839</v>
      </c>
      <c r="K424" s="3">
        <f ca="1"/>
        <v>410.26134359467767</v>
      </c>
      <c r="L424" s="3">
        <f ca="1"/>
        <v>183.20176374368813</v>
      </c>
      <c r="M424" s="3">
        <f ca="1"/>
        <v>108.42706502636217</v>
      </c>
      <c r="N424" s="3">
        <f ca="1"/>
        <v>118.78206604820599</v>
      </c>
      <c r="O424" s="3">
        <f ca="1"/>
        <v>176.57091561938969</v>
      </c>
      <c r="P424" s="3">
        <f ca="1"/>
        <v>170.89907337841203</v>
      </c>
    </row>
    <row r="425" spans="1:16" x14ac:dyDescent="0.25">
      <c r="A425" vm="6032">
        <f ca="1"/>
        <v>45540</v>
      </c>
      <c r="B425" s="3">
        <f ca="1"/>
        <v>197.74814916369667</v>
      </c>
      <c r="C425" s="3">
        <f ca="1"/>
        <v>171.72734645097955</v>
      </c>
      <c r="D425" s="3">
        <f ca="1"/>
        <v>115.26608419380455</v>
      </c>
      <c r="E425" s="3">
        <f ca="1"/>
        <v>129.5452096131047</v>
      </c>
      <c r="F425" s="3">
        <f ca="1"/>
        <v>116.05198917991687</v>
      </c>
      <c r="G425" s="3">
        <f ca="1"/>
        <v>88.45022069641972</v>
      </c>
      <c r="H425" s="3">
        <f ca="1"/>
        <v>217.30379575847644</v>
      </c>
      <c r="I425" s="3">
        <f ca="1"/>
        <v>112.88860103626935</v>
      </c>
      <c r="J425" s="3">
        <f ca="1"/>
        <v>223.95023328149324</v>
      </c>
      <c r="K425" s="3">
        <f ca="1"/>
        <v>411.04697771364516</v>
      </c>
      <c r="L425" s="3">
        <f ca="1"/>
        <v>181.82917288955255</v>
      </c>
      <c r="M425" s="3">
        <f ca="1"/>
        <v>108.35237258347993</v>
      </c>
      <c r="N425" s="3">
        <f ca="1"/>
        <v>120.36521265679602</v>
      </c>
      <c r="O425" s="3">
        <f ca="1"/>
        <v>175.54982046678646</v>
      </c>
      <c r="P425" s="3">
        <f ca="1"/>
        <v>170.67367893814156</v>
      </c>
    </row>
    <row r="426" spans="1:16" x14ac:dyDescent="0.25">
      <c r="A426" vm="6045">
        <f ca="1"/>
        <v>45541</v>
      </c>
      <c r="B426" s="3">
        <f ca="1"/>
        <v>197.14834110227631</v>
      </c>
      <c r="C426" s="3">
        <f ca="1"/>
        <v>171.70173716334457</v>
      </c>
      <c r="D426" s="3">
        <f ca="1"/>
        <v>113.05798252581408</v>
      </c>
      <c r="E426" s="3">
        <f ca="1"/>
        <v>128.81237202284714</v>
      </c>
      <c r="F426" s="3">
        <f ca="1"/>
        <v>115.76829187834004</v>
      </c>
      <c r="G426" s="3">
        <f ca="1"/>
        <v>88.597351642962138</v>
      </c>
      <c r="H426" s="3">
        <f ca="1"/>
        <v>221.12657030933417</v>
      </c>
      <c r="I426" s="3">
        <f ca="1"/>
        <v>110.16839378238336</v>
      </c>
      <c r="J426" s="3">
        <f ca="1"/>
        <v>218.66251944012464</v>
      </c>
      <c r="K426" s="3">
        <f ca="1"/>
        <v>414.34984768318185</v>
      </c>
      <c r="L426" s="3">
        <f ca="1"/>
        <v>178.78529265343849</v>
      </c>
      <c r="M426" s="3">
        <f ca="1"/>
        <v>109.09050966608099</v>
      </c>
      <c r="N426" s="3">
        <f ca="1"/>
        <v>119.06895901828118</v>
      </c>
      <c r="O426" s="3">
        <f ca="1"/>
        <v>176.43626570915632</v>
      </c>
      <c r="P426" s="3">
        <f ca="1"/>
        <v>170.46080641121944</v>
      </c>
    </row>
    <row r="427" spans="1:16" x14ac:dyDescent="0.25">
      <c r="A427" vm="6060">
        <f ca="1"/>
        <v>45544</v>
      </c>
      <c r="B427" s="3">
        <f ca="1"/>
        <v>195.81505346860476</v>
      </c>
      <c r="C427" s="3">
        <f ca="1"/>
        <v>171.62917751504546</v>
      </c>
      <c r="D427" s="3">
        <f ca="1"/>
        <v>113.0103256552819</v>
      </c>
      <c r="E427" s="3">
        <f ca="1"/>
        <v>129.22728742321354</v>
      </c>
      <c r="F427" s="3">
        <f ca="1"/>
        <v>115.84746321831497</v>
      </c>
      <c r="G427" s="3">
        <f ca="1"/>
        <v>87.886218734673761</v>
      </c>
      <c r="H427" s="3">
        <f ca="1"/>
        <v>211.83304065919233</v>
      </c>
      <c r="I427" s="3">
        <f ca="1"/>
        <v>108.0634715025906</v>
      </c>
      <c r="J427" s="3">
        <f ca="1"/>
        <v>215.31881804043567</v>
      </c>
      <c r="K427" s="3">
        <f ca="1"/>
        <v>401.05018438351851</v>
      </c>
      <c r="L427" s="3">
        <f ca="1"/>
        <v>176.31747386387872</v>
      </c>
      <c r="M427" s="3">
        <f ca="1"/>
        <v>109.40685413005286</v>
      </c>
      <c r="N427" s="3">
        <f ca="1"/>
        <v>118.65851360123931</v>
      </c>
      <c r="O427" s="3">
        <f ca="1"/>
        <v>169.34470377019758</v>
      </c>
      <c r="P427" s="3">
        <f ca="1"/>
        <v>167.66841973453523</v>
      </c>
    </row>
    <row r="428" spans="1:16" x14ac:dyDescent="0.25">
      <c r="A428" vm="6072">
        <f ca="1"/>
        <v>45545</v>
      </c>
      <c r="B428" s="3">
        <f ca="1"/>
        <v>198.86207842062015</v>
      </c>
      <c r="C428" s="3">
        <f ca="1"/>
        <v>168.62862264714667</v>
      </c>
      <c r="D428" s="3">
        <f ca="1"/>
        <v>114.1382049245432</v>
      </c>
      <c r="E428" s="3">
        <f ca="1"/>
        <v>132.28796206487752</v>
      </c>
      <c r="F428" s="3">
        <f ca="1"/>
        <v>116.15755096655012</v>
      </c>
      <c r="G428" s="3">
        <f ca="1"/>
        <v>88.401177047572219</v>
      </c>
      <c r="H428" s="3">
        <f ca="1"/>
        <v>219.88383087937333</v>
      </c>
      <c r="I428" s="3">
        <f ca="1"/>
        <v>109.32642487046624</v>
      </c>
      <c r="J428" s="3">
        <f ca="1"/>
        <v>213.60808709175757</v>
      </c>
      <c r="K428" s="3">
        <f ca="1"/>
        <v>404.67372134038879</v>
      </c>
      <c r="L428" s="3">
        <f ca="1"/>
        <v>177.83941398193576</v>
      </c>
      <c r="M428" s="3">
        <f ca="1"/>
        <v>110.23286467486832</v>
      </c>
      <c r="N428" s="3">
        <f ca="1"/>
        <v>120.74005821623733</v>
      </c>
      <c r="O428" s="3">
        <f ca="1"/>
        <v>166.86490125673262</v>
      </c>
      <c r="P428" s="3">
        <f ca="1"/>
        <v>169.34635612321546</v>
      </c>
    </row>
    <row r="429" spans="1:16" x14ac:dyDescent="0.25">
      <c r="A429" vm="6081">
        <f ca="1"/>
        <v>45546</v>
      </c>
      <c r="B429" s="3">
        <f ca="1"/>
        <v>199.17055113792205</v>
      </c>
      <c r="C429" s="3">
        <f ca="1"/>
        <v>169.37982841777281</v>
      </c>
      <c r="D429" s="3">
        <f ca="1"/>
        <v>113.66163621922152</v>
      </c>
      <c r="E429" s="3">
        <f ca="1"/>
        <v>133.18784351762025</v>
      </c>
      <c r="F429" s="3">
        <f ca="1"/>
        <v>117.298937784522</v>
      </c>
      <c r="G429" s="3">
        <f ca="1"/>
        <v>87.101520353114168</v>
      </c>
      <c r="H429" s="3">
        <f ca="1"/>
        <v>219.41104957449693</v>
      </c>
      <c r="I429" s="3">
        <f ca="1"/>
        <v>108.51683937823826</v>
      </c>
      <c r="J429" s="3">
        <f ca="1"/>
        <v>218.11819595645431</v>
      </c>
      <c r="K429" s="3">
        <f ca="1"/>
        <v>404.67372134038879</v>
      </c>
      <c r="L429" s="3">
        <f ca="1"/>
        <v>177.81807837280414</v>
      </c>
      <c r="M429" s="3">
        <f ca="1"/>
        <v>109.61775043936746</v>
      </c>
      <c r="N429" s="3">
        <f ca="1"/>
        <v>119.822838355705</v>
      </c>
      <c r="O429" s="3">
        <f ca="1"/>
        <v>166.80879712746869</v>
      </c>
      <c r="P429" s="3">
        <f ca="1"/>
        <v>172.88588362968508</v>
      </c>
    </row>
    <row r="430" spans="1:16" x14ac:dyDescent="0.25">
      <c r="A430" vm="6095">
        <f ca="1"/>
        <v>45547</v>
      </c>
      <c r="B430" s="3">
        <f ca="1"/>
        <v>200.30161776802896</v>
      </c>
      <c r="C430" s="3">
        <f ca="1"/>
        <v>170.66456101412777</v>
      </c>
      <c r="D430" s="3">
        <f ca="1"/>
        <v>112.91501191421756</v>
      </c>
      <c r="E430" s="3">
        <f ca="1"/>
        <v>130.4343140424613</v>
      </c>
      <c r="F430" s="3">
        <f ca="1"/>
        <v>114.74566207033052</v>
      </c>
      <c r="G430" s="3">
        <f ca="1"/>
        <v>86.218734673859615</v>
      </c>
      <c r="H430" s="3">
        <f ca="1"/>
        <v>229.94731865459957</v>
      </c>
      <c r="I430" s="3">
        <f ca="1"/>
        <v>107.83678756476675</v>
      </c>
      <c r="J430" s="3">
        <f ca="1"/>
        <v>217.96267496111994</v>
      </c>
      <c r="K430" s="3">
        <f ca="1"/>
        <v>410.3174603174611</v>
      </c>
      <c r="L430" s="3">
        <f ca="1"/>
        <v>187.10618021477839</v>
      </c>
      <c r="M430" s="3">
        <f ca="1"/>
        <v>109.31019332161701</v>
      </c>
      <c r="N430" s="3">
        <f ca="1"/>
        <v>118.72761920716984</v>
      </c>
      <c r="O430" s="3">
        <f ca="1"/>
        <v>169.6140035906644</v>
      </c>
      <c r="P430" s="3">
        <f ca="1"/>
        <v>176.57567409633506</v>
      </c>
    </row>
    <row r="431" spans="1:16" x14ac:dyDescent="0.25">
      <c r="A431" vm="6106">
        <f ca="1"/>
        <v>45548</v>
      </c>
      <c r="B431" s="3">
        <f ca="1"/>
        <v>201.38127227858556</v>
      </c>
      <c r="C431" s="3">
        <f ca="1"/>
        <v>172.38891971488323</v>
      </c>
      <c r="D431" s="3">
        <f ca="1"/>
        <v>113.1532962668784</v>
      </c>
      <c r="E431" s="3">
        <f ca="1"/>
        <v>132.81603621079839</v>
      </c>
      <c r="F431" s="3">
        <f ca="1"/>
        <v>114.44876954542455</v>
      </c>
      <c r="G431" s="3">
        <f ca="1"/>
        <v>86.316821971554575</v>
      </c>
      <c r="H431" s="3">
        <f ca="1"/>
        <v>231.56828312846153</v>
      </c>
      <c r="I431" s="3">
        <f ca="1"/>
        <v>108.32253886010356</v>
      </c>
      <c r="J431" s="3">
        <f ca="1"/>
        <v>218.27371695178869</v>
      </c>
      <c r="K431" s="3">
        <f ca="1"/>
        <v>421.35642135642217</v>
      </c>
      <c r="L431" s="3">
        <f ca="1"/>
        <v>190.95370172818431</v>
      </c>
      <c r="M431" s="3">
        <f ca="1"/>
        <v>110.59314586994742</v>
      </c>
      <c r="N431" s="3">
        <f ca="1"/>
        <v>119.00194752162129</v>
      </c>
      <c r="O431" s="3">
        <f ca="1"/>
        <v>173.57495511669671</v>
      </c>
      <c r="P431" s="3">
        <f ca="1"/>
        <v>178.22856665831853</v>
      </c>
    </row>
    <row r="432" spans="1:16" x14ac:dyDescent="0.25">
      <c r="A432" vm="6119">
        <f ca="1"/>
        <v>45551</v>
      </c>
      <c r="B432" s="3">
        <f ca="1"/>
        <v>202.67685769125353</v>
      </c>
      <c r="C432" s="3">
        <f ca="1"/>
        <v>175.55166673780354</v>
      </c>
      <c r="D432" s="3">
        <f ca="1"/>
        <v>113.43923749007139</v>
      </c>
      <c r="E432" s="3">
        <f ca="1"/>
        <v>131.92693178144179</v>
      </c>
      <c r="F432" s="3">
        <f ca="1"/>
        <v>114.85122385696378</v>
      </c>
      <c r="G432" s="3">
        <f ca="1"/>
        <v>87.273173124080316</v>
      </c>
      <c r="H432" s="3">
        <f ca="1"/>
        <v>233.01364311765508</v>
      </c>
      <c r="I432" s="3">
        <f ca="1"/>
        <v>108.5492227979274</v>
      </c>
      <c r="J432" s="3">
        <f ca="1"/>
        <v>223.40590979782289</v>
      </c>
      <c r="K432" s="3">
        <f ca="1"/>
        <v>420.57078723745468</v>
      </c>
      <c r="L432" s="3">
        <f ca="1"/>
        <v>191.69333617808121</v>
      </c>
      <c r="M432" s="3">
        <f ca="1"/>
        <v>110.97100175746938</v>
      </c>
      <c r="N432" s="3">
        <f ca="1"/>
        <v>119.34538144200324</v>
      </c>
      <c r="O432" s="3">
        <f ca="1"/>
        <v>176.68312387791755</v>
      </c>
      <c r="P432" s="3">
        <f ca="1"/>
        <v>179.72702228900556</v>
      </c>
    </row>
    <row r="433" spans="1:16" x14ac:dyDescent="0.25">
      <c r="A433" vm="6130">
        <f ca="1"/>
        <v>45552</v>
      </c>
      <c r="B433" s="3">
        <f ca="1"/>
        <v>204.54483136824831</v>
      </c>
      <c r="C433" s="3">
        <f ca="1"/>
        <v>178.53514874727898</v>
      </c>
      <c r="D433" s="3">
        <f ca="1"/>
        <v>114.53534551231125</v>
      </c>
      <c r="E433" s="3">
        <f ca="1"/>
        <v>131.33419549520406</v>
      </c>
      <c r="F433" s="3">
        <f ca="1"/>
        <v>116.93606914297024</v>
      </c>
      <c r="G433" s="3">
        <f ca="1"/>
        <v>87.371260421775276</v>
      </c>
      <c r="H433" s="3">
        <f ca="1"/>
        <v>228.39389436714853</v>
      </c>
      <c r="I433" s="3">
        <f ca="1"/>
        <v>109.48834196891184</v>
      </c>
      <c r="J433" s="3">
        <f ca="1"/>
        <v>224.33903576982914</v>
      </c>
      <c r="K433" s="3">
        <f ca="1"/>
        <v>427.51322751322834</v>
      </c>
      <c r="L433" s="3">
        <f ca="1"/>
        <v>193.11571012019061</v>
      </c>
      <c r="M433" s="3">
        <f ca="1"/>
        <v>111.44551845342723</v>
      </c>
      <c r="N433" s="3">
        <f ca="1"/>
        <v>119.97570833246039</v>
      </c>
      <c r="O433" s="3">
        <f ca="1"/>
        <v>177.3563734290845</v>
      </c>
      <c r="P433" s="3">
        <f ca="1"/>
        <v>180.04007012271455</v>
      </c>
    </row>
    <row r="434" spans="1:16" x14ac:dyDescent="0.25">
      <c r="A434" vm="6141">
        <f ca="1"/>
        <v>45553</v>
      </c>
      <c r="B434" s="3">
        <f ca="1"/>
        <v>207.42048258842931</v>
      </c>
      <c r="C434" s="3">
        <f ca="1"/>
        <v>179.39305988305088</v>
      </c>
      <c r="D434" s="3">
        <f ca="1"/>
        <v>114.05877680698957</v>
      </c>
      <c r="E434" s="3">
        <f ca="1"/>
        <v>130.22955059812463</v>
      </c>
      <c r="F434" s="3">
        <f ca="1"/>
        <v>116.03879395658771</v>
      </c>
      <c r="G434" s="3">
        <f ca="1"/>
        <v>85.924472780774778</v>
      </c>
      <c r="H434" s="3">
        <f ca="1"/>
        <v>226.05700391733086</v>
      </c>
      <c r="I434" s="3">
        <f ca="1"/>
        <v>110.33031088082892</v>
      </c>
      <c r="J434" s="3">
        <f ca="1"/>
        <v>226.36080870917596</v>
      </c>
      <c r="K434" s="3">
        <f ca="1"/>
        <v>429.94628827962248</v>
      </c>
      <c r="L434" s="3">
        <f ca="1"/>
        <v>194.80833511130078</v>
      </c>
      <c r="M434" s="3">
        <f ca="1"/>
        <v>111.09841827768031</v>
      </c>
      <c r="N434" s="3">
        <f ca="1"/>
        <v>118.73808975352296</v>
      </c>
      <c r="O434" s="3">
        <f ca="1"/>
        <v>178.77019748653512</v>
      </c>
      <c r="P434" s="3">
        <f ca="1"/>
        <v>181.63035311795622</v>
      </c>
    </row>
    <row r="435" spans="1:16" x14ac:dyDescent="0.25">
      <c r="A435" vm="6152">
        <f ca="1"/>
        <v>45554</v>
      </c>
      <c r="B435" s="3">
        <f ca="1"/>
        <v>208.74348779819076</v>
      </c>
      <c r="C435" s="3">
        <f ca="1"/>
        <v>181.52289897136023</v>
      </c>
      <c r="D435" s="3">
        <f ca="1"/>
        <v>113.97934868943595</v>
      </c>
      <c r="E435" s="3">
        <f ca="1"/>
        <v>128.45134173941142</v>
      </c>
      <c r="F435" s="3">
        <f ca="1"/>
        <v>114.74566207033052</v>
      </c>
      <c r="G435" s="3">
        <f ca="1"/>
        <v>86.169691025012142</v>
      </c>
      <c r="H435" s="3">
        <f ca="1"/>
        <v>225.96244765635561</v>
      </c>
      <c r="I435" s="3">
        <f ca="1"/>
        <v>110.26554404145068</v>
      </c>
      <c r="J435" s="3">
        <f ca="1"/>
        <v>222.62830482115106</v>
      </c>
      <c r="K435" s="3">
        <f ca="1"/>
        <v>431.25701459034877</v>
      </c>
      <c r="L435" s="3">
        <f ca="1"/>
        <v>193.48552734513905</v>
      </c>
      <c r="M435" s="3">
        <f ca="1"/>
        <v>110.28119507908627</v>
      </c>
      <c r="N435" s="3">
        <f ca="1"/>
        <v>118.41978514438846</v>
      </c>
      <c r="O435" s="3">
        <f ca="1"/>
        <v>179.32001795332147</v>
      </c>
      <c r="P435" s="3">
        <f ca="1"/>
        <v>179.81884965356019</v>
      </c>
    </row>
    <row r="436" spans="1:16" x14ac:dyDescent="0.25">
      <c r="A436" vm="6167">
        <f ca="1"/>
        <v>45555</v>
      </c>
      <c r="B436" s="3">
        <f ca="1"/>
        <v>214.57704962983323</v>
      </c>
      <c r="C436" s="3">
        <f ca="1"/>
        <v>187.18255153869131</v>
      </c>
      <c r="D436" s="3">
        <f ca="1"/>
        <v>112.18427323272428</v>
      </c>
      <c r="E436" s="3">
        <f ca="1"/>
        <v>129.03330100226302</v>
      </c>
      <c r="F436" s="3">
        <f ca="1"/>
        <v>113.17543049416111</v>
      </c>
      <c r="G436" s="3">
        <f ca="1"/>
        <v>85.801863658656089</v>
      </c>
      <c r="H436" s="3">
        <f ca="1"/>
        <v>238.03863298662714</v>
      </c>
      <c r="I436" s="3">
        <f ca="1"/>
        <v>112.69430051813461</v>
      </c>
      <c r="J436" s="3">
        <f ca="1"/>
        <v>228.22706065318843</v>
      </c>
      <c r="K436" s="3">
        <f ca="1"/>
        <v>448.21228154561572</v>
      </c>
      <c r="L436" s="3">
        <f ca="1"/>
        <v>206.05220112367545</v>
      </c>
      <c r="M436" s="3">
        <f ca="1"/>
        <v>109.16080843585252</v>
      </c>
      <c r="N436" s="3">
        <f ca="1"/>
        <v>118.35486775699917</v>
      </c>
      <c r="O436" s="3">
        <f ca="1"/>
        <v>181.93447037701984</v>
      </c>
      <c r="P436" s="3">
        <f ca="1"/>
        <v>183.10793889306265</v>
      </c>
    </row>
    <row r="437" spans="1:16" x14ac:dyDescent="0.25">
      <c r="A437" vm="6180">
        <f ca="1"/>
        <v>45558</v>
      </c>
      <c r="B437" s="3">
        <f ca="1"/>
        <v>213.79558541266843</v>
      </c>
      <c r="C437" s="3">
        <f ca="1"/>
        <v>186.51244184557595</v>
      </c>
      <c r="D437" s="3">
        <f ca="1"/>
        <v>113.80460683081799</v>
      </c>
      <c r="E437" s="3">
        <f ca="1"/>
        <v>127.69695010238155</v>
      </c>
      <c r="F437" s="3">
        <f ca="1"/>
        <v>114.94359042026787</v>
      </c>
      <c r="G437" s="3">
        <f ca="1"/>
        <v>85.728298185384872</v>
      </c>
      <c r="H437" s="3">
        <f ca="1"/>
        <v>235.14791300824001</v>
      </c>
      <c r="I437" s="3">
        <f ca="1"/>
        <v>113.11528497409317</v>
      </c>
      <c r="J437" s="3">
        <f ca="1"/>
        <v>220.06220839813398</v>
      </c>
      <c r="K437" s="3">
        <f ca="1"/>
        <v>450.01603334936755</v>
      </c>
      <c r="L437" s="3">
        <f ca="1"/>
        <v>206.87717801009887</v>
      </c>
      <c r="M437" s="3">
        <f ca="1"/>
        <v>109.00263620386659</v>
      </c>
      <c r="N437" s="3">
        <f ca="1"/>
        <v>119.76629740539821</v>
      </c>
      <c r="O437" s="3">
        <f ca="1"/>
        <v>183.56149012567334</v>
      </c>
      <c r="P437" s="3">
        <f ca="1"/>
        <v>181.68044077134965</v>
      </c>
    </row>
    <row r="438" spans="1:16" x14ac:dyDescent="0.25">
      <c r="A438" vm="6194">
        <f ca="1"/>
        <v>45559</v>
      </c>
      <c r="B438" s="3">
        <f ca="1"/>
        <v>212.06471072114115</v>
      </c>
      <c r="C438" s="3">
        <f ca="1"/>
        <v>188.68923129454942</v>
      </c>
      <c r="D438" s="3">
        <f ca="1"/>
        <v>113.94757744241448</v>
      </c>
      <c r="E438" s="3">
        <f ca="1"/>
        <v>128.99019290871846</v>
      </c>
      <c r="F438" s="3">
        <f ca="1"/>
        <v>114.6466978953619</v>
      </c>
      <c r="G438" s="3">
        <f ca="1"/>
        <v>85.041687101520225</v>
      </c>
      <c r="H438" s="3">
        <f ca="1"/>
        <v>236.06645954342841</v>
      </c>
      <c r="I438" s="3">
        <f ca="1"/>
        <v>110.16839378238333</v>
      </c>
      <c r="J438" s="3">
        <f ca="1"/>
        <v>222.23950233281514</v>
      </c>
      <c r="K438" s="3">
        <f ca="1"/>
        <v>452.46913580247002</v>
      </c>
      <c r="L438" s="3">
        <f ca="1"/>
        <v>210.60379773842544</v>
      </c>
      <c r="M438" s="3">
        <f ca="1"/>
        <v>111.95957820738153</v>
      </c>
      <c r="N438" s="3">
        <f ca="1"/>
        <v>121.56513726886229</v>
      </c>
      <c r="O438" s="3">
        <f ca="1"/>
        <v>181.60906642728912</v>
      </c>
      <c r="P438" s="3">
        <f ca="1"/>
        <v>180.94582185491257</v>
      </c>
    </row>
    <row r="439" spans="1:16" x14ac:dyDescent="0.25">
      <c r="A439" vm="6205">
        <f ca="1"/>
        <v>45560</v>
      </c>
      <c r="B439" s="3">
        <f ca="1"/>
        <v>214.34398135453847</v>
      </c>
      <c r="C439" s="3">
        <f ca="1"/>
        <v>187.16121046566215</v>
      </c>
      <c r="D439" s="3">
        <f ca="1"/>
        <v>113.31215250198557</v>
      </c>
      <c r="E439" s="3">
        <f ca="1"/>
        <v>128.37590257570844</v>
      </c>
      <c r="F439" s="3">
        <f ca="1"/>
        <v>114.29702447713929</v>
      </c>
      <c r="G439" s="3">
        <f ca="1"/>
        <v>85.090730750367712</v>
      </c>
      <c r="H439" s="3">
        <f ca="1"/>
        <v>245.80575442388229</v>
      </c>
      <c r="I439" s="3">
        <f ca="1"/>
        <v>110.55699481865275</v>
      </c>
      <c r="J439" s="3">
        <f ca="1"/>
        <v>223.87247278382605</v>
      </c>
      <c r="K439" s="3">
        <f ca="1"/>
        <v>451.60333493666923</v>
      </c>
      <c r="L439" s="3">
        <f ca="1"/>
        <v>212.10440224735086</v>
      </c>
      <c r="M439" s="3">
        <f ca="1"/>
        <v>110.9270650263622</v>
      </c>
      <c r="N439" s="3">
        <f ca="1"/>
        <v>121.17144472598541</v>
      </c>
      <c r="O439" s="3">
        <f ca="1"/>
        <v>182.10278276481154</v>
      </c>
      <c r="P439" s="3">
        <f ca="1"/>
        <v>179.13431839051654</v>
      </c>
    </row>
    <row r="440" spans="1:16" x14ac:dyDescent="0.25">
      <c r="A440" vm="6219">
        <f ca="1"/>
        <v>45561</v>
      </c>
      <c r="B440" s="3">
        <f ca="1"/>
        <v>213.12722785851435</v>
      </c>
      <c r="C440" s="3">
        <f ca="1"/>
        <v>187.00328652524641</v>
      </c>
      <c r="D440" s="3">
        <f ca="1"/>
        <v>113.50277998411424</v>
      </c>
      <c r="E440" s="3">
        <f ca="1"/>
        <v>127.38980493587655</v>
      </c>
      <c r="F440" s="3">
        <f ca="1"/>
        <v>113.6504585340107</v>
      </c>
      <c r="G440" s="3">
        <f ca="1"/>
        <v>84.649337910740442</v>
      </c>
      <c r="H440" s="3">
        <f ca="1"/>
        <v>246.31905984060523</v>
      </c>
      <c r="I440" s="3">
        <f ca="1"/>
        <v>108.54922279792737</v>
      </c>
      <c r="J440" s="3">
        <f ca="1"/>
        <v>226.51632970451035</v>
      </c>
      <c r="K440" s="3">
        <f ca="1"/>
        <v>455.59563892897319</v>
      </c>
      <c r="L440" s="3">
        <f ca="1"/>
        <v>211.89104615603443</v>
      </c>
      <c r="M440" s="3">
        <f ca="1"/>
        <v>110.67662565905113</v>
      </c>
      <c r="N440" s="3">
        <f ca="1"/>
        <v>121.02695118631252</v>
      </c>
      <c r="O440" s="3">
        <f ca="1"/>
        <v>181.20511669658893</v>
      </c>
      <c r="P440" s="3">
        <f ca="1"/>
        <v>180.36146589865578</v>
      </c>
    </row>
    <row r="441" spans="1:16" x14ac:dyDescent="0.25">
      <c r="A441" vm="6233">
        <f ca="1"/>
        <v>45562</v>
      </c>
      <c r="B441" s="3">
        <f ca="1"/>
        <v>217.78173841513623</v>
      </c>
      <c r="C441" s="3">
        <f ca="1"/>
        <v>189.6410431516496</v>
      </c>
      <c r="D441" s="3">
        <f ca="1"/>
        <v>113.42335186656064</v>
      </c>
      <c r="E441" s="3">
        <f ca="1"/>
        <v>127.57301433344095</v>
      </c>
      <c r="F441" s="3">
        <f ca="1"/>
        <v>114.27723164214557</v>
      </c>
      <c r="G441" s="3">
        <f ca="1"/>
        <v>85.335948994605062</v>
      </c>
      <c r="H441" s="3">
        <f ca="1"/>
        <v>252.37066054302318</v>
      </c>
      <c r="I441" s="3">
        <f ca="1"/>
        <v>109.77979274611388</v>
      </c>
      <c r="J441" s="3">
        <f ca="1"/>
        <v>231.33748055987587</v>
      </c>
      <c r="K441" s="3">
        <f ca="1"/>
        <v>455.21885521885622</v>
      </c>
      <c r="L441" s="3">
        <f ca="1"/>
        <v>210.76737074176802</v>
      </c>
      <c r="M441" s="3">
        <f ca="1"/>
        <v>112.06063268892812</v>
      </c>
      <c r="N441" s="3">
        <f ca="1"/>
        <v>120.91386928569892</v>
      </c>
      <c r="O441" s="3">
        <f ca="1"/>
        <v>182.59649910233398</v>
      </c>
      <c r="P441" s="3">
        <f ca="1"/>
        <v>180.02754820936619</v>
      </c>
    </row>
    <row r="442" spans="1:16" x14ac:dyDescent="0.25">
      <c r="A442" vm="6244">
        <f ca="1"/>
        <v>45565</v>
      </c>
      <c r="B442" s="3">
        <f ca="1"/>
        <v>216.88031258568736</v>
      </c>
      <c r="C442" s="3">
        <f ca="1"/>
        <v>189.76055316061283</v>
      </c>
      <c r="D442" s="3">
        <f ca="1"/>
        <v>114.04289118347883</v>
      </c>
      <c r="E442" s="3">
        <f ca="1"/>
        <v>128.81237202284714</v>
      </c>
      <c r="F442" s="3">
        <f ca="1"/>
        <v>114.50155043874121</v>
      </c>
      <c r="G442" s="3">
        <f ca="1"/>
        <v>86.733692986758072</v>
      </c>
      <c r="H442" s="3">
        <f ca="1"/>
        <v>240.40253951100911</v>
      </c>
      <c r="I442" s="3">
        <f ca="1"/>
        <v>111.81994818652839</v>
      </c>
      <c r="J442" s="3">
        <f ca="1"/>
        <v>236.54743390357729</v>
      </c>
      <c r="K442" s="3">
        <f ca="1"/>
        <v>454.83405483405585</v>
      </c>
      <c r="L442" s="3">
        <f ca="1"/>
        <v>211.03762179076878</v>
      </c>
      <c r="M442" s="3">
        <f ca="1"/>
        <v>113.53251318101951</v>
      </c>
      <c r="N442" s="3">
        <f ca="1"/>
        <v>121.9525474839273</v>
      </c>
      <c r="O442" s="3">
        <f ca="1"/>
        <v>183.96543985637348</v>
      </c>
      <c r="P442" s="3">
        <f ca="1"/>
        <v>178.65431171216275</v>
      </c>
    </row>
    <row r="443" spans="1:16" x14ac:dyDescent="0.25">
      <c r="A443" vm="6255">
        <f ca="1"/>
        <v>45566</v>
      </c>
      <c r="B443" s="3">
        <f ca="1"/>
        <v>216.55470249520206</v>
      </c>
      <c r="C443" s="3">
        <f ca="1"/>
        <v>191.96295189722133</v>
      </c>
      <c r="D443" s="3">
        <f ca="1"/>
        <v>114.15409054805387</v>
      </c>
      <c r="E443" s="3">
        <f ca="1"/>
        <v>130.69296260372869</v>
      </c>
      <c r="F443" s="3">
        <f ca="1"/>
        <v>114.27063403048098</v>
      </c>
      <c r="G443" s="3">
        <f ca="1"/>
        <v>86.096125551740911</v>
      </c>
      <c r="H443" s="3">
        <f ca="1"/>
        <v>234.59408347967045</v>
      </c>
      <c r="I443" s="3">
        <f ca="1"/>
        <v>111.81994818652839</v>
      </c>
      <c r="J443" s="3">
        <f ca="1"/>
        <v>238.72472783825845</v>
      </c>
      <c r="K443" s="3">
        <f ca="1"/>
        <v>458.90652557319333</v>
      </c>
      <c r="L443" s="3">
        <f ca="1"/>
        <v>212.04039541995587</v>
      </c>
      <c r="M443" s="3">
        <f ca="1"/>
        <v>113.22056239015836</v>
      </c>
      <c r="N443" s="3">
        <f ca="1"/>
        <v>122.41325152346407</v>
      </c>
      <c r="O443" s="3">
        <f ca="1"/>
        <v>186.09739676840221</v>
      </c>
      <c r="P443" s="3">
        <f ca="1"/>
        <v>179.60597712663809</v>
      </c>
    </row>
    <row r="444" spans="1:16" x14ac:dyDescent="0.25">
      <c r="A444" vm="6267">
        <f ca="1"/>
        <v>45567</v>
      </c>
      <c r="B444" s="3">
        <f ca="1"/>
        <v>215.97888675623852</v>
      </c>
      <c r="C444" s="3">
        <f ca="1"/>
        <v>191.38674292543422</v>
      </c>
      <c r="D444" s="3">
        <f ca="1"/>
        <v>113.91580619539302</v>
      </c>
      <c r="E444" s="3">
        <f ca="1"/>
        <v>127.05032869921313</v>
      </c>
      <c r="F444" s="3">
        <f ca="1"/>
        <v>114.16507224384775</v>
      </c>
      <c r="G444" s="3">
        <f ca="1"/>
        <v>86.24325649828333</v>
      </c>
      <c r="H444" s="3">
        <f ca="1"/>
        <v>232.43279751452118</v>
      </c>
      <c r="I444" s="3">
        <f ca="1"/>
        <v>111.78756476683928</v>
      </c>
      <c r="J444" s="3">
        <f ca="1"/>
        <v>234.75894245723202</v>
      </c>
      <c r="K444" s="3">
        <f ca="1"/>
        <v>462.1372454705799</v>
      </c>
      <c r="L444" s="3">
        <f ca="1"/>
        <v>210.54690278074105</v>
      </c>
      <c r="M444" s="3">
        <f ca="1"/>
        <v>113.21616871704765</v>
      </c>
      <c r="N444" s="3">
        <f ca="1"/>
        <v>126.87370426988838</v>
      </c>
      <c r="O444" s="3">
        <f ca="1"/>
        <v>187.37657091561945</v>
      </c>
      <c r="P444" s="3">
        <f ca="1"/>
        <v>175.59479088404689</v>
      </c>
    </row>
    <row r="445" spans="1:16" x14ac:dyDescent="0.25">
      <c r="A445" vm="6280">
        <f ca="1"/>
        <v>45568</v>
      </c>
      <c r="B445" s="3">
        <f ca="1"/>
        <v>215.07403345215297</v>
      </c>
      <c r="C445" s="3">
        <f ca="1"/>
        <v>190.08920568526182</v>
      </c>
      <c r="D445" s="3">
        <f ca="1"/>
        <v>112.80381254964244</v>
      </c>
      <c r="E445" s="3">
        <f ca="1"/>
        <v>126.48453497144074</v>
      </c>
      <c r="F445" s="3">
        <f ca="1"/>
        <v>113.42613973741507</v>
      </c>
      <c r="G445" s="3">
        <f ca="1"/>
        <v>84.281510544384361</v>
      </c>
      <c r="H445" s="3">
        <f ca="1"/>
        <v>237.47129542077542</v>
      </c>
      <c r="I445" s="3">
        <f ca="1"/>
        <v>110.6541450777201</v>
      </c>
      <c r="J445" s="3">
        <f ca="1"/>
        <v>232.97045101088676</v>
      </c>
      <c r="K445" s="3">
        <f ca="1"/>
        <v>459.20314253647689</v>
      </c>
      <c r="L445" s="3">
        <f ca="1"/>
        <v>212.70891117274729</v>
      </c>
      <c r="M445" s="3">
        <f ca="1"/>
        <v>112.3330404217928</v>
      </c>
      <c r="N445" s="3">
        <f ca="1"/>
        <v>126.316671203903</v>
      </c>
      <c r="O445" s="3">
        <f ca="1"/>
        <v>186.10861759425501</v>
      </c>
      <c r="P445" s="3">
        <f ca="1"/>
        <v>174.10885716670822</v>
      </c>
    </row>
    <row r="446" spans="1:16" x14ac:dyDescent="0.25">
      <c r="A446" vm="6293">
        <f ca="1"/>
        <v>45569</v>
      </c>
      <c r="B446" s="3">
        <f ca="1"/>
        <v>214.66616397038712</v>
      </c>
      <c r="C446" s="3">
        <f ca="1"/>
        <v>191.16906398053692</v>
      </c>
      <c r="D446" s="3">
        <f ca="1"/>
        <v>112.02541699761701</v>
      </c>
      <c r="E446" s="3">
        <f ca="1"/>
        <v>125.47688328483659</v>
      </c>
      <c r="F446" s="3">
        <f ca="1"/>
        <v>112.23856963779114</v>
      </c>
      <c r="G446" s="3">
        <f ca="1"/>
        <v>83.791074055909633</v>
      </c>
      <c r="H446" s="3">
        <f ca="1"/>
        <v>242.44225314061867</v>
      </c>
      <c r="I446" s="3">
        <f ca="1"/>
        <v>110.49222797927449</v>
      </c>
      <c r="J446" s="3">
        <f ca="1"/>
        <v>230.48211508553683</v>
      </c>
      <c r="K446" s="3">
        <f ca="1"/>
        <v>467.18775052108498</v>
      </c>
      <c r="L446" s="3">
        <f ca="1"/>
        <v>212.21819216271956</v>
      </c>
      <c r="M446" s="3">
        <f ca="1"/>
        <v>107.05184534270668</v>
      </c>
      <c r="N446" s="3">
        <f ca="1"/>
        <v>126.8653278328059</v>
      </c>
      <c r="O446" s="3">
        <f ca="1"/>
        <v>186.10861759425501</v>
      </c>
      <c r="P446" s="3">
        <f ca="1"/>
        <v>173.86259287085716</v>
      </c>
    </row>
    <row r="447" spans="1:16" x14ac:dyDescent="0.25">
      <c r="A447" vm="6305">
        <f ca="1"/>
        <v>45572</v>
      </c>
      <c r="B447" s="3">
        <f ca="1"/>
        <v>216.16397038661964</v>
      </c>
      <c r="C447" s="3">
        <f ca="1"/>
        <v>193.98181740577914</v>
      </c>
      <c r="D447" s="3">
        <f ca="1"/>
        <v>111.46942017474173</v>
      </c>
      <c r="E447" s="3">
        <f ca="1"/>
        <v>124.48539713331164</v>
      </c>
      <c r="F447" s="3">
        <f ca="1"/>
        <v>111.42046579138353</v>
      </c>
      <c r="G447" s="3">
        <f ca="1"/>
        <v>84.82099068170659</v>
      </c>
      <c r="H447" s="3">
        <f ca="1"/>
        <v>244.7116034040254</v>
      </c>
      <c r="I447" s="3">
        <f ca="1"/>
        <v>111.69041450777191</v>
      </c>
      <c r="J447" s="3">
        <f ca="1"/>
        <v>232.89269051321955</v>
      </c>
      <c r="K447" s="3">
        <f ca="1"/>
        <v>477.74571107904563</v>
      </c>
      <c r="L447" s="3">
        <f ca="1"/>
        <v>217.42408079083992</v>
      </c>
      <c r="M447" s="3">
        <f ca="1"/>
        <v>108.37873462214429</v>
      </c>
      <c r="N447" s="3">
        <f ca="1"/>
        <v>126.720834293133</v>
      </c>
      <c r="O447" s="3">
        <f ca="1"/>
        <v>187.45511669658896</v>
      </c>
      <c r="P447" s="3">
        <f ca="1"/>
        <v>173.6622422572834</v>
      </c>
    </row>
    <row r="448" spans="1:16" x14ac:dyDescent="0.25">
      <c r="A448" vm="6316">
        <f ca="1"/>
        <v>45573</v>
      </c>
      <c r="B448" s="3">
        <f ca="1"/>
        <v>215.83150534686098</v>
      </c>
      <c r="C448" s="3">
        <f ca="1"/>
        <v>198.98843313841815</v>
      </c>
      <c r="D448" s="3">
        <f ca="1"/>
        <v>109.62668784749789</v>
      </c>
      <c r="E448" s="3">
        <f ca="1"/>
        <v>121.79114128677645</v>
      </c>
      <c r="F448" s="3">
        <f ca="1"/>
        <v>110.25928613841791</v>
      </c>
      <c r="G448" s="3">
        <f ca="1"/>
        <v>84.82099068170659</v>
      </c>
      <c r="H448" s="3">
        <f ca="1"/>
        <v>249.23679589355666</v>
      </c>
      <c r="I448" s="3">
        <f ca="1"/>
        <v>108.97020725388589</v>
      </c>
      <c r="J448" s="3">
        <f ca="1"/>
        <v>228.84914463452591</v>
      </c>
      <c r="K448" s="3">
        <f ca="1"/>
        <v>468.79910213243659</v>
      </c>
      <c r="L448" s="3">
        <f ca="1"/>
        <v>218.6971054690278</v>
      </c>
      <c r="M448" s="3">
        <f ca="1"/>
        <v>106.79701230228488</v>
      </c>
      <c r="N448" s="3">
        <f ca="1"/>
        <v>126.80669277322849</v>
      </c>
      <c r="O448" s="3">
        <f ca="1"/>
        <v>182.87701974865359</v>
      </c>
      <c r="P448" s="3">
        <f ca="1"/>
        <v>170.94081308957325</v>
      </c>
    </row>
    <row r="449" spans="1:16" x14ac:dyDescent="0.25">
      <c r="A449" vm="6328">
        <f ca="1"/>
        <v>45574</v>
      </c>
      <c r="B449" s="3">
        <f ca="1"/>
        <v>215.019193857966</v>
      </c>
      <c r="C449" s="3">
        <f ca="1"/>
        <v>196.53420974006568</v>
      </c>
      <c r="D449" s="3">
        <f ca="1"/>
        <v>109.89674344718019</v>
      </c>
      <c r="E449" s="3">
        <f ca="1"/>
        <v>122.43776268994489</v>
      </c>
      <c r="F449" s="3">
        <f ca="1"/>
        <v>110.94543775153396</v>
      </c>
      <c r="G449" s="3">
        <f ca="1"/>
        <v>84.992643452672738</v>
      </c>
      <c r="H449" s="3">
        <f ca="1"/>
        <v>251.31703363501288</v>
      </c>
      <c r="I449" s="3">
        <f ca="1"/>
        <v>109.68264248704651</v>
      </c>
      <c r="J449" s="3">
        <f ca="1"/>
        <v>227.68273716951813</v>
      </c>
      <c r="K449" s="3">
        <f ca="1"/>
        <v>475.30062530062639</v>
      </c>
      <c r="L449" s="3">
        <f ca="1"/>
        <v>219.52208235545126</v>
      </c>
      <c r="M449" s="3">
        <f ca="1"/>
        <v>105.94463971880509</v>
      </c>
      <c r="N449" s="3">
        <f ca="1"/>
        <v>127.33231420015454</v>
      </c>
      <c r="O449" s="3">
        <f ca="1"/>
        <v>184.4479353680432</v>
      </c>
      <c r="P449" s="3">
        <f ca="1"/>
        <v>173.09875615660724</v>
      </c>
    </row>
    <row r="450" spans="1:16" x14ac:dyDescent="0.25">
      <c r="A450" vm="6341">
        <f ca="1"/>
        <v>45575</v>
      </c>
      <c r="B450" s="3">
        <f ca="1"/>
        <v>216.88716753496078</v>
      </c>
      <c r="C450" s="3">
        <f ca="1"/>
        <v>199.53049639335862</v>
      </c>
      <c r="D450" s="3">
        <f ca="1"/>
        <v>110.51628276409835</v>
      </c>
      <c r="E450" s="3">
        <f ca="1"/>
        <v>122.4000431080934</v>
      </c>
      <c r="F450" s="3">
        <f ca="1"/>
        <v>111.67777264630206</v>
      </c>
      <c r="G450" s="3">
        <f ca="1"/>
        <v>85.017165277096481</v>
      </c>
      <c r="H450" s="3">
        <f ca="1"/>
        <v>252.78940969877075</v>
      </c>
      <c r="I450" s="3">
        <f ca="1"/>
        <v>110.94559585492215</v>
      </c>
      <c r="J450" s="3">
        <f ca="1"/>
        <v>227.13841368584784</v>
      </c>
      <c r="K450" s="3">
        <f ca="1"/>
        <v>473.39265672599117</v>
      </c>
      <c r="L450" s="3">
        <f ca="1"/>
        <v>218.76822416613328</v>
      </c>
      <c r="M450" s="3">
        <f ca="1"/>
        <v>105.63268892794393</v>
      </c>
      <c r="N450" s="3">
        <f ca="1"/>
        <v>126.71664607459176</v>
      </c>
      <c r="O450" s="3">
        <f ca="1"/>
        <v>181.62028725314198</v>
      </c>
      <c r="P450" s="3">
        <f ca="1"/>
        <v>174.24659821354021</v>
      </c>
    </row>
    <row r="451" spans="1:16" x14ac:dyDescent="0.25">
      <c r="A451" vm="6355">
        <f ca="1"/>
        <v>45576</v>
      </c>
      <c r="B451" s="3">
        <f ca="1"/>
        <v>216.45187825610145</v>
      </c>
      <c r="C451" s="3">
        <f ca="1"/>
        <v>196.1329975671176</v>
      </c>
      <c r="D451" s="3">
        <f ca="1"/>
        <v>110.00794281175523</v>
      </c>
      <c r="E451" s="3">
        <f ca="1"/>
        <v>121.86658045047942</v>
      </c>
      <c r="F451" s="3">
        <f ca="1"/>
        <v>111.46664907303557</v>
      </c>
      <c r="G451" s="3">
        <f ca="1"/>
        <v>85.409514467876278</v>
      </c>
      <c r="H451" s="3">
        <f ca="1"/>
        <v>250.9523166283939</v>
      </c>
      <c r="I451" s="3">
        <f ca="1"/>
        <v>111.81994818652838</v>
      </c>
      <c r="J451" s="3">
        <f ca="1"/>
        <v>224.33903576982917</v>
      </c>
      <c r="K451" s="3">
        <f ca="1"/>
        <v>468.03751803751919</v>
      </c>
      <c r="L451" s="3">
        <f ca="1"/>
        <v>218.32728824407937</v>
      </c>
      <c r="M451" s="3">
        <f ca="1"/>
        <v>105.27240773286485</v>
      </c>
      <c r="N451" s="3">
        <f ca="1"/>
        <v>125.120934810378</v>
      </c>
      <c r="O451" s="3">
        <f ca="1"/>
        <v>181.86714542190319</v>
      </c>
      <c r="P451" s="3">
        <f ca="1"/>
        <v>173.57041489272879</v>
      </c>
    </row>
    <row r="452" spans="1:16" x14ac:dyDescent="0.25">
      <c r="A452" vm="6368">
        <f ca="1"/>
        <v>45579</v>
      </c>
      <c r="B452" s="3">
        <f ca="1"/>
        <v>218.38154647655662</v>
      </c>
      <c r="C452" s="3">
        <f ca="1"/>
        <v>200.7127918391736</v>
      </c>
      <c r="D452" s="3">
        <f ca="1"/>
        <v>110.51628276409835</v>
      </c>
      <c r="E452" s="3">
        <f ca="1"/>
        <v>122.26533031576663</v>
      </c>
      <c r="F452" s="3">
        <f ca="1"/>
        <v>112.87853796925515</v>
      </c>
      <c r="G452" s="3">
        <f ca="1"/>
        <v>86.365865620402033</v>
      </c>
      <c r="H452" s="3">
        <f ca="1"/>
        <v>257.74685938133194</v>
      </c>
      <c r="I452" s="3">
        <f ca="1"/>
        <v>113.21243523316049</v>
      </c>
      <c r="J452" s="3">
        <f ca="1"/>
        <v>230.17107309486806</v>
      </c>
      <c r="K452" s="3">
        <f ca="1"/>
        <v>472.94372294372414</v>
      </c>
      <c r="L452" s="3">
        <f ca="1"/>
        <v>220.05547258374227</v>
      </c>
      <c r="M452" s="3">
        <f ca="1"/>
        <v>105.91388400703006</v>
      </c>
      <c r="N452" s="3">
        <f ca="1"/>
        <v>126.5197998031533</v>
      </c>
      <c r="O452" s="3">
        <f ca="1"/>
        <v>183.16876122082596</v>
      </c>
      <c r="P452" s="3">
        <f ca="1"/>
        <v>173.77076550630258</v>
      </c>
    </row>
    <row r="453" spans="1:16" x14ac:dyDescent="0.25">
      <c r="A453" vm="6381">
        <f ca="1"/>
        <v>45580</v>
      </c>
      <c r="B453" s="3">
        <f ca="1"/>
        <v>220.56827529476337</v>
      </c>
      <c r="C453" s="3">
        <f ca="1"/>
        <v>205.27124503820045</v>
      </c>
      <c r="D453" s="3">
        <f ca="1"/>
        <v>111.73947577442402</v>
      </c>
      <c r="E453" s="3">
        <f ca="1"/>
        <v>122.97122534755884</v>
      </c>
      <c r="F453" s="3">
        <f ca="1"/>
        <v>113.81539882562514</v>
      </c>
      <c r="G453" s="3">
        <f ca="1"/>
        <v>86.709171162334357</v>
      </c>
      <c r="H453" s="3">
        <f ca="1"/>
        <v>259.63798460083757</v>
      </c>
      <c r="I453" s="3">
        <f ca="1"/>
        <v>114.28108808290141</v>
      </c>
      <c r="J453" s="3">
        <f ca="1"/>
        <v>231.64852255054456</v>
      </c>
      <c r="K453" s="3">
        <f ca="1"/>
        <v>473.32050665384111</v>
      </c>
      <c r="L453" s="3">
        <f ca="1"/>
        <v>221.1649242585876</v>
      </c>
      <c r="M453" s="3">
        <f ca="1"/>
        <v>107.95694200351514</v>
      </c>
      <c r="N453" s="3">
        <f ca="1"/>
        <v>127.92285301446987</v>
      </c>
      <c r="O453" s="3">
        <f ca="1"/>
        <v>185.0987432675046</v>
      </c>
      <c r="P453" s="3">
        <f ca="1"/>
        <v>174.94782536104836</v>
      </c>
    </row>
    <row r="454" spans="1:16" x14ac:dyDescent="0.25">
      <c r="A454" vm="6392">
        <f ca="1"/>
        <v>45581</v>
      </c>
      <c r="B454" s="3">
        <f ca="1"/>
        <v>218.67973676994845</v>
      </c>
      <c r="C454" s="3">
        <f ca="1"/>
        <v>201.26339152332574</v>
      </c>
      <c r="D454" s="3">
        <f ca="1"/>
        <v>111.73947577442402</v>
      </c>
      <c r="E454" s="3">
        <f ca="1"/>
        <v>122.15756008190522</v>
      </c>
      <c r="F454" s="3">
        <f ca="1"/>
        <v>114.51474566207035</v>
      </c>
      <c r="G454" s="3">
        <f ca="1"/>
        <v>87.591956841588896</v>
      </c>
      <c r="H454" s="3">
        <f ca="1"/>
        <v>252.77590166148863</v>
      </c>
      <c r="I454" s="3">
        <f ca="1"/>
        <v>114.9611398963729</v>
      </c>
      <c r="J454" s="3">
        <f ca="1"/>
        <v>231.64852255054456</v>
      </c>
      <c r="K454" s="3">
        <f ca="1"/>
        <v>469.99358666025444</v>
      </c>
      <c r="L454" s="3">
        <f ca="1"/>
        <v>217.29606713605008</v>
      </c>
      <c r="M454" s="3">
        <f ca="1"/>
        <v>107.23637961335696</v>
      </c>
      <c r="N454" s="3">
        <f ca="1"/>
        <v>126.69361087261491</v>
      </c>
      <c r="O454" s="3">
        <f ca="1"/>
        <v>185.65978456014375</v>
      </c>
      <c r="P454" s="3">
        <f ca="1"/>
        <v>174.78086651640356</v>
      </c>
    </row>
    <row r="455" spans="1:16" x14ac:dyDescent="0.25">
      <c r="A455" vm="6405">
        <f ca="1"/>
        <v>45582</v>
      </c>
      <c r="B455" s="3">
        <f ca="1"/>
        <v>218.4946531395673</v>
      </c>
      <c r="C455" s="3">
        <f ca="1"/>
        <v>197.37504801741426</v>
      </c>
      <c r="D455" s="3">
        <f ca="1"/>
        <v>112.10484511517062</v>
      </c>
      <c r="E455" s="3">
        <f ca="1"/>
        <v>121.77497575169723</v>
      </c>
      <c r="F455" s="3">
        <f ca="1"/>
        <v>113.72962987398564</v>
      </c>
      <c r="G455" s="3">
        <f ca="1"/>
        <v>87.812653261402531</v>
      </c>
      <c r="H455" s="3">
        <f ca="1"/>
        <v>253.24868296636504</v>
      </c>
      <c r="I455" s="3">
        <f ca="1"/>
        <v>114.86398963730554</v>
      </c>
      <c r="J455" s="3">
        <f ca="1"/>
        <v>238.49144634525689</v>
      </c>
      <c r="K455" s="3">
        <f ca="1"/>
        <v>462.39377906044678</v>
      </c>
      <c r="L455" s="3">
        <f ca="1"/>
        <v>222.04679610269542</v>
      </c>
      <c r="M455" s="3">
        <f ca="1"/>
        <v>107.02548330404237</v>
      </c>
      <c r="N455" s="3">
        <f ca="1"/>
        <v>128.33329843151174</v>
      </c>
      <c r="O455" s="3">
        <f ca="1"/>
        <v>185.32315978456026</v>
      </c>
      <c r="P455" s="3">
        <f ca="1"/>
        <v>173.68728608398015</v>
      </c>
    </row>
    <row r="456" spans="1:16" x14ac:dyDescent="0.25">
      <c r="A456" vm="6418">
        <f ca="1"/>
        <v>45583</v>
      </c>
      <c r="B456" s="3">
        <f ca="1"/>
        <v>219.30353715382563</v>
      </c>
      <c r="C456" s="3">
        <f ca="1"/>
        <v>201.69448119851461</v>
      </c>
      <c r="D456" s="3">
        <f ca="1"/>
        <v>111.04050833995221</v>
      </c>
      <c r="E456" s="3">
        <f ca="1"/>
        <v>121.24151309408325</v>
      </c>
      <c r="F456" s="3">
        <f ca="1"/>
        <v>113.66365375733987</v>
      </c>
      <c r="G456" s="3">
        <f ca="1"/>
        <v>88.155958803334855</v>
      </c>
      <c r="H456" s="3">
        <f ca="1"/>
        <v>278.04943941645286</v>
      </c>
      <c r="I456" s="3">
        <f ca="1"/>
        <v>107.1567357512952</v>
      </c>
      <c r="J456" s="3">
        <f ca="1"/>
        <v>239.42457231726311</v>
      </c>
      <c r="K456" s="3">
        <f ca="1"/>
        <v>462.50601250601358</v>
      </c>
      <c r="L456" s="3">
        <f ca="1"/>
        <v>222.70108811606568</v>
      </c>
      <c r="M456" s="3">
        <f ca="1"/>
        <v>105.46572934973656</v>
      </c>
      <c r="N456" s="3">
        <f ca="1"/>
        <v>127.66108935564215</v>
      </c>
      <c r="O456" s="3">
        <f ca="1"/>
        <v>182.82091561938972</v>
      </c>
      <c r="P456" s="3">
        <f ca="1"/>
        <v>173.93772435094738</v>
      </c>
    </row>
    <row r="457" spans="1:16" x14ac:dyDescent="0.25">
      <c r="A457" vm="6430">
        <f ca="1"/>
        <v>45586</v>
      </c>
      <c r="B457" s="3">
        <f ca="1"/>
        <v>219.50918563202688</v>
      </c>
      <c r="C457" s="3">
        <f ca="1"/>
        <v>201.10119936830418</v>
      </c>
      <c r="D457" s="3">
        <f ca="1"/>
        <v>111.89833200953123</v>
      </c>
      <c r="E457" s="3">
        <f ca="1"/>
        <v>121.59176635413283</v>
      </c>
      <c r="F457" s="3">
        <f ca="1"/>
        <v>113.00389259088213</v>
      </c>
      <c r="G457" s="3">
        <f ca="1"/>
        <v>88.278567925453544</v>
      </c>
      <c r="H457" s="3">
        <f ca="1"/>
        <v>271.2143725516683</v>
      </c>
      <c r="I457" s="3">
        <f ca="1"/>
        <v>110.49222797927446</v>
      </c>
      <c r="J457" s="3">
        <f ca="1"/>
        <v>234.13685847589451</v>
      </c>
      <c r="K457" s="3">
        <f ca="1"/>
        <v>462.1372454705799</v>
      </c>
      <c r="L457" s="3">
        <f ca="1"/>
        <v>223.50472939335748</v>
      </c>
      <c r="M457" s="3">
        <f ca="1"/>
        <v>106.11599297012322</v>
      </c>
      <c r="N457" s="3">
        <f ca="1"/>
        <v>128.11969928590827</v>
      </c>
      <c r="O457" s="3">
        <f ca="1"/>
        <v>183.37073608617604</v>
      </c>
      <c r="P457" s="3">
        <f ca="1"/>
        <v>174.53877619166866</v>
      </c>
    </row>
    <row r="458" spans="1:16" x14ac:dyDescent="0.25">
      <c r="A458" vm="6443">
        <f ca="1"/>
        <v>45587</v>
      </c>
      <c r="B458" s="3">
        <f ca="1"/>
        <v>219.09788867562435</v>
      </c>
      <c r="C458" s="3">
        <f ca="1"/>
        <v>199.82073498655507</v>
      </c>
      <c r="D458" s="3">
        <f ca="1"/>
        <v>110.32565528196967</v>
      </c>
      <c r="E458" s="3">
        <f ca="1"/>
        <v>120.90203685741982</v>
      </c>
      <c r="F458" s="3">
        <f ca="1"/>
        <v>111.85590816124565</v>
      </c>
      <c r="G458" s="3">
        <f ca="1"/>
        <v>87.027954879842952</v>
      </c>
      <c r="H458" s="3">
        <f ca="1"/>
        <v>272.7948129136837</v>
      </c>
      <c r="I458" s="3">
        <f ca="1"/>
        <v>109.00259067357497</v>
      </c>
      <c r="J458" s="3">
        <f ca="1"/>
        <v>230.01555209953369</v>
      </c>
      <c r="K458" s="3">
        <f ca="1"/>
        <v>461.08706108706212</v>
      </c>
      <c r="L458" s="3">
        <f ca="1"/>
        <v>225.9014294858118</v>
      </c>
      <c r="M458" s="3">
        <f ca="1"/>
        <v>105.10105448154675</v>
      </c>
      <c r="N458" s="3">
        <f ca="1"/>
        <v>128.70604988168236</v>
      </c>
      <c r="O458" s="3">
        <f ca="1"/>
        <v>184.10008976660691</v>
      </c>
      <c r="P458" s="3">
        <f ca="1"/>
        <v>174.79756240086809</v>
      </c>
    </row>
    <row r="459" spans="1:16" x14ac:dyDescent="0.25">
      <c r="A459" vm="6455">
        <f ca="1"/>
        <v>45588</v>
      </c>
      <c r="B459" s="3">
        <f ca="1"/>
        <v>215.68412393748338</v>
      </c>
      <c r="C459" s="3">
        <f ca="1"/>
        <v>196.57689188612397</v>
      </c>
      <c r="D459" s="3">
        <f ca="1"/>
        <v>110.32565528196967</v>
      </c>
      <c r="E459" s="3">
        <f ca="1"/>
        <v>119.38247655997397</v>
      </c>
      <c r="F459" s="3">
        <f ca="1"/>
        <v>111.9614699478789</v>
      </c>
      <c r="G459" s="3">
        <f ca="1"/>
        <v>87.395782246199019</v>
      </c>
      <c r="H459" s="3">
        <f ca="1"/>
        <v>268.10752397676623</v>
      </c>
      <c r="I459" s="3">
        <f ca="1"/>
        <v>109.61787564766824</v>
      </c>
      <c r="J459" s="3">
        <f ca="1"/>
        <v>228.92690513219313</v>
      </c>
      <c r="K459" s="3">
        <f ca="1"/>
        <v>466.57848324515101</v>
      </c>
      <c r="L459" s="3">
        <f ca="1"/>
        <v>222.58018633098644</v>
      </c>
      <c r="M459" s="3">
        <f ca="1"/>
        <v>106.1555360281197</v>
      </c>
      <c r="N459" s="3">
        <f ca="1"/>
        <v>120.82591669633278</v>
      </c>
      <c r="O459" s="3">
        <f ca="1"/>
        <v>185.30071813285466</v>
      </c>
      <c r="P459" s="3">
        <f ca="1"/>
        <v>178.44143918524074</v>
      </c>
    </row>
    <row r="460" spans="1:16" x14ac:dyDescent="0.25">
      <c r="A460" vm="6467">
        <f ca="1"/>
        <v>45589</v>
      </c>
      <c r="B460" s="3">
        <f ca="1"/>
        <v>215.82807787222427</v>
      </c>
      <c r="C460" s="3">
        <f ca="1"/>
        <v>195.84702718852697</v>
      </c>
      <c r="D460" s="3">
        <f ca="1"/>
        <v>108.03812549642559</v>
      </c>
      <c r="E460" s="3">
        <f ca="1"/>
        <v>119.16693609225115</v>
      </c>
      <c r="F460" s="3">
        <f ca="1"/>
        <v>111.88229860790399</v>
      </c>
      <c r="G460" s="3">
        <f ca="1"/>
        <v>87.052476704266695</v>
      </c>
      <c r="H460" s="3">
        <f ca="1"/>
        <v>271.32243684992579</v>
      </c>
      <c r="I460" s="3">
        <f ca="1"/>
        <v>108.77590673575115</v>
      </c>
      <c r="J460" s="3">
        <f ca="1"/>
        <v>226.4385692068432</v>
      </c>
      <c r="K460" s="3">
        <f ca="1"/>
        <v>451.89193522526966</v>
      </c>
      <c r="L460" s="3">
        <f ca="1"/>
        <v>218.07126093449966</v>
      </c>
      <c r="M460" s="3">
        <f ca="1"/>
        <v>106.07205623901599</v>
      </c>
      <c r="N460" s="3">
        <f ca="1"/>
        <v>119.59458044520721</v>
      </c>
      <c r="O460" s="3">
        <f ca="1"/>
        <v>182.65260323159794</v>
      </c>
      <c r="P460" s="3">
        <f ca="1"/>
        <v>177.22681359044986</v>
      </c>
    </row>
    <row r="461" spans="1:16" x14ac:dyDescent="0.25">
      <c r="A461" vm="6479">
        <f ca="1"/>
        <v>45590</v>
      </c>
      <c r="B461" s="3">
        <f ca="1"/>
        <v>213.92240197422589</v>
      </c>
      <c r="C461" s="3">
        <f ca="1"/>
        <v>195.74885825259287</v>
      </c>
      <c r="D461" s="3">
        <f ca="1"/>
        <v>106.91024622716427</v>
      </c>
      <c r="E461" s="3">
        <f ca="1"/>
        <v>122.448539713331</v>
      </c>
      <c r="F461" s="3">
        <f ca="1"/>
        <v>111.90868905456229</v>
      </c>
      <c r="G461" s="3">
        <f ca="1"/>
        <v>85.899950956351049</v>
      </c>
      <c r="H461" s="3">
        <f ca="1"/>
        <v>267.36458192624622</v>
      </c>
      <c r="I461" s="3">
        <f ca="1"/>
        <v>107.1891191709843</v>
      </c>
      <c r="J461" s="3">
        <f ca="1"/>
        <v>222.62830482115112</v>
      </c>
      <c r="K461" s="3">
        <f ca="1"/>
        <v>455.17075517075619</v>
      </c>
      <c r="L461" s="3">
        <f ca="1"/>
        <v>220.37550672071688</v>
      </c>
      <c r="M461" s="3">
        <f ca="1"/>
        <v>105.76010544815485</v>
      </c>
      <c r="N461" s="3">
        <f ca="1"/>
        <v>118.15173915774885</v>
      </c>
      <c r="O461" s="3">
        <f ca="1"/>
        <v>182.58527827648123</v>
      </c>
      <c r="P461" s="3">
        <f ca="1"/>
        <v>177.28107521495943</v>
      </c>
    </row>
    <row r="462" spans="1:16" x14ac:dyDescent="0.25">
      <c r="A462" vm="6490">
        <f ca="1"/>
        <v>45593</v>
      </c>
      <c r="B462" s="3">
        <f ca="1"/>
        <v>213.09980806142087</v>
      </c>
      <c r="C462" s="3">
        <f ca="1"/>
        <v>178.06991335524344</v>
      </c>
      <c r="D462" s="3">
        <f ca="1"/>
        <v>106.3065925337568</v>
      </c>
      <c r="E462" s="3">
        <f ca="1"/>
        <v>120.76732406509304</v>
      </c>
      <c r="F462" s="3">
        <f ca="1"/>
        <v>110.98502342152145</v>
      </c>
      <c r="G462" s="3">
        <f ca="1"/>
        <v>85.188818048062672</v>
      </c>
      <c r="H462" s="3">
        <f ca="1"/>
        <v>274.80751046872894</v>
      </c>
      <c r="I462" s="3">
        <f ca="1"/>
        <v>107.73963730569932</v>
      </c>
      <c r="J462" s="3">
        <f ca="1"/>
        <v>222.39502332814956</v>
      </c>
      <c r="K462" s="3">
        <f ca="1"/>
        <v>459.55587622254399</v>
      </c>
      <c r="L462" s="3">
        <f ca="1"/>
        <v>219.16648886992391</v>
      </c>
      <c r="M462" s="3">
        <f ca="1"/>
        <v>105.17574692442901</v>
      </c>
      <c r="N462" s="3">
        <f ca="1"/>
        <v>117.74967017778945</v>
      </c>
      <c r="O462" s="3">
        <f ca="1"/>
        <v>185.44658886894086</v>
      </c>
      <c r="P462" s="3">
        <f ca="1"/>
        <v>178.7085733366724</v>
      </c>
    </row>
    <row r="463" spans="1:16" x14ac:dyDescent="0.25">
      <c r="A463" vm="6504">
        <f ca="1"/>
        <v>45594</v>
      </c>
      <c r="B463" s="3">
        <f ca="1"/>
        <v>213.75445571702821</v>
      </c>
      <c r="C463" s="3">
        <f ca="1"/>
        <v>179.71317597848815</v>
      </c>
      <c r="D463" s="3">
        <f ca="1"/>
        <v>105.90945194598874</v>
      </c>
      <c r="E463" s="3">
        <f ca="1"/>
        <v>120.70805043646925</v>
      </c>
      <c r="F463" s="3">
        <f ca="1"/>
        <v>111.69756548129581</v>
      </c>
      <c r="G463" s="3">
        <f ca="1"/>
        <v>86.145169200588413</v>
      </c>
      <c r="H463" s="3">
        <f ca="1"/>
        <v>262.97446980953674</v>
      </c>
      <c r="I463" s="3">
        <f ca="1"/>
        <v>107.70725388601018</v>
      </c>
      <c r="J463" s="3">
        <f ca="1"/>
        <v>226.28304821150883</v>
      </c>
      <c r="K463" s="3">
        <f ca="1"/>
        <v>463.49206349206457</v>
      </c>
      <c r="L463" s="3">
        <f ca="1"/>
        <v>222.85754924969774</v>
      </c>
      <c r="M463" s="3">
        <f ca="1"/>
        <v>104.35413005272426</v>
      </c>
      <c r="N463" s="3">
        <f ca="1"/>
        <v>116.25866437710677</v>
      </c>
      <c r="O463" s="3">
        <f ca="1"/>
        <v>187.07360861759437</v>
      </c>
      <c r="P463" s="3">
        <f ca="1"/>
        <v>178.05743384255769</v>
      </c>
    </row>
    <row r="464" spans="1:16" x14ac:dyDescent="0.25">
      <c r="A464" vm="6517">
        <f ca="1"/>
        <v>45595</v>
      </c>
      <c r="B464" s="3">
        <f ca="1"/>
        <v>214.25486701398461</v>
      </c>
      <c r="C464" s="3">
        <f ca="1"/>
        <v>178.80831448205211</v>
      </c>
      <c r="D464" s="3">
        <f ca="1"/>
        <v>104.1461477362985</v>
      </c>
      <c r="E464" s="3">
        <f ca="1"/>
        <v>120.63261127276627</v>
      </c>
      <c r="F464" s="3">
        <f ca="1"/>
        <v>110.29227419674081</v>
      </c>
      <c r="G464" s="3">
        <f ca="1"/>
        <v>85.335948994605076</v>
      </c>
      <c r="H464" s="3">
        <f ca="1"/>
        <v>266.0272862353101</v>
      </c>
      <c r="I464" s="3">
        <f ca="1"/>
        <v>107.67487046632107</v>
      </c>
      <c r="J464" s="3">
        <f ca="1"/>
        <v>230.4821150855368</v>
      </c>
      <c r="K464" s="3">
        <f ca="1"/>
        <v>475.61327561327676</v>
      </c>
      <c r="L464" s="3">
        <f ca="1"/>
        <v>222.90733233767153</v>
      </c>
      <c r="M464" s="3">
        <f ca="1"/>
        <v>103.7214411247805</v>
      </c>
      <c r="N464" s="3">
        <f ca="1"/>
        <v>114.50589491759638</v>
      </c>
      <c r="O464" s="3">
        <f ca="1"/>
        <v>190.39497307001807</v>
      </c>
      <c r="P464" s="3">
        <f ca="1"/>
        <v>180.29468236079794</v>
      </c>
    </row>
    <row r="465" spans="1:16" x14ac:dyDescent="0.25">
      <c r="A465" vm="6530">
        <f ca="1"/>
        <v>45596</v>
      </c>
      <c r="B465" s="3">
        <f ca="1"/>
        <v>213.97381409377621</v>
      </c>
      <c r="C465" s="3">
        <f ca="1"/>
        <v>180.18694779973535</v>
      </c>
      <c r="D465" s="3">
        <f ca="1"/>
        <v>104.71803018268452</v>
      </c>
      <c r="E465" s="3">
        <f ca="1"/>
        <v>120.91281388080593</v>
      </c>
      <c r="F465" s="3">
        <f ca="1"/>
        <v>109.62591541861849</v>
      </c>
      <c r="G465" s="3">
        <f ca="1"/>
        <v>82.712113781265217</v>
      </c>
      <c r="H465" s="3">
        <f ca="1"/>
        <v>262.70430906389311</v>
      </c>
      <c r="I465" s="3">
        <f ca="1"/>
        <v>108.61398963730552</v>
      </c>
      <c r="J465" s="3">
        <f ca="1"/>
        <v>231.18195956454147</v>
      </c>
      <c r="K465" s="3">
        <f ca="1"/>
        <v>474.4268077601422</v>
      </c>
      <c r="L465" s="3">
        <f ca="1"/>
        <v>221.62719578977308</v>
      </c>
      <c r="M465" s="3">
        <f ca="1"/>
        <v>103.45782073813726</v>
      </c>
      <c r="N465" s="3">
        <f ca="1"/>
        <v>114.32580152032294</v>
      </c>
      <c r="O465" s="3">
        <f ca="1"/>
        <v>195.75852782764821</v>
      </c>
      <c r="P465" s="3">
        <f ca="1"/>
        <v>180.5367726855329</v>
      </c>
    </row>
    <row r="466" spans="1:16" x14ac:dyDescent="0.25">
      <c r="A466" vm="6542">
        <f ca="1"/>
        <v>45597</v>
      </c>
      <c r="B466" s="3">
        <f ca="1"/>
        <v>217.32588428845679</v>
      </c>
      <c r="C466" s="3">
        <f ca="1"/>
        <v>180.21682530197617</v>
      </c>
      <c r="D466" s="3">
        <f ca="1"/>
        <v>103.74900714853042</v>
      </c>
      <c r="E466" s="3">
        <f ca="1"/>
        <v>119.54413191076605</v>
      </c>
      <c r="F466" s="3">
        <f ca="1"/>
        <v>108.97934947548991</v>
      </c>
      <c r="G466" s="3">
        <f ca="1"/>
        <v>82.050024521824326</v>
      </c>
      <c r="H466" s="3">
        <f ca="1"/>
        <v>257.38214237471306</v>
      </c>
      <c r="I466" s="3">
        <f ca="1"/>
        <v>108.93782383419672</v>
      </c>
      <c r="J466" s="3">
        <f ca="1"/>
        <v>221.38413685847613</v>
      </c>
      <c r="K466" s="3">
        <f ca="1"/>
        <v>455.01042167708948</v>
      </c>
      <c r="L466" s="3">
        <f ca="1"/>
        <v>214.51532607922616</v>
      </c>
      <c r="M466" s="3">
        <f ca="1"/>
        <v>102.08260105448173</v>
      </c>
      <c r="N466" s="3">
        <f ca="1"/>
        <v>114.34883672229975</v>
      </c>
      <c r="O466" s="3">
        <f ca="1"/>
        <v>191.999551166966</v>
      </c>
      <c r="P466" s="3">
        <f ca="1"/>
        <v>169.60931630353107</v>
      </c>
    </row>
    <row r="467" spans="1:16" x14ac:dyDescent="0.25">
      <c r="A467" vm="6554">
        <f ca="1"/>
        <v>45600</v>
      </c>
      <c r="B467" s="3">
        <f ca="1"/>
        <v>217.65492185357877</v>
      </c>
      <c r="C467" s="3">
        <f ca="1"/>
        <v>180.22962994579365</v>
      </c>
      <c r="D467" s="3">
        <f ca="1"/>
        <v>103.27243844320874</v>
      </c>
      <c r="E467" s="3">
        <f ca="1"/>
        <v>121.33850630455849</v>
      </c>
      <c r="F467" s="3">
        <f ca="1"/>
        <v>108.92656858217329</v>
      </c>
      <c r="G467" s="3">
        <f ca="1"/>
        <v>82.123589995095529</v>
      </c>
      <c r="H467" s="3">
        <f ca="1"/>
        <v>260.63757935971915</v>
      </c>
      <c r="I467" s="3">
        <f ca="1"/>
        <v>108.12823834196874</v>
      </c>
      <c r="J467" s="3">
        <f ca="1"/>
        <v>219.59564541213086</v>
      </c>
      <c r="K467" s="3">
        <f ca="1"/>
        <v>454.67372134038908</v>
      </c>
      <c r="L467" s="3">
        <f ca="1"/>
        <v>215.84524571509843</v>
      </c>
      <c r="M467" s="3">
        <f ca="1"/>
        <v>102.27152899824272</v>
      </c>
      <c r="N467" s="3">
        <f ca="1"/>
        <v>114.20224907335624</v>
      </c>
      <c r="O467" s="3">
        <f ca="1"/>
        <v>192.20152603231608</v>
      </c>
      <c r="P467" s="3">
        <f ca="1"/>
        <v>171.28725269221124</v>
      </c>
    </row>
    <row r="468" spans="1:16" x14ac:dyDescent="0.25">
      <c r="A468" vm="6568">
        <f ca="1"/>
        <v>45601</v>
      </c>
      <c r="B468" s="3">
        <f ca="1"/>
        <v>218.672881820675</v>
      </c>
      <c r="C468" s="3">
        <f ca="1"/>
        <v>181.47594861069612</v>
      </c>
      <c r="D468" s="3">
        <f ca="1"/>
        <v>103.43129467831595</v>
      </c>
      <c r="E468" s="3">
        <f ca="1"/>
        <v>121.68337105291499</v>
      </c>
      <c r="F468" s="3">
        <f ca="1"/>
        <v>108.91337335884414</v>
      </c>
      <c r="G468" s="3">
        <f ca="1"/>
        <v>81.853849926434421</v>
      </c>
      <c r="H468" s="3">
        <f ca="1"/>
        <v>258.75996217749577</v>
      </c>
      <c r="I468" s="3">
        <f ca="1"/>
        <v>108.03108808290138</v>
      </c>
      <c r="J468" s="3">
        <f ca="1"/>
        <v>221.5396578538105</v>
      </c>
      <c r="K468" s="3">
        <f ca="1"/>
        <v>449.47891614558387</v>
      </c>
      <c r="L468" s="3">
        <f ca="1"/>
        <v>216.42841903136326</v>
      </c>
      <c r="M468" s="3">
        <f ca="1"/>
        <v>105.33391915641496</v>
      </c>
      <c r="N468" s="3">
        <f ca="1"/>
        <v>113.73107448746636</v>
      </c>
      <c r="O468" s="3">
        <f ca="1"/>
        <v>189.90125673249563</v>
      </c>
      <c r="P468" s="3">
        <f ca="1"/>
        <v>170.49002420903233</v>
      </c>
    </row>
    <row r="469" spans="1:16" x14ac:dyDescent="0.25">
      <c r="A469" vm="6579">
        <f ca="1"/>
        <v>45602</v>
      </c>
      <c r="B469" s="3">
        <f ca="1"/>
        <v>223.96833013435753</v>
      </c>
      <c r="C469" s="3">
        <f ca="1"/>
        <v>185.37282854581926</v>
      </c>
      <c r="D469" s="3">
        <f ca="1"/>
        <v>103.84432088959475</v>
      </c>
      <c r="E469" s="3">
        <f ca="1"/>
        <v>122.55630994719239</v>
      </c>
      <c r="F469" s="3">
        <f ca="1"/>
        <v>109.36201095203538</v>
      </c>
      <c r="G469" s="3">
        <f ca="1"/>
        <v>82.172633643942987</v>
      </c>
      <c r="H469" s="3">
        <f ca="1"/>
        <v>264.43333783601258</v>
      </c>
      <c r="I469" s="3">
        <f ca="1"/>
        <v>110.16839378238325</v>
      </c>
      <c r="J469" s="3">
        <f ca="1"/>
        <v>225.66096423017132</v>
      </c>
      <c r="K469" s="3">
        <f ca="1"/>
        <v>458.89850889850999</v>
      </c>
      <c r="L469" s="3">
        <f ca="1"/>
        <v>223.75364483322656</v>
      </c>
      <c r="M469" s="3">
        <f ca="1"/>
        <v>104.19595782073833</v>
      </c>
      <c r="N469" s="3">
        <f ca="1"/>
        <v>114.49542437124329</v>
      </c>
      <c r="O469" s="3">
        <f ca="1"/>
        <v>190.46229802513477</v>
      </c>
      <c r="P469" s="3">
        <f ca="1"/>
        <v>171.7422155438683</v>
      </c>
    </row>
    <row r="470" spans="1:16" x14ac:dyDescent="0.25">
      <c r="A470" vm="6590">
        <f ca="1"/>
        <v>45603</v>
      </c>
      <c r="B470" s="3">
        <f ca="1"/>
        <v>243.1656155744453</v>
      </c>
      <c r="C470" s="3">
        <f ca="1"/>
        <v>192.34709121174609</v>
      </c>
      <c r="D470" s="3">
        <f ca="1"/>
        <v>101.19142176330405</v>
      </c>
      <c r="E470" s="3">
        <f ca="1"/>
        <v>122.59941804073695</v>
      </c>
      <c r="F470" s="3">
        <f ca="1"/>
        <v>106.25453585801942</v>
      </c>
      <c r="G470" s="3">
        <f ca="1"/>
        <v>81.951937224129367</v>
      </c>
      <c r="H470" s="3">
        <f ca="1"/>
        <v>261.00229636633816</v>
      </c>
      <c r="I470" s="3">
        <f ca="1"/>
        <v>119.43005181347132</v>
      </c>
      <c r="J470" s="3">
        <f ca="1"/>
        <v>259.6423017107312</v>
      </c>
      <c r="K470" s="3">
        <f ca="1"/>
        <v>458.59387526054297</v>
      </c>
      <c r="L470" s="3">
        <f ca="1"/>
        <v>221.05113434321873</v>
      </c>
      <c r="M470" s="3">
        <f ca="1"/>
        <v>100.86994727592285</v>
      </c>
      <c r="N470" s="3">
        <f ca="1"/>
        <v>115.55713777144851</v>
      </c>
      <c r="O470" s="3">
        <f ca="1"/>
        <v>198.05879712746869</v>
      </c>
      <c r="P470" s="3">
        <f ca="1"/>
        <v>175.38191835712485</v>
      </c>
    </row>
    <row r="471" spans="1:16" x14ac:dyDescent="0.25">
      <c r="A471" vm="6602">
        <f ca="1"/>
        <v>45604</v>
      </c>
      <c r="B471" s="3">
        <f ca="1"/>
        <v>236.41691801480721</v>
      </c>
      <c r="C471" s="3">
        <f ca="1"/>
        <v>191.49344829058001</v>
      </c>
      <c r="D471" s="3">
        <f ca="1"/>
        <v>101.12787926926114</v>
      </c>
      <c r="E471" s="3">
        <f ca="1"/>
        <v>116.12242698566637</v>
      </c>
      <c r="F471" s="3">
        <f ca="1"/>
        <v>107.81157221085968</v>
      </c>
      <c r="G471" s="3">
        <f ca="1"/>
        <v>80.48062775870514</v>
      </c>
      <c r="H471" s="3">
        <f ca="1"/>
        <v>271.76820208023793</v>
      </c>
      <c r="I471" s="3">
        <f ca="1"/>
        <v>115.15544041450759</v>
      </c>
      <c r="J471" s="3">
        <f ca="1"/>
        <v>248.91135303265963</v>
      </c>
      <c r="K471" s="3">
        <f ca="1"/>
        <v>474.34664101330878</v>
      </c>
      <c r="L471" s="3">
        <f ca="1"/>
        <v>228.19145153260783</v>
      </c>
      <c r="M471" s="3">
        <f ca="1"/>
        <v>102.49560632688946</v>
      </c>
      <c r="N471" s="3">
        <f ca="1"/>
        <v>115.56132598998975</v>
      </c>
      <c r="O471" s="3">
        <f ca="1"/>
        <v>202.81642728904859</v>
      </c>
      <c r="P471" s="3">
        <f ca="1"/>
        <v>177.57325319308779</v>
      </c>
    </row>
    <row r="472" spans="1:16" x14ac:dyDescent="0.25">
      <c r="A472" vm="6614">
        <f ca="1"/>
        <v>45607</v>
      </c>
      <c r="B472" s="3">
        <f ca="1"/>
        <v>238.4082807787228</v>
      </c>
      <c r="C472" s="3">
        <f ca="1"/>
        <v>192.43245550386274</v>
      </c>
      <c r="D472" s="3">
        <f ca="1"/>
        <v>101.54090548053995</v>
      </c>
      <c r="E472" s="3">
        <f ca="1"/>
        <v>118.11078780040933</v>
      </c>
      <c r="F472" s="3">
        <f ca="1"/>
        <v>110.64854522662799</v>
      </c>
      <c r="G472" s="3">
        <f ca="1"/>
        <v>80.922020598332409</v>
      </c>
      <c r="H472" s="3">
        <f ca="1"/>
        <v>271.78171011752011</v>
      </c>
      <c r="I472" s="3">
        <f ca="1"/>
        <v>116.58031088082882</v>
      </c>
      <c r="J472" s="3">
        <f ca="1"/>
        <v>252.52721617418376</v>
      </c>
      <c r="K472" s="3">
        <f ca="1"/>
        <v>472.45470578804026</v>
      </c>
      <c r="L472" s="3">
        <f ca="1"/>
        <v>235.38866367968131</v>
      </c>
      <c r="M472" s="3">
        <f ca="1"/>
        <v>102.97891036906871</v>
      </c>
      <c r="N472" s="3">
        <f ca="1"/>
        <v>118.22503298222057</v>
      </c>
      <c r="O472" s="3">
        <f ca="1"/>
        <v>200.12342908438072</v>
      </c>
      <c r="P472" s="3">
        <f ca="1"/>
        <v>176.36697554052915</v>
      </c>
    </row>
    <row r="473" spans="1:16" x14ac:dyDescent="0.25">
      <c r="A473" vm="6626">
        <f ca="1"/>
        <v>45608</v>
      </c>
      <c r="B473" s="3">
        <f ca="1"/>
        <v>242.71661639703922</v>
      </c>
      <c r="C473" s="3">
        <f ca="1"/>
        <v>194.28912885739894</v>
      </c>
      <c r="D473" s="3">
        <f ca="1"/>
        <v>100.65131056393948</v>
      </c>
      <c r="E473" s="3">
        <f ca="1"/>
        <v>119.54952042245911</v>
      </c>
      <c r="F473" s="3">
        <f ca="1"/>
        <v>109.54014646697898</v>
      </c>
      <c r="G473" s="3">
        <f ca="1"/>
        <v>79.769494850416777</v>
      </c>
      <c r="H473" s="3">
        <f ca="1"/>
        <v>262.12346346075935</v>
      </c>
      <c r="I473" s="3">
        <f ca="1"/>
        <v>118.26424870466302</v>
      </c>
      <c r="J473" s="3">
        <f ca="1"/>
        <v>260.34214618973584</v>
      </c>
      <c r="K473" s="3">
        <f ca="1"/>
        <v>467.50841750841857</v>
      </c>
      <c r="L473" s="3">
        <f ca="1"/>
        <v>234.47123248702076</v>
      </c>
      <c r="M473" s="3">
        <f ca="1"/>
        <v>103.77855887521984</v>
      </c>
      <c r="N473" s="3">
        <f ca="1"/>
        <v>119.48568676313486</v>
      </c>
      <c r="O473" s="3">
        <f ca="1"/>
        <v>202.36759425493727</v>
      </c>
      <c r="P473" s="3">
        <f ca="1"/>
        <v>174.47616662492683</v>
      </c>
    </row>
    <row r="474" spans="1:16" x14ac:dyDescent="0.25">
      <c r="A474" vm="6637">
        <f ca="1"/>
        <v>45609</v>
      </c>
      <c r="B474" s="3">
        <f ca="1"/>
        <v>239.69015629284399</v>
      </c>
      <c r="C474" s="3">
        <f ca="1"/>
        <v>193.36719450253958</v>
      </c>
      <c r="D474" s="3">
        <f ca="1"/>
        <v>100.39714058776792</v>
      </c>
      <c r="E474" s="3">
        <f ca="1"/>
        <v>120.01832093975622</v>
      </c>
      <c r="F474" s="3">
        <f ca="1"/>
        <v>109.41479184535201</v>
      </c>
      <c r="G474" s="3">
        <f ca="1"/>
        <v>78.469838155958712</v>
      </c>
      <c r="H474" s="3">
        <f ca="1"/>
        <v>259.04363096042164</v>
      </c>
      <c r="I474" s="3">
        <f ca="1"/>
        <v>117.00129533678736</v>
      </c>
      <c r="J474" s="3">
        <f ca="1"/>
        <v>253.26594090202204</v>
      </c>
      <c r="K474" s="3">
        <f ca="1"/>
        <v>468.83116883117003</v>
      </c>
      <c r="L474" s="3">
        <f ca="1"/>
        <v>232.7501600170684</v>
      </c>
      <c r="M474" s="3">
        <f ca="1"/>
        <v>104.69683655536045</v>
      </c>
      <c r="N474" s="3">
        <f ca="1"/>
        <v>118.51820828010761</v>
      </c>
      <c r="O474" s="3">
        <f ca="1"/>
        <v>203.79263913824067</v>
      </c>
      <c r="P474" s="3">
        <f ca="1"/>
        <v>176.57150012521899</v>
      </c>
    </row>
    <row r="475" spans="1:16" x14ac:dyDescent="0.25">
      <c r="A475" vm="6649">
        <f ca="1"/>
        <v>45610</v>
      </c>
      <c r="B475" s="3">
        <f ca="1"/>
        <v>242.13737318343897</v>
      </c>
      <c r="C475" s="3">
        <f ca="1"/>
        <v>194.13120491698322</v>
      </c>
      <c r="D475" s="3">
        <f ca="1"/>
        <v>100.07942811755346</v>
      </c>
      <c r="E475" s="3">
        <f ca="1"/>
        <v>119.770449401875</v>
      </c>
      <c r="F475" s="3">
        <f ca="1"/>
        <v>109.90301510853074</v>
      </c>
      <c r="G475" s="3">
        <f ca="1"/>
        <v>78.788621873467307</v>
      </c>
      <c r="H475" s="3">
        <f ca="1"/>
        <v>252.14102390922616</v>
      </c>
      <c r="I475" s="3">
        <f ca="1"/>
        <v>118.1347150259065</v>
      </c>
      <c r="J475" s="3">
        <f ca="1"/>
        <v>255.13219284603451</v>
      </c>
      <c r="K475" s="3">
        <f ca="1"/>
        <v>464.96713163379945</v>
      </c>
      <c r="L475" s="3">
        <f ca="1"/>
        <v>232.47279709835709</v>
      </c>
      <c r="M475" s="3">
        <f ca="1"/>
        <v>105.76010544815482</v>
      </c>
      <c r="N475" s="3">
        <f ca="1"/>
        <v>116.79475635038592</v>
      </c>
      <c r="O475" s="3">
        <f ca="1"/>
        <v>200.71813285457819</v>
      </c>
      <c r="P475" s="3">
        <f ca="1"/>
        <v>177.477251857417</v>
      </c>
    </row>
    <row r="476" spans="1:16" x14ac:dyDescent="0.25">
      <c r="A476" vm="6661">
        <f ca="1"/>
        <v>45611</v>
      </c>
      <c r="B476" s="3">
        <f ca="1"/>
        <v>239.11091307924372</v>
      </c>
      <c r="C476" s="3">
        <f ca="1"/>
        <v>192.31721370950532</v>
      </c>
      <c r="D476" s="3">
        <f ca="1"/>
        <v>99.364575059570925</v>
      </c>
      <c r="E476" s="3">
        <f ca="1"/>
        <v>119.1884901390234</v>
      </c>
      <c r="F476" s="3">
        <f ca="1"/>
        <v>110.23289569175961</v>
      </c>
      <c r="G476" s="3">
        <f ca="1"/>
        <v>77.95487984306024</v>
      </c>
      <c r="H476" s="3">
        <f ca="1"/>
        <v>254.62650276914783</v>
      </c>
      <c r="I476" s="3">
        <f ca="1"/>
        <v>115.38212435233139</v>
      </c>
      <c r="J476" s="3">
        <f ca="1"/>
        <v>256.60964230171101</v>
      </c>
      <c r="K476" s="3">
        <f ca="1"/>
        <v>462.6903960237305</v>
      </c>
      <c r="L476" s="3">
        <f ca="1"/>
        <v>230.3321243154825</v>
      </c>
      <c r="M476" s="3">
        <f ca="1"/>
        <v>106.32688927943776</v>
      </c>
      <c r="N476" s="3">
        <f ca="1"/>
        <v>112.8703955772408</v>
      </c>
      <c r="O476" s="3">
        <f ca="1"/>
        <v>197.01526032315988</v>
      </c>
      <c r="P476" s="3">
        <f ca="1"/>
        <v>178.18265297604125</v>
      </c>
    </row>
    <row r="477" spans="1:16" x14ac:dyDescent="0.25">
      <c r="A477" vm="6672">
        <f ca="1"/>
        <v>45614</v>
      </c>
      <c r="B477" s="3">
        <f ca="1"/>
        <v>239.54962983273973</v>
      </c>
      <c r="C477" s="3">
        <f ca="1"/>
        <v>190.08066925605019</v>
      </c>
      <c r="D477" s="3">
        <f ca="1"/>
        <v>98.077839555202388</v>
      </c>
      <c r="E477" s="3">
        <f ca="1"/>
        <v>118.61191938786487</v>
      </c>
      <c r="F477" s="3">
        <f ca="1"/>
        <v>111.85590816124564</v>
      </c>
      <c r="G477" s="3">
        <f ca="1"/>
        <v>76.360961255517324</v>
      </c>
      <c r="H477" s="3">
        <f ca="1"/>
        <v>251.26300148588427</v>
      </c>
      <c r="I477" s="3">
        <f ca="1"/>
        <v>113.76295336787544</v>
      </c>
      <c r="J477" s="3">
        <f ca="1"/>
        <v>250.31104199066897</v>
      </c>
      <c r="K477" s="3">
        <f ca="1"/>
        <v>444.18791085457866</v>
      </c>
      <c r="L477" s="3">
        <f ca="1"/>
        <v>229.94808335111296</v>
      </c>
      <c r="M477" s="3">
        <f ca="1"/>
        <v>104.35413005272423</v>
      </c>
      <c r="N477" s="3">
        <f ca="1"/>
        <v>111.99924612066216</v>
      </c>
      <c r="O477" s="3">
        <f ca="1"/>
        <v>193.54802513465</v>
      </c>
      <c r="P477" s="3">
        <f ca="1"/>
        <v>173.21980131897473</v>
      </c>
    </row>
    <row r="478" spans="1:16" x14ac:dyDescent="0.25">
      <c r="A478" vm="6682">
        <f ca="1"/>
        <v>45615</v>
      </c>
      <c r="B478" s="3">
        <f ca="1"/>
        <v>237.07156567041451</v>
      </c>
      <c r="C478" s="3">
        <f ca="1"/>
        <v>187.43010798582952</v>
      </c>
      <c r="D478" s="3">
        <f ca="1"/>
        <v>98.268467037331064</v>
      </c>
      <c r="E478" s="3">
        <f ca="1"/>
        <v>116.97920034486455</v>
      </c>
      <c r="F478" s="3">
        <f ca="1"/>
        <v>112.65421917265951</v>
      </c>
      <c r="G478" s="3">
        <f ca="1"/>
        <v>76.189308484551162</v>
      </c>
      <c r="H478" s="3">
        <f ca="1"/>
        <v>253.24868296636518</v>
      </c>
      <c r="I478" s="3">
        <f ca="1"/>
        <v>113.24481865284952</v>
      </c>
      <c r="J478" s="3">
        <f ca="1"/>
        <v>248.28926905132218</v>
      </c>
      <c r="K478" s="3">
        <f ca="1"/>
        <v>444.44444444444559</v>
      </c>
      <c r="L478" s="3">
        <f ca="1"/>
        <v>233.56091316407083</v>
      </c>
      <c r="M478" s="3">
        <f ca="1"/>
        <v>104.59578207381387</v>
      </c>
      <c r="N478" s="3">
        <f ca="1"/>
        <v>111.18882583293156</v>
      </c>
      <c r="O478" s="3">
        <f ca="1"/>
        <v>196.70107719928194</v>
      </c>
      <c r="P478" s="3">
        <f ca="1"/>
        <v>173.53702312379983</v>
      </c>
    </row>
    <row r="479" spans="1:16" x14ac:dyDescent="0.25">
      <c r="A479" vm="6694">
        <f ca="1"/>
        <v>45616</v>
      </c>
      <c r="B479" s="3">
        <f ca="1"/>
        <v>236.4134905401705</v>
      </c>
      <c r="C479" s="3">
        <f ca="1"/>
        <v>185.70574928507403</v>
      </c>
      <c r="D479" s="3">
        <f ca="1"/>
        <v>99.428117553613845</v>
      </c>
      <c r="E479" s="3">
        <f ca="1"/>
        <v>114.23644789309174</v>
      </c>
      <c r="F479" s="3">
        <f ca="1"/>
        <v>112.66081678432408</v>
      </c>
      <c r="G479" s="3">
        <f ca="1"/>
        <v>74.987739087788043</v>
      </c>
      <c r="H479" s="3">
        <f ca="1"/>
        <v>256.2069431311632</v>
      </c>
      <c r="I479" s="3">
        <f ca="1"/>
        <v>112.04663212435212</v>
      </c>
      <c r="J479" s="3">
        <f ca="1"/>
        <v>248.75583203732529</v>
      </c>
      <c r="K479" s="3">
        <f ca="1"/>
        <v>449.80759980760104</v>
      </c>
      <c r="L479" s="3">
        <f ca="1"/>
        <v>235.24642628547039</v>
      </c>
      <c r="M479" s="3">
        <f ca="1"/>
        <v>105.64147627416537</v>
      </c>
      <c r="N479" s="3">
        <f ca="1"/>
        <v>111.67047096517454</v>
      </c>
      <c r="O479" s="3">
        <f ca="1"/>
        <v>199.86535008976668</v>
      </c>
      <c r="P479" s="3">
        <f ca="1"/>
        <v>174.38433926037214</v>
      </c>
    </row>
    <row r="480" spans="1:16" x14ac:dyDescent="0.25">
      <c r="A480" vm="6706">
        <f ca="1"/>
        <v>45617</v>
      </c>
      <c r="B480" s="3">
        <f ca="1"/>
        <v>236.64313134082857</v>
      </c>
      <c r="C480" s="3">
        <f ca="1"/>
        <v>184.27162917751505</v>
      </c>
      <c r="D480" s="3">
        <f ca="1"/>
        <v>100.06354249404276</v>
      </c>
      <c r="E480" s="3">
        <f ca="1"/>
        <v>114.37116068541849</v>
      </c>
      <c r="F480" s="3">
        <f ca="1"/>
        <v>112.74658573596359</v>
      </c>
      <c r="G480" s="3">
        <f ca="1"/>
        <v>75.723393820500164</v>
      </c>
      <c r="H480" s="3">
        <f ca="1"/>
        <v>254.43739024719727</v>
      </c>
      <c r="I480" s="3">
        <f ca="1"/>
        <v>111.94948186528475</v>
      </c>
      <c r="J480" s="3">
        <f ca="1"/>
        <v>248.8335925349925</v>
      </c>
      <c r="K480" s="3">
        <f ca="1"/>
        <v>453.35898669232125</v>
      </c>
      <c r="L480" s="3">
        <f ca="1"/>
        <v>236.35587796031572</v>
      </c>
      <c r="M480" s="3">
        <f ca="1"/>
        <v>105.33831282952565</v>
      </c>
      <c r="N480" s="3">
        <f ca="1"/>
        <v>111.97830502795595</v>
      </c>
      <c r="O480" s="3">
        <f ca="1"/>
        <v>197.46409335727117</v>
      </c>
      <c r="P480" s="3">
        <f ca="1"/>
        <v>173.42432590366457</v>
      </c>
    </row>
    <row r="481" spans="1:16" x14ac:dyDescent="0.25">
      <c r="A481" vm="6719">
        <f ca="1"/>
        <v>45618</v>
      </c>
      <c r="B481" s="3">
        <f ca="1"/>
        <v>240.84178777077102</v>
      </c>
      <c r="C481" s="3">
        <f ca="1"/>
        <v>188.45021127662298</v>
      </c>
      <c r="D481" s="3">
        <f ca="1"/>
        <v>101.28673550436839</v>
      </c>
      <c r="E481" s="3">
        <f ca="1"/>
        <v>116.26791680137924</v>
      </c>
      <c r="F481" s="3">
        <f ca="1"/>
        <v>113.97374150557501</v>
      </c>
      <c r="G481" s="3">
        <f ca="1"/>
        <v>76.238352133398649</v>
      </c>
      <c r="H481" s="3">
        <f ca="1"/>
        <v>258.32770498446598</v>
      </c>
      <c r="I481" s="3">
        <f ca="1"/>
        <v>114.44300518134692</v>
      </c>
      <c r="J481" s="3">
        <f ca="1"/>
        <v>251.01088646967369</v>
      </c>
      <c r="K481" s="3">
        <f ca="1"/>
        <v>451.41093474426935</v>
      </c>
      <c r="L481" s="3">
        <f ca="1"/>
        <v>241.81068202830519</v>
      </c>
      <c r="M481" s="3">
        <f ca="1"/>
        <v>105.78207381370842</v>
      </c>
      <c r="N481" s="3">
        <f ca="1"/>
        <v>113.50281657696857</v>
      </c>
      <c r="O481" s="3">
        <f ca="1"/>
        <v>188.09470377019755</v>
      </c>
      <c r="P481" s="3">
        <f ca="1"/>
        <v>172.33074547124116</v>
      </c>
    </row>
    <row r="482" spans="1:16" x14ac:dyDescent="0.25">
      <c r="A482" vm="6729">
        <f ca="1"/>
        <v>45621</v>
      </c>
      <c r="B482" s="3">
        <f ca="1"/>
        <v>242.27789964354321</v>
      </c>
      <c r="C482" s="3">
        <f ca="1"/>
        <v>191.92026975116306</v>
      </c>
      <c r="D482" s="3">
        <f ca="1"/>
        <v>101.54090548053998</v>
      </c>
      <c r="E482" s="3">
        <f ca="1"/>
        <v>115.49735962927018</v>
      </c>
      <c r="F482" s="3">
        <f ca="1"/>
        <v>116.30269842317084</v>
      </c>
      <c r="G482" s="3">
        <f ca="1"/>
        <v>78.003923491907727</v>
      </c>
      <c r="H482" s="3">
        <f ca="1"/>
        <v>256.76077265973277</v>
      </c>
      <c r="I482" s="3">
        <f ca="1"/>
        <v>115.86787564766814</v>
      </c>
      <c r="J482" s="3">
        <f ca="1"/>
        <v>256.92068429237975</v>
      </c>
      <c r="K482" s="3">
        <f ca="1"/>
        <v>448.24434824434945</v>
      </c>
      <c r="L482" s="3">
        <f ca="1"/>
        <v>243.16904914301966</v>
      </c>
      <c r="M482" s="3">
        <f ca="1"/>
        <v>105.29876977152915</v>
      </c>
      <c r="N482" s="3">
        <f ca="1"/>
        <v>113.54679287165163</v>
      </c>
      <c r="O482" s="3">
        <f ca="1"/>
        <v>184.87432675044889</v>
      </c>
      <c r="P482" s="3">
        <f ca="1"/>
        <v>174.05459554219865</v>
      </c>
    </row>
    <row r="483" spans="1:16" x14ac:dyDescent="0.25">
      <c r="A483" vm="6740">
        <f ca="1"/>
        <v>45622</v>
      </c>
      <c r="B483" s="3">
        <f ca="1"/>
        <v>241.4381683575547</v>
      </c>
      <c r="C483" s="3">
        <f ca="1"/>
        <v>200.46950360664133</v>
      </c>
      <c r="D483" s="3">
        <f ca="1"/>
        <v>102.27164416203321</v>
      </c>
      <c r="E483" s="3">
        <f ca="1"/>
        <v>116.4565147106367</v>
      </c>
      <c r="F483" s="3">
        <f ca="1"/>
        <v>117.03503331793891</v>
      </c>
      <c r="G483" s="3">
        <f ca="1"/>
        <v>78.518881804806213</v>
      </c>
      <c r="H483" s="3">
        <f ca="1"/>
        <v>250.00675401864132</v>
      </c>
      <c r="I483" s="3">
        <f ca="1"/>
        <v>118.58808290155412</v>
      </c>
      <c r="J483" s="3">
        <f ca="1"/>
        <v>257.62052877138444</v>
      </c>
      <c r="K483" s="3">
        <f ca="1"/>
        <v>453.03030303030425</v>
      </c>
      <c r="L483" s="3">
        <f ca="1"/>
        <v>243.88023611407436</v>
      </c>
      <c r="M483" s="3">
        <f ca="1"/>
        <v>106.18189806678397</v>
      </c>
      <c r="N483" s="3">
        <f ca="1"/>
        <v>109.28946872447763</v>
      </c>
      <c r="O483" s="3">
        <f ca="1"/>
        <v>188.11714542190313</v>
      </c>
      <c r="P483" s="3">
        <f ca="1"/>
        <v>174.80173637198413</v>
      </c>
    </row>
    <row r="484" spans="1:16" x14ac:dyDescent="0.25">
      <c r="A484" vm="6755">
        <f ca="1"/>
        <v>45623</v>
      </c>
      <c r="B484" s="3">
        <f ca="1"/>
        <v>242.27104469426982</v>
      </c>
      <c r="C484" s="3">
        <f ca="1"/>
        <v>196.85859405010885</v>
      </c>
      <c r="D484" s="3">
        <f ca="1"/>
        <v>102.54169976171551</v>
      </c>
      <c r="E484" s="3">
        <f ca="1"/>
        <v>116.42418364047828</v>
      </c>
      <c r="F484" s="3">
        <f ca="1"/>
        <v>118.30177475753777</v>
      </c>
      <c r="G484" s="3">
        <f ca="1"/>
        <v>78.396272682687524</v>
      </c>
      <c r="H484" s="3">
        <f ca="1"/>
        <v>248.33175739565061</v>
      </c>
      <c r="I484" s="3">
        <f ca="1"/>
        <v>118.81476683937795</v>
      </c>
      <c r="J484" s="3">
        <f ca="1"/>
        <v>254.04354587869392</v>
      </c>
      <c r="K484" s="3">
        <f ca="1"/>
        <v>459.78835978836099</v>
      </c>
      <c r="L484" s="3">
        <f ca="1"/>
        <v>246.49740416755563</v>
      </c>
      <c r="M484" s="3">
        <f ca="1"/>
        <v>102.63620386643248</v>
      </c>
      <c r="N484" s="3">
        <f ca="1"/>
        <v>109.19732791657029</v>
      </c>
      <c r="O484" s="3">
        <f ca="1"/>
        <v>189.76660682226219</v>
      </c>
      <c r="P484" s="3">
        <f ca="1"/>
        <v>178.64178979881441</v>
      </c>
    </row>
    <row r="485" spans="1:16" x14ac:dyDescent="0.25">
      <c r="A485" vm="6769">
        <f ca="1"/>
        <v>45625</v>
      </c>
      <c r="B485" s="3">
        <f ca="1"/>
        <v>239.8820948724985</v>
      </c>
      <c r="C485" s="3">
        <f ca="1"/>
        <v>195.30923214819239</v>
      </c>
      <c r="D485" s="3">
        <f ca="1"/>
        <v>102.35107227958684</v>
      </c>
      <c r="E485" s="3">
        <f ca="1"/>
        <v>117.1839637892012</v>
      </c>
      <c r="F485" s="3">
        <f ca="1"/>
        <v>118.33476281586066</v>
      </c>
      <c r="G485" s="3">
        <f ca="1"/>
        <v>78.298185384992578</v>
      </c>
      <c r="H485" s="3">
        <f ca="1"/>
        <v>244.75212751587213</v>
      </c>
      <c r="I485" s="3">
        <f ca="1"/>
        <v>118.45854922279764</v>
      </c>
      <c r="J485" s="3">
        <f ca="1"/>
        <v>249.14463452566125</v>
      </c>
      <c r="K485" s="3">
        <f ca="1"/>
        <v>456.3091229757909</v>
      </c>
      <c r="L485" s="3">
        <f ca="1"/>
        <v>244.60564682455015</v>
      </c>
      <c r="M485" s="3">
        <f ca="1"/>
        <v>103.67750439367326</v>
      </c>
      <c r="N485" s="3">
        <f ca="1"/>
        <v>110.09779490293764</v>
      </c>
      <c r="O485" s="3">
        <f ca="1"/>
        <v>189.89003590664279</v>
      </c>
      <c r="P485" s="3">
        <f ca="1"/>
        <v>176.55480424075446</v>
      </c>
    </row>
    <row r="486" spans="1:16" x14ac:dyDescent="0.25">
      <c r="A486" vm="6782">
        <f ca="1"/>
        <v>45628</v>
      </c>
      <c r="B486" s="3">
        <f ca="1"/>
        <v>240.91719221277819</v>
      </c>
      <c r="C486" s="3">
        <f ca="1"/>
        <v>194.92936104827351</v>
      </c>
      <c r="D486" s="3">
        <f ca="1"/>
        <v>101.79507545671153</v>
      </c>
      <c r="E486" s="3">
        <f ca="1"/>
        <v>118.04073714839939</v>
      </c>
      <c r="F486" s="3">
        <f ca="1"/>
        <v>118.26878669921487</v>
      </c>
      <c r="G486" s="3">
        <f ca="1"/>
        <v>78.396272682687524</v>
      </c>
      <c r="H486" s="3">
        <f ca="1"/>
        <v>249.43941645278963</v>
      </c>
      <c r="I486" s="3">
        <f ca="1"/>
        <v>118.36139896373028</v>
      </c>
      <c r="J486" s="3">
        <f ca="1"/>
        <v>250.15552099533468</v>
      </c>
      <c r="K486" s="3">
        <f ca="1"/>
        <v>460.41366041366172</v>
      </c>
      <c r="L486" s="3">
        <f ca="1"/>
        <v>245.01813526776186</v>
      </c>
      <c r="M486" s="3">
        <f ca="1"/>
        <v>105.86555360281208</v>
      </c>
      <c r="N486" s="3">
        <f ca="1"/>
        <v>110.86423889598518</v>
      </c>
      <c r="O486" s="3">
        <f ca="1"/>
        <v>189.57585278276488</v>
      </c>
      <c r="P486" s="3">
        <f ca="1"/>
        <v>176.75098088321207</v>
      </c>
    </row>
    <row r="487" spans="1:16" x14ac:dyDescent="0.25">
      <c r="A487" vm="6793">
        <f ca="1"/>
        <v>45629</v>
      </c>
      <c r="B487" s="3">
        <f ca="1"/>
        <v>240.15972031807024</v>
      </c>
      <c r="C487" s="3">
        <f ca="1"/>
        <v>193.46963165307952</v>
      </c>
      <c r="D487" s="3">
        <f ca="1"/>
        <v>101.11199364575045</v>
      </c>
      <c r="E487" s="3">
        <f ca="1"/>
        <v>117.93296691453799</v>
      </c>
      <c r="F487" s="3">
        <f ca="1"/>
        <v>118.55908161245627</v>
      </c>
      <c r="G487" s="3">
        <f ca="1"/>
        <v>77.513487003432985</v>
      </c>
      <c r="H487" s="3">
        <f ca="1"/>
        <v>262.59624476563579</v>
      </c>
      <c r="I487" s="3">
        <f ca="1"/>
        <v>117.6813471502588</v>
      </c>
      <c r="J487" s="3">
        <f ca="1"/>
        <v>254.04354587869392</v>
      </c>
      <c r="K487" s="3">
        <f ca="1"/>
        <v>475.2525252525266</v>
      </c>
      <c r="L487" s="3">
        <f ca="1"/>
        <v>243.46063580115208</v>
      </c>
      <c r="M487" s="3">
        <f ca="1"/>
        <v>104.46397188049222</v>
      </c>
      <c r="N487" s="3">
        <f ca="1"/>
        <v>108.96488178753128</v>
      </c>
      <c r="O487" s="3">
        <f ca="1"/>
        <v>192.42594254937171</v>
      </c>
      <c r="P487" s="3">
        <f ca="1"/>
        <v>179.8898071625342</v>
      </c>
    </row>
    <row r="488" spans="1:16" x14ac:dyDescent="0.25">
      <c r="A488" vm="6805">
        <f ca="1"/>
        <v>45630</v>
      </c>
      <c r="B488" s="3">
        <f ca="1"/>
        <v>240.23169728544065</v>
      </c>
      <c r="C488" s="3">
        <f ca="1"/>
        <v>189.69226172691964</v>
      </c>
      <c r="D488" s="3">
        <f ca="1"/>
        <v>100.90548054011106</v>
      </c>
      <c r="E488" s="3">
        <f ca="1"/>
        <v>116.74210583036944</v>
      </c>
      <c r="F488" s="3">
        <f ca="1"/>
        <v>115.73530382001714</v>
      </c>
      <c r="G488" s="3">
        <f ca="1"/>
        <v>77.121137812653188</v>
      </c>
      <c r="H488" s="3">
        <f ca="1"/>
        <v>268.66135350533591</v>
      </c>
      <c r="I488" s="3">
        <f ca="1"/>
        <v>116.58031088082873</v>
      </c>
      <c r="J488" s="3">
        <f ca="1"/>
        <v>252.17729393468147</v>
      </c>
      <c r="K488" s="3">
        <f ca="1"/>
        <v>491.94324194324332</v>
      </c>
      <c r="L488" s="3">
        <f ca="1"/>
        <v>241.61866154612045</v>
      </c>
      <c r="M488" s="3">
        <f ca="1"/>
        <v>104.15641476274179</v>
      </c>
      <c r="N488" s="3">
        <f ca="1"/>
        <v>108.26544929114363</v>
      </c>
      <c r="O488" s="3">
        <f ca="1"/>
        <v>192.25763016157995</v>
      </c>
      <c r="P488" s="3">
        <f ca="1"/>
        <v>179.98163452708883</v>
      </c>
    </row>
    <row r="489" spans="1:16" x14ac:dyDescent="0.25">
      <c r="A489" vm="6817">
        <f ca="1"/>
        <v>45631</v>
      </c>
      <c r="B489" s="3">
        <f ca="1"/>
        <v>238.7201809706614</v>
      </c>
      <c r="C489" s="3">
        <f ca="1"/>
        <v>187.05023688591064</v>
      </c>
      <c r="D489" s="3">
        <f ca="1"/>
        <v>98.824463860206365</v>
      </c>
      <c r="E489" s="3">
        <f ca="1"/>
        <v>117.06541653195366</v>
      </c>
      <c r="F489" s="3">
        <f ca="1"/>
        <v>115.53077785841525</v>
      </c>
      <c r="G489" s="3">
        <f ca="1"/>
        <v>76.017655713585015</v>
      </c>
      <c r="H489" s="3">
        <f ca="1"/>
        <v>271.09280021612881</v>
      </c>
      <c r="I489" s="3">
        <f ca="1"/>
        <v>114.31347150259039</v>
      </c>
      <c r="J489" s="3">
        <f ca="1"/>
        <v>249.2223950233284</v>
      </c>
      <c r="K489" s="3">
        <f ca="1"/>
        <v>492.04745871412672</v>
      </c>
      <c r="L489" s="3">
        <f ca="1"/>
        <v>237.29464476210796</v>
      </c>
      <c r="M489" s="3">
        <f ca="1"/>
        <v>104.70123022847115</v>
      </c>
      <c r="N489" s="3">
        <f ca="1"/>
        <v>108.37015475467472</v>
      </c>
      <c r="O489" s="3">
        <f ca="1"/>
        <v>195.65754039497315</v>
      </c>
      <c r="P489" s="3">
        <f ca="1"/>
        <v>182.5778445613154</v>
      </c>
    </row>
    <row r="490" spans="1:16" x14ac:dyDescent="0.25">
      <c r="A490" vm="6828">
        <f ca="1"/>
        <v>45632</v>
      </c>
      <c r="B490" s="3">
        <f ca="1"/>
        <v>238.11009048533103</v>
      </c>
      <c r="C490" s="3">
        <f ca="1"/>
        <v>186.20939860856203</v>
      </c>
      <c r="D490" s="3">
        <f ca="1"/>
        <v>99.952343129467693</v>
      </c>
      <c r="E490" s="3">
        <f ca="1"/>
        <v>117.16240974242892</v>
      </c>
      <c r="F490" s="3">
        <f ca="1"/>
        <v>116.13775813155635</v>
      </c>
      <c r="G490" s="3">
        <f ca="1"/>
        <v>75.79695929377138</v>
      </c>
      <c r="H490" s="3">
        <f ca="1"/>
        <v>275.96920167499684</v>
      </c>
      <c r="I490" s="3">
        <f ca="1"/>
        <v>112.1113989637303</v>
      </c>
      <c r="J490" s="3">
        <f ca="1"/>
        <v>243.46811819595672</v>
      </c>
      <c r="K490" s="3">
        <f ca="1"/>
        <v>488.1593714927061</v>
      </c>
      <c r="L490" s="3">
        <f ca="1"/>
        <v>238.22629969418963</v>
      </c>
      <c r="M490" s="3">
        <f ca="1"/>
        <v>105.2284710017576</v>
      </c>
      <c r="N490" s="3">
        <f ca="1"/>
        <v>108.36596653613348</v>
      </c>
      <c r="O490" s="3">
        <f ca="1"/>
        <v>193.71633752244171</v>
      </c>
      <c r="P490" s="3">
        <f ca="1"/>
        <v>184.74830954169772</v>
      </c>
    </row>
    <row r="491" spans="1:16" x14ac:dyDescent="0.25">
      <c r="A491" vm="6839">
        <f ca="1"/>
        <v>45635</v>
      </c>
      <c r="B491" s="3">
        <f ca="1"/>
        <v>238.60707430765075</v>
      </c>
      <c r="C491" s="3">
        <f ca="1"/>
        <v>187.80571087114259</v>
      </c>
      <c r="D491" s="3">
        <f ca="1"/>
        <v>99.3328038125495</v>
      </c>
      <c r="E491" s="3">
        <f ca="1"/>
        <v>116.33257894169607</v>
      </c>
      <c r="F491" s="3">
        <f ca="1"/>
        <v>114.67968595368474</v>
      </c>
      <c r="G491" s="3">
        <f ca="1"/>
        <v>75.551741049534002</v>
      </c>
      <c r="H491" s="3">
        <f ca="1"/>
        <v>274.24017290287742</v>
      </c>
      <c r="I491" s="3">
        <f ca="1"/>
        <v>111.56088082901529</v>
      </c>
      <c r="J491" s="3">
        <f ca="1"/>
        <v>243.54587869362391</v>
      </c>
      <c r="K491" s="3">
        <f ca="1"/>
        <v>500.05611672278474</v>
      </c>
      <c r="L491" s="3">
        <f ca="1"/>
        <v>236.44833226655291</v>
      </c>
      <c r="M491" s="3">
        <f ca="1"/>
        <v>105.00878734622157</v>
      </c>
      <c r="N491" s="3">
        <f ca="1"/>
        <v>107.43408791070679</v>
      </c>
      <c r="O491" s="3">
        <f ca="1"/>
        <v>196.03904847396777</v>
      </c>
      <c r="P491" s="3">
        <f ca="1"/>
        <v>185.14483679772911</v>
      </c>
    </row>
    <row r="492" spans="1:16" x14ac:dyDescent="0.25">
      <c r="A492" vm="6853">
        <f ca="1"/>
        <v>45636</v>
      </c>
      <c r="B492" s="3">
        <f ca="1"/>
        <v>235.12476007677606</v>
      </c>
      <c r="C492" s="3">
        <f ca="1"/>
        <v>183.93444022365443</v>
      </c>
      <c r="D492" s="3">
        <f ca="1"/>
        <v>99.444003177124571</v>
      </c>
      <c r="E492" s="3">
        <f ca="1"/>
        <v>116.19247763767625</v>
      </c>
      <c r="F492" s="3">
        <f ca="1"/>
        <v>112.68060961931778</v>
      </c>
      <c r="G492" s="3">
        <f ca="1"/>
        <v>77.783227072094078</v>
      </c>
      <c r="H492" s="3">
        <f ca="1"/>
        <v>269.03957854923698</v>
      </c>
      <c r="I492" s="3">
        <f ca="1"/>
        <v>110.00647668393756</v>
      </c>
      <c r="J492" s="3">
        <f ca="1"/>
        <v>238.8024883359256</v>
      </c>
      <c r="K492" s="3">
        <f ca="1"/>
        <v>491.8791085457766</v>
      </c>
      <c r="L492" s="3">
        <f ca="1"/>
        <v>228.9879809401892</v>
      </c>
      <c r="M492" s="3">
        <f ca="1"/>
        <v>107.34182776801418</v>
      </c>
      <c r="N492" s="3">
        <f ca="1"/>
        <v>106.80166691097904</v>
      </c>
      <c r="O492" s="3">
        <f ca="1"/>
        <v>196.77962298025142</v>
      </c>
      <c r="P492" s="3">
        <f ca="1"/>
        <v>186.16745972117849</v>
      </c>
    </row>
    <row r="493" spans="1:16" x14ac:dyDescent="0.25">
      <c r="A493" vm="6863">
        <f ca="1"/>
        <v>45637</v>
      </c>
      <c r="B493" s="3">
        <f ca="1"/>
        <v>232.35878804496906</v>
      </c>
      <c r="C493" s="3">
        <f ca="1"/>
        <v>181.49302146911947</v>
      </c>
      <c r="D493" s="3">
        <f ca="1"/>
        <v>99.936457505956966</v>
      </c>
      <c r="E493" s="3">
        <f ca="1"/>
        <v>115.43269748895334</v>
      </c>
      <c r="F493" s="3">
        <f ca="1"/>
        <v>113.6636537573398</v>
      </c>
      <c r="G493" s="3">
        <f ca="1"/>
        <v>77.464443354585498</v>
      </c>
      <c r="H493" s="3">
        <f ca="1"/>
        <v>259.27326759421874</v>
      </c>
      <c r="I493" s="3">
        <f ca="1"/>
        <v>110.65414507771996</v>
      </c>
      <c r="J493" s="3">
        <f ca="1"/>
        <v>242.37947122861613</v>
      </c>
      <c r="K493" s="3">
        <f ca="1"/>
        <v>496.48869648869788</v>
      </c>
      <c r="L493" s="3">
        <f ca="1"/>
        <v>227.50871204039544</v>
      </c>
      <c r="M493" s="3">
        <f ca="1"/>
        <v>106.59050966608096</v>
      </c>
      <c r="N493" s="3">
        <f ca="1"/>
        <v>107.41524092727121</v>
      </c>
      <c r="O493" s="3">
        <f ca="1"/>
        <v>207.77603231597851</v>
      </c>
      <c r="P493" s="3">
        <f ca="1"/>
        <v>185.04466149094225</v>
      </c>
    </row>
    <row r="494" spans="1:16" x14ac:dyDescent="0.25">
      <c r="A494" vm="6878">
        <f ca="1"/>
        <v>45638</v>
      </c>
      <c r="B494" s="3">
        <f ca="1"/>
        <v>235.25843158760685</v>
      </c>
      <c r="C494" s="3">
        <f ca="1"/>
        <v>182.27837295659225</v>
      </c>
      <c r="D494" s="3">
        <f ca="1"/>
        <v>99.507545671167449</v>
      </c>
      <c r="E494" s="3">
        <f ca="1"/>
        <v>112.95398211014097</v>
      </c>
      <c r="F494" s="3">
        <f ca="1"/>
        <v>112.57504783268452</v>
      </c>
      <c r="G494" s="3">
        <f ca="1"/>
        <v>76.728788621873392</v>
      </c>
      <c r="H494" s="3">
        <f ca="1"/>
        <v>262.86640551127942</v>
      </c>
      <c r="I494" s="3">
        <f ca="1"/>
        <v>108.84067357512929</v>
      </c>
      <c r="J494" s="3">
        <f ca="1"/>
        <v>242.92379471228637</v>
      </c>
      <c r="K494" s="3">
        <f ca="1"/>
        <v>507.19897386564185</v>
      </c>
      <c r="L494" s="3">
        <f ca="1"/>
        <v>237.71424507503025</v>
      </c>
      <c r="M494" s="3">
        <f ca="1"/>
        <v>105.39982425307569</v>
      </c>
      <c r="N494" s="3">
        <f ca="1"/>
        <v>105.59336586183029</v>
      </c>
      <c r="O494" s="3">
        <f ca="1"/>
        <v>219.25493716337533</v>
      </c>
      <c r="P494" s="3">
        <f ca="1"/>
        <v>187.40712914266609</v>
      </c>
    </row>
    <row r="495" spans="1:16" x14ac:dyDescent="0.25">
      <c r="A495" vm="6890">
        <f ca="1"/>
        <v>45639</v>
      </c>
      <c r="B495" s="3">
        <f ca="1"/>
        <v>233.94913627639218</v>
      </c>
      <c r="C495" s="3">
        <f ca="1"/>
        <v>180.86986213666822</v>
      </c>
      <c r="D495" s="3">
        <f ca="1"/>
        <v>101.41382049245418</v>
      </c>
      <c r="E495" s="3">
        <f ca="1"/>
        <v>116.61278154973574</v>
      </c>
      <c r="F495" s="3">
        <f ca="1"/>
        <v>112.72019528930521</v>
      </c>
      <c r="G495" s="3">
        <f ca="1"/>
        <v>77.366356056890567</v>
      </c>
      <c r="H495" s="3">
        <f ca="1"/>
        <v>258.62488180467403</v>
      </c>
      <c r="I495" s="3">
        <f ca="1"/>
        <v>109.06735751295314</v>
      </c>
      <c r="J495" s="3">
        <f ca="1"/>
        <v>238.49144634525683</v>
      </c>
      <c r="K495" s="3">
        <f ca="1"/>
        <v>505.68382235049035</v>
      </c>
      <c r="L495" s="3">
        <f ca="1"/>
        <v>239.02994097148147</v>
      </c>
      <c r="M495" s="3">
        <f ca="1"/>
        <v>105.20650263620398</v>
      </c>
      <c r="N495" s="3">
        <f ca="1"/>
        <v>103.98927816053404</v>
      </c>
      <c r="O495" s="3">
        <f ca="1"/>
        <v>215.39497307001804</v>
      </c>
      <c r="P495" s="3">
        <f ca="1"/>
        <v>187.64504549628492</v>
      </c>
    </row>
    <row r="496" spans="1:16" x14ac:dyDescent="0.25">
      <c r="A496" vm="6902">
        <f ca="1"/>
        <v>45642</v>
      </c>
      <c r="B496" s="3">
        <f ca="1"/>
        <v>230.26460104195289</v>
      </c>
      <c r="C496" s="3">
        <f ca="1"/>
        <v>179.27781808869346</v>
      </c>
      <c r="D496" s="3">
        <f ca="1"/>
        <v>100.27005559968212</v>
      </c>
      <c r="E496" s="3">
        <f ca="1"/>
        <v>115.43269748895334</v>
      </c>
      <c r="F496" s="3">
        <f ca="1"/>
        <v>112.85874513426134</v>
      </c>
      <c r="G496" s="3">
        <f ca="1"/>
        <v>77.70966159882289</v>
      </c>
      <c r="H496" s="3">
        <f ca="1"/>
        <v>271.49804133459435</v>
      </c>
      <c r="I496" s="3">
        <f ca="1"/>
        <v>107.6424870466319</v>
      </c>
      <c r="J496" s="3">
        <f ca="1"/>
        <v>231.33748055987579</v>
      </c>
      <c r="K496" s="3">
        <f ca="1"/>
        <v>497.314413981082</v>
      </c>
      <c r="L496" s="3">
        <f ca="1"/>
        <v>240.09672142806352</v>
      </c>
      <c r="M496" s="3">
        <f ca="1"/>
        <v>105.29876977152912</v>
      </c>
      <c r="N496" s="3">
        <f ca="1"/>
        <v>103.58511507130405</v>
      </c>
      <c r="O496" s="3">
        <f ca="1"/>
        <v>212.99371633752253</v>
      </c>
      <c r="P496" s="3">
        <f ca="1"/>
        <v>186.68920611069345</v>
      </c>
    </row>
    <row r="497" spans="1:16" x14ac:dyDescent="0.25">
      <c r="A497" vm="6915">
        <f ca="1"/>
        <v>45643</v>
      </c>
      <c r="B497" s="3">
        <f ca="1"/>
        <v>230.9226761721969</v>
      </c>
      <c r="C497" s="3">
        <f ca="1"/>
        <v>177.66016475308376</v>
      </c>
      <c r="D497" s="3">
        <f ca="1"/>
        <v>99.364575059570925</v>
      </c>
      <c r="E497" s="3">
        <f ca="1"/>
        <v>113.71376225886389</v>
      </c>
      <c r="F497" s="3">
        <f ca="1"/>
        <v>112.91152602757795</v>
      </c>
      <c r="G497" s="3">
        <f ca="1"/>
        <v>75.944090240313813</v>
      </c>
      <c r="H497" s="3">
        <f ca="1"/>
        <v>273.15952992030282</v>
      </c>
      <c r="I497" s="3">
        <f ca="1"/>
        <v>106.67098445595832</v>
      </c>
      <c r="J497" s="3">
        <f ca="1"/>
        <v>229.47122861586337</v>
      </c>
      <c r="K497" s="3">
        <f ca="1"/>
        <v>500.43290043290182</v>
      </c>
      <c r="L497" s="3">
        <f ca="1"/>
        <v>243.58153758623149</v>
      </c>
      <c r="M497" s="3">
        <f ca="1"/>
        <v>102.33743409490346</v>
      </c>
      <c r="N497" s="3">
        <f ca="1"/>
        <v>102.95688229011752</v>
      </c>
      <c r="O497" s="3">
        <f ca="1"/>
        <v>220.66876122082596</v>
      </c>
      <c r="P497" s="3">
        <f ca="1"/>
        <v>188.49236163285724</v>
      </c>
    </row>
    <row r="498" spans="1:16" x14ac:dyDescent="0.25">
      <c r="A498" vm="6928">
        <f ca="1"/>
        <v>45644</v>
      </c>
      <c r="B498" s="3">
        <f ca="1"/>
        <v>228.26638332876394</v>
      </c>
      <c r="C498" s="3">
        <f ca="1"/>
        <v>172.70476759571469</v>
      </c>
      <c r="D498" s="3">
        <f ca="1"/>
        <v>100.71485305798237</v>
      </c>
      <c r="E498" s="3">
        <f ca="1"/>
        <v>112.8947084815172</v>
      </c>
      <c r="F498" s="3">
        <f ca="1"/>
        <v>112.3771194827472</v>
      </c>
      <c r="G498" s="3">
        <f ca="1"/>
        <v>76.63070132417846</v>
      </c>
      <c r="H498" s="3">
        <f ca="1"/>
        <v>271.05227610428227</v>
      </c>
      <c r="I498" s="3">
        <f ca="1"/>
        <v>106.63860103626921</v>
      </c>
      <c r="J498" s="3">
        <f ca="1"/>
        <v>218.27371695178871</v>
      </c>
      <c r="K498" s="3">
        <f ca="1"/>
        <v>496.58489658489799</v>
      </c>
      <c r="L498" s="3">
        <f ca="1"/>
        <v>239.26463267192955</v>
      </c>
      <c r="M498" s="3">
        <f ca="1"/>
        <v>102.41212653778571</v>
      </c>
      <c r="N498" s="3">
        <f ca="1"/>
        <v>102.73909492597286</v>
      </c>
      <c r="O498" s="3">
        <f ca="1"/>
        <v>219.27737881508088</v>
      </c>
      <c r="P498" s="3">
        <f ca="1"/>
        <v>189.69029134318365</v>
      </c>
    </row>
    <row r="499" spans="1:16" x14ac:dyDescent="0.25">
      <c r="A499" vm="6939">
        <f ca="1"/>
        <v>45645</v>
      </c>
      <c r="B499" s="3">
        <f ca="1"/>
        <v>220.66081710995394</v>
      </c>
      <c r="C499" s="3">
        <f ca="1"/>
        <v>163.93785479533906</v>
      </c>
      <c r="D499" s="3">
        <f ca="1"/>
        <v>99.841143764892621</v>
      </c>
      <c r="E499" s="3">
        <f ca="1"/>
        <v>111.54758055824961</v>
      </c>
      <c r="F499" s="3">
        <f ca="1"/>
        <v>111.55241802467502</v>
      </c>
      <c r="G499" s="3">
        <f ca="1"/>
        <v>74.301128003923438</v>
      </c>
      <c r="H499" s="3">
        <f ca="1"/>
        <v>264.163177090369</v>
      </c>
      <c r="I499" s="3">
        <f ca="1"/>
        <v>103.88601036269408</v>
      </c>
      <c r="J499" s="3">
        <f ca="1"/>
        <v>207.62052877138433</v>
      </c>
      <c r="K499" s="3">
        <f ca="1"/>
        <v>478.74779541446344</v>
      </c>
      <c r="L499" s="3">
        <f ca="1"/>
        <v>228.02076665955488</v>
      </c>
      <c r="M499" s="3">
        <f ca="1"/>
        <v>100.31195079086129</v>
      </c>
      <c r="N499" s="3">
        <f ca="1"/>
        <v>101.13291311540598</v>
      </c>
      <c r="O499" s="3">
        <f ca="1"/>
        <v>211.4003590664274</v>
      </c>
      <c r="P499" s="3">
        <f ca="1"/>
        <v>182.56532264796701</v>
      </c>
    </row>
    <row r="500" spans="1:16" x14ac:dyDescent="0.25">
      <c r="A500" vm="6954">
        <f ca="1"/>
        <v>45646</v>
      </c>
      <c r="B500" s="3">
        <f ca="1"/>
        <v>219.10817109953442</v>
      </c>
      <c r="C500" s="3">
        <f ca="1"/>
        <v>161.2872935251184</v>
      </c>
      <c r="D500" s="3">
        <f ca="1"/>
        <v>99.205718824463702</v>
      </c>
      <c r="E500" s="3">
        <f ca="1"/>
        <v>110.10884793619982</v>
      </c>
      <c r="F500" s="3">
        <f ca="1"/>
        <v>111.62499175298537</v>
      </c>
      <c r="G500" s="3">
        <f ca="1"/>
        <v>73.810691515448696</v>
      </c>
      <c r="H500" s="3">
        <f ca="1"/>
        <v>262.92043766040814</v>
      </c>
      <c r="I500" s="3">
        <f ca="1"/>
        <v>102.26683937823812</v>
      </c>
      <c r="J500" s="3">
        <f ca="1"/>
        <v>208.39813374805618</v>
      </c>
      <c r="K500" s="3">
        <f ca="1"/>
        <v>477.44909411576214</v>
      </c>
      <c r="L500" s="3">
        <f ca="1"/>
        <v>229.42180499253263</v>
      </c>
      <c r="M500" s="3">
        <f ca="1"/>
        <v>99.758347978910493</v>
      </c>
      <c r="N500" s="3">
        <f ca="1"/>
        <v>100.44604527464206</v>
      </c>
      <c r="O500" s="3">
        <f ca="1"/>
        <v>211.523788150808</v>
      </c>
      <c r="P500" s="3">
        <f ca="1"/>
        <v>182.41505968778671</v>
      </c>
    </row>
    <row r="501" spans="1:16" x14ac:dyDescent="0.25">
      <c r="A501" vm="6967">
        <f ca="1"/>
        <v>45649</v>
      </c>
      <c r="B501" s="3">
        <f ca="1"/>
        <v>221.82615848642777</v>
      </c>
      <c r="C501" s="3">
        <f ca="1"/>
        <v>161.45375389474577</v>
      </c>
      <c r="D501" s="3">
        <f ca="1"/>
        <v>99.364575059570925</v>
      </c>
      <c r="E501" s="3">
        <f ca="1"/>
        <v>111.806229119517</v>
      </c>
      <c r="F501" s="3">
        <f ca="1"/>
        <v>110.87946163488812</v>
      </c>
      <c r="G501" s="3">
        <f ca="1"/>
        <v>74.840608141245639</v>
      </c>
      <c r="H501" s="3">
        <f ca="1"/>
        <v>266.39200324192916</v>
      </c>
      <c r="I501" s="3">
        <f ca="1"/>
        <v>103.14119170984434</v>
      </c>
      <c r="J501" s="3">
        <f ca="1"/>
        <v>202.4883359253501</v>
      </c>
      <c r="K501" s="3">
        <f ca="1"/>
        <v>469.17588584255378</v>
      </c>
      <c r="L501" s="3">
        <f ca="1"/>
        <v>233.56091316407097</v>
      </c>
      <c r="M501" s="3">
        <f ca="1"/>
        <v>100.01318101933228</v>
      </c>
      <c r="N501" s="3">
        <f ca="1"/>
        <v>102.40613155194399</v>
      </c>
      <c r="O501" s="3">
        <f ca="1"/>
        <v>214.77782764811499</v>
      </c>
      <c r="P501" s="3">
        <f ca="1"/>
        <v>182.23557892979358</v>
      </c>
    </row>
    <row r="502" spans="1:16" x14ac:dyDescent="0.25">
      <c r="A502" vm="6979">
        <f ca="1"/>
        <v>45650</v>
      </c>
      <c r="B502" s="3">
        <f ca="1"/>
        <v>221.29489991774116</v>
      </c>
      <c r="C502" s="3">
        <f ca="1"/>
        <v>160.71535276793713</v>
      </c>
      <c r="D502" s="3">
        <f ca="1"/>
        <v>99.094519459888645</v>
      </c>
      <c r="E502" s="3">
        <f ca="1"/>
        <v>112.08104321586357</v>
      </c>
      <c r="F502" s="3">
        <f ca="1"/>
        <v>110.91244969321102</v>
      </c>
      <c r="G502" s="3">
        <f ca="1"/>
        <v>74.69347719470322</v>
      </c>
      <c r="H502" s="3">
        <f ca="1"/>
        <v>280.10266108334486</v>
      </c>
      <c r="I502" s="3">
        <f ca="1"/>
        <v>104.33937823834172</v>
      </c>
      <c r="J502" s="3">
        <f ca="1"/>
        <v>201.78849144634543</v>
      </c>
      <c r="K502" s="3">
        <f ca="1"/>
        <v>480.8802308802322</v>
      </c>
      <c r="L502" s="3">
        <f ca="1"/>
        <v>232.82839058388461</v>
      </c>
      <c r="M502" s="3">
        <f ca="1"/>
        <v>99.455184534270771</v>
      </c>
      <c r="N502" s="3">
        <f ca="1"/>
        <v>101.87632190647669</v>
      </c>
      <c r="O502" s="3">
        <f ca="1"/>
        <v>218.39093357271105</v>
      </c>
      <c r="P502" s="3">
        <f ca="1"/>
        <v>181.67209282911736</v>
      </c>
    </row>
    <row r="503" spans="1:16" x14ac:dyDescent="0.25">
      <c r="A503" vm="6991">
        <f ca="1"/>
        <v>45652</v>
      </c>
      <c r="B503" s="3">
        <f ca="1"/>
        <v>223.66671236632905</v>
      </c>
      <c r="C503" s="3">
        <f ca="1"/>
        <v>160.67693883648465</v>
      </c>
      <c r="D503" s="3">
        <f ca="1"/>
        <v>99.82525814138188</v>
      </c>
      <c r="E503" s="3">
        <f ca="1"/>
        <v>112.44746201099237</v>
      </c>
      <c r="F503" s="3">
        <f ca="1"/>
        <v>111.46005146137094</v>
      </c>
      <c r="G503" s="3">
        <f ca="1"/>
        <v>75.134870034330476</v>
      </c>
      <c r="H503" s="3">
        <f ca="1"/>
        <v>278.71133324328002</v>
      </c>
      <c r="I503" s="3">
        <f ca="1"/>
        <v>105.4727979274609</v>
      </c>
      <c r="J503" s="3">
        <f ca="1"/>
        <v>204.1990668740282</v>
      </c>
      <c r="K503" s="3">
        <f ca="1"/>
        <v>487.21340388007189</v>
      </c>
      <c r="L503" s="3">
        <f ca="1"/>
        <v>235.26776189460222</v>
      </c>
      <c r="M503" s="3">
        <f ca="1"/>
        <v>99.033391915641587</v>
      </c>
      <c r="N503" s="3">
        <f ca="1"/>
        <v>102.21975582685864</v>
      </c>
      <c r="O503" s="3">
        <f ca="1"/>
        <v>220.05161579892294</v>
      </c>
      <c r="P503" s="3">
        <f ca="1"/>
        <v>183.37507304449429</v>
      </c>
    </row>
    <row r="504" spans="1:16" x14ac:dyDescent="0.25">
      <c r="A504" vm="7002">
        <f ca="1"/>
        <v>45653</v>
      </c>
      <c r="B504" s="3">
        <f ca="1"/>
        <v>223.27255278310994</v>
      </c>
      <c r="C504" s="3">
        <f ca="1"/>
        <v>161.4281446071108</v>
      </c>
      <c r="D504" s="3">
        <f ca="1"/>
        <v>99.396346306592363</v>
      </c>
      <c r="E504" s="3">
        <f ca="1"/>
        <v>112.46901605776465</v>
      </c>
      <c r="F504" s="3">
        <f ca="1"/>
        <v>112.2649600844494</v>
      </c>
      <c r="G504" s="3">
        <f ca="1"/>
        <v>74.914173614516841</v>
      </c>
      <c r="H504" s="3">
        <f ca="1"/>
        <v>274.29420505200619</v>
      </c>
      <c r="I504" s="3">
        <f ca="1"/>
        <v>105.31088082901532</v>
      </c>
      <c r="J504" s="3">
        <f ca="1"/>
        <v>203.42146189735635</v>
      </c>
      <c r="K504" s="3">
        <f ca="1"/>
        <v>483.68606701940172</v>
      </c>
      <c r="L504" s="3">
        <f ca="1"/>
        <v>235.13263637010184</v>
      </c>
      <c r="M504" s="3">
        <f ca="1"/>
        <v>98.536906854130166</v>
      </c>
      <c r="N504" s="3">
        <f ca="1"/>
        <v>102.60716604192368</v>
      </c>
      <c r="O504" s="3">
        <f ca="1"/>
        <v>219.47935368043102</v>
      </c>
      <c r="P504" s="3">
        <f ca="1"/>
        <v>182.86584856832766</v>
      </c>
    </row>
    <row r="505" spans="1:16" x14ac:dyDescent="0.25">
      <c r="A505" vm="7014">
        <f ca="1"/>
        <v>45656</v>
      </c>
      <c r="B505" s="3">
        <f ca="1"/>
        <v>220.66424458459059</v>
      </c>
      <c r="C505" s="3">
        <f ca="1"/>
        <v>158.77331512228432</v>
      </c>
      <c r="D505" s="3">
        <f ca="1"/>
        <v>99.205718824463688</v>
      </c>
      <c r="E505" s="3">
        <f ca="1"/>
        <v>112.07026619247743</v>
      </c>
      <c r="F505" s="3">
        <f ca="1"/>
        <v>111.84931054958102</v>
      </c>
      <c r="G505" s="3">
        <f ca="1"/>
        <v>75.232957332025421</v>
      </c>
      <c r="H505" s="3">
        <f ca="1"/>
        <v>272.36255572065403</v>
      </c>
      <c r="I505" s="3">
        <f ca="1"/>
        <v>105.11658031088059</v>
      </c>
      <c r="J505" s="3">
        <f ca="1"/>
        <v>200.77760497667208</v>
      </c>
      <c r="K505" s="3">
        <f ca="1"/>
        <v>480.84816418149882</v>
      </c>
      <c r="L505" s="3">
        <f ca="1"/>
        <v>229.81295782661275</v>
      </c>
      <c r="M505" s="3">
        <f ca="1"/>
        <v>97.851493848857757</v>
      </c>
      <c r="N505" s="3">
        <f ca="1"/>
        <v>102.39566100559088</v>
      </c>
      <c r="O505" s="3">
        <f ca="1"/>
        <v>216.2926391382407</v>
      </c>
      <c r="P505" s="3">
        <f ca="1"/>
        <v>179.7019784623088</v>
      </c>
    </row>
    <row r="506" spans="1:16" x14ac:dyDescent="0.25">
      <c r="A506" vm="7027">
        <f ca="1"/>
        <v>45657</v>
      </c>
      <c r="B506" s="3">
        <f ca="1"/>
        <v>218.26843981354594</v>
      </c>
      <c r="C506" s="3">
        <f ca="1"/>
        <v>157.35626787314862</v>
      </c>
      <c r="D506" s="3">
        <f ca="1"/>
        <v>98.53852263701333</v>
      </c>
      <c r="E506" s="3">
        <f ca="1"/>
        <v>110.50759780148704</v>
      </c>
      <c r="F506" s="3">
        <f ca="1"/>
        <v>110.23949330342413</v>
      </c>
      <c r="G506" s="3">
        <f ca="1"/>
        <v>74.448258950465828</v>
      </c>
      <c r="H506" s="3">
        <f ca="1"/>
        <v>270.68755909766332</v>
      </c>
      <c r="I506" s="3">
        <f ca="1"/>
        <v>104.11269430051789</v>
      </c>
      <c r="J506" s="3">
        <f ca="1"/>
        <v>203.65474339035794</v>
      </c>
      <c r="K506" s="3">
        <f ca="1"/>
        <v>473.97787397787528</v>
      </c>
      <c r="L506" s="3">
        <f ca="1"/>
        <v>226.85442002702527</v>
      </c>
      <c r="M506" s="3">
        <f ca="1"/>
        <v>96.511423550087983</v>
      </c>
      <c r="N506" s="3">
        <f ca="1"/>
        <v>101.22295981404271</v>
      </c>
      <c r="O506" s="3">
        <f ca="1"/>
        <v>214.58707360861774</v>
      </c>
      <c r="P506" s="3">
        <f ca="1"/>
        <v>177.32281492612046</v>
      </c>
    </row>
    <row r="507" spans="1:16" x14ac:dyDescent="0.25">
      <c r="B507" s="3">
        <f ca="1"/>
        <v>217.99766931724758</v>
      </c>
      <c r="C507" s="3">
        <f ca="1"/>
        <v>157.42882752144772</v>
      </c>
      <c r="D507" s="3">
        <f ca="1"/>
        <v>98.903891977759955</v>
      </c>
      <c r="E507" s="3">
        <f ca="1"/>
        <v>110.7662463627544</v>
      </c>
      <c r="F507" s="3">
        <f ca="1"/>
        <v>110.60895955664046</v>
      </c>
      <c r="G507" s="3">
        <f ca="1"/>
        <v>75.306522805296623</v>
      </c>
      <c r="H507" s="3">
        <f ca="1"/>
        <v>266.77022828583029</v>
      </c>
      <c r="I507" s="3">
        <f ca="1"/>
        <v>104.50129533678732</v>
      </c>
      <c r="J507" s="3">
        <f ca="1"/>
        <v>204.27682737169539</v>
      </c>
      <c r="K507" s="3">
        <f ca="1"/>
        <v>469.38431938432069</v>
      </c>
      <c r="L507" s="3">
        <f ca="1"/>
        <v>224.77064220183502</v>
      </c>
      <c r="M507" s="3">
        <f ca="1"/>
        <v>97.100175746924549</v>
      </c>
      <c r="N507" s="3">
        <f ca="1"/>
        <v>101.76114589659251</v>
      </c>
      <c r="O507" s="3">
        <f ca="1"/>
        <v>212.41023339317789</v>
      </c>
      <c r="P507" s="3">
        <f ca="1"/>
        <v>175.93288254445255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20DF20968AC7D4CB2617F671BE73C82" ma:contentTypeVersion="10" ma:contentTypeDescription="Create a new document." ma:contentTypeScope="" ma:versionID="912251e9b978302330e8843ed15eab2a">
  <xsd:schema xmlns:xsd="http://www.w3.org/2001/XMLSchema" xmlns:xs="http://www.w3.org/2001/XMLSchema" xmlns:p="http://schemas.microsoft.com/office/2006/metadata/properties" xmlns:ns3="169072ac-52dc-41f1-a821-76bfff1e5dd6" targetNamespace="http://schemas.microsoft.com/office/2006/metadata/properties" ma:root="true" ma:fieldsID="73ca34dd9c1ee7c3a965667bc234292b" ns3:_="">
    <xsd:import namespace="169072ac-52dc-41f1-a821-76bfff1e5dd6"/>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MediaServiceSearchProperties" minOccurs="0"/>
                <xsd:element ref="ns3:MediaServiceDateTaken" minOccurs="0"/>
                <xsd:element ref="ns3:_activity" minOccurs="0"/>
                <xsd:element ref="ns3:MediaServiceSystemTags"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072ac-52dc-41f1-a821-76bfff1e5dd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4" nillable="true" ma:displayName="MediaServiceSystemTags" ma:hidden="true" ma:internalName="MediaServiceSystemTags" ma:readOnly="true">
      <xsd:simpleType>
        <xsd:restriction base="dms:Note"/>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169072ac-52dc-41f1-a821-76bfff1e5dd6" xsi:nil="true"/>
  </documentManagement>
</p:properties>
</file>

<file path=customXml/itemProps1.xml><?xml version="1.0" encoding="utf-8"?>
<ds:datastoreItem xmlns:ds="http://schemas.openxmlformats.org/officeDocument/2006/customXml" ds:itemID="{4BE330DD-1C4E-4D99-BC1B-012BF982E95F}">
  <ds:schemaRefs>
    <ds:schemaRef ds:uri="http://schemas.microsoft.com/sharepoint/v3/contenttype/forms"/>
  </ds:schemaRefs>
</ds:datastoreItem>
</file>

<file path=customXml/itemProps2.xml><?xml version="1.0" encoding="utf-8"?>
<ds:datastoreItem xmlns:ds="http://schemas.openxmlformats.org/officeDocument/2006/customXml" ds:itemID="{1D2C529B-EDAF-4ED0-89C9-F16476155CFC}">
  <ds:schemaRefs>
    <ds:schemaRef ds:uri="http://schemas.microsoft.com/office/2006/metadata/contentType"/>
    <ds:schemaRef ds:uri="http://schemas.microsoft.com/office/2006/metadata/properties/metaAttributes"/>
    <ds:schemaRef ds:uri="http://www.w3.org/2000/xmlns/"/>
    <ds:schemaRef ds:uri="http://www.w3.org/2001/XMLSchema"/>
    <ds:schemaRef ds:uri="169072ac-52dc-41f1-a821-76bfff1e5dd6"/>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0BFECB2-C0AB-407E-9B63-5EAC57A46FC6}">
  <ds:schemaRefs>
    <ds:schemaRef ds:uri="http://purl.org/dc/elements/1.1/"/>
    <ds:schemaRef ds:uri="http://purl.org/dc/dcmitype/"/>
    <ds:schemaRef ds:uri="169072ac-52dc-41f1-a821-76bfff1e5dd6"/>
    <ds:schemaRef ds:uri="http://purl.org/dc/terms/"/>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21</vt:i4>
      </vt:variant>
    </vt:vector>
  </HeadingPairs>
  <TitlesOfParts>
    <vt:vector size="27" baseType="lpstr">
      <vt:lpstr>Parms</vt:lpstr>
      <vt:lpstr>Optimized Portfolios</vt:lpstr>
      <vt:lpstr>CAPM Graph</vt:lpstr>
      <vt:lpstr>Stock Prices</vt:lpstr>
      <vt:lpstr>Deltas</vt:lpstr>
      <vt:lpstr>Index</vt:lpstr>
      <vt:lpstr>bogey</vt:lpstr>
      <vt:lpstr>delta.tickers</vt:lpstr>
      <vt:lpstr>end.date</vt:lpstr>
      <vt:lpstr>Max.Portfolios</vt:lpstr>
      <vt:lpstr>Min.Portfolios</vt:lpstr>
      <vt:lpstr>mkt.reward</vt:lpstr>
      <vt:lpstr>mkt.risk</vt:lpstr>
      <vt:lpstr>portfolio.daily.risk</vt:lpstr>
      <vt:lpstr>portfolio.return</vt:lpstr>
      <vt:lpstr>portfolio.risk</vt:lpstr>
      <vt:lpstr>riskfree.rate</vt:lpstr>
      <vt:lpstr>sharpe</vt:lpstr>
      <vt:lpstr>start.date</vt:lpstr>
      <vt:lpstr>stock.list</vt:lpstr>
      <vt:lpstr>stock.names</vt:lpstr>
      <vt:lpstr>stock.return</vt:lpstr>
      <vt:lpstr>stock.risk</vt:lpstr>
      <vt:lpstr>stock.tickers</vt:lpstr>
      <vt:lpstr>table.deltas</vt:lpstr>
      <vt:lpstr>the.dates</vt:lpstr>
      <vt:lpstr>the.weights</vt:lpstr>
    </vt:vector>
  </TitlesOfParts>
  <Company>Kent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Slomski, Dominic</dc:creator>
  <cp:lastModifiedBy>Slomski, Dominic</cp:lastModifiedBy>
  <cp:lastPrinted>2025-10-14T02:22:00Z</cp:lastPrinted>
  <dcterms:created xsi:type="dcterms:W3CDTF">2025-09-18T18:25:46Z</dcterms:created>
  <dcterms:modified xsi:type="dcterms:W3CDTF">2025-12-30T02:21:40Z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0x010100C20DF20968AC7D4CB2617F671BE73C82</vt:lpwstr>
  </property>
</Properties>
</file>